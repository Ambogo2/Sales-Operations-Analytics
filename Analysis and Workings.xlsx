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E8FB8640-B950-449F-B82F-9CD67A2B8B59}" xr6:coauthVersionLast="47" xr6:coauthVersionMax="47" xr10:uidLastSave="{00000000-0000-0000-0000-000000000000}"/>
  <bookViews>
    <workbookView xWindow="-108" yWindow="-108" windowWidth="16608" windowHeight="8712" activeTab="9" xr2:uid="{00000000-000D-0000-FFFF-FFFF00000000}"/>
  </bookViews>
  <sheets>
    <sheet name="Raw Data" sheetId="1" r:id="rId1"/>
    <sheet name="staging" sheetId="3" r:id="rId2"/>
    <sheet name="Pivot 1" sheetId="5" r:id="rId3"/>
    <sheet name="Pivot 2" sheetId="17" r:id="rId4"/>
    <sheet name="Cohort Analysis" sheetId="13" r:id="rId5"/>
    <sheet name="ABC analysis" sheetId="14" r:id="rId6"/>
    <sheet name="Scenario Summary" sheetId="16" r:id="rId7"/>
    <sheet name="What-If Analysis" sheetId="15" r:id="rId8"/>
    <sheet name="Pivot" sheetId="7" r:id="rId9"/>
    <sheet name="Dashboard" sheetId="6" r:id="rId10"/>
  </sheets>
  <definedNames>
    <definedName name="_xlchart.v1.0" hidden="1">staging!$W$1</definedName>
    <definedName name="_xlchart.v1.1" hidden="1">staging!$W$2:$W$632</definedName>
    <definedName name="_xlchart.v1.2" hidden="1">staging!$W$3:$W$633</definedName>
    <definedName name="_xlchart.v1.3" hidden="1">staging!$W$1</definedName>
    <definedName name="_xlchart.v1.4" hidden="1">staging!$W$2:$W$632</definedName>
    <definedName name="_xlchart.v1.5" hidden="1">'Pivot 2'!$J$9</definedName>
    <definedName name="_xlchart.v1.6" hidden="1">staging!$W$1</definedName>
    <definedName name="_xlchart.v1.7" hidden="1">staging!$W$3:$W$633</definedName>
    <definedName name="Global_Discount_Cap">'What-If Analysis'!$B$4</definedName>
    <definedName name="Label">'What-If Analysis'!$B$3</definedName>
    <definedName name="Quantity_Uplift">'What-If Analysis'!$B$6</definedName>
    <definedName name="Slicer_Channel">#N/A</definedName>
    <definedName name="Slicer_Country">#N/A</definedName>
    <definedName name="Slicer_Months">#N/A</definedName>
    <definedName name="Slicer_ProductCategory1">#N/A</definedName>
    <definedName name="Slicer_Region1">#N/A</definedName>
    <definedName name="Slicer_Salesperson">#N/A</definedName>
    <definedName name="Unit_Cost_Inflation">'What-If Analysis'!$B$5</definedName>
  </definedNames>
  <calcPr calcId="191029"/>
  <pivotCaches>
    <pivotCache cacheId="243" r:id="rId11"/>
    <pivotCache cacheId="285"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3" l="1"/>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G4" i="17"/>
  <c r="G5" i="17"/>
  <c r="G6" i="17"/>
  <c r="G7" i="17"/>
  <c r="G8" i="17"/>
  <c r="G9" i="17"/>
  <c r="G10" i="17"/>
  <c r="G11" i="17"/>
  <c r="G12" i="17"/>
  <c r="G13" i="17"/>
  <c r="G14" i="17"/>
  <c r="G15" i="17"/>
  <c r="G16" i="17"/>
  <c r="G17" i="17"/>
  <c r="G3" i="17"/>
  <c r="F4" i="17"/>
  <c r="F5" i="17"/>
  <c r="F6" i="17"/>
  <c r="F7" i="17"/>
  <c r="F8" i="17"/>
  <c r="F9" i="17"/>
  <c r="F10" i="17"/>
  <c r="F11" i="17"/>
  <c r="F12" i="17"/>
  <c r="F13" i="17"/>
  <c r="F14" i="17"/>
  <c r="F15" i="17"/>
  <c r="F16" i="17"/>
  <c r="F17" i="17"/>
  <c r="F3" i="17"/>
  <c r="E4" i="17"/>
  <c r="E5" i="17"/>
  <c r="E6" i="17"/>
  <c r="E7" i="17"/>
  <c r="E8" i="17"/>
  <c r="E9" i="17"/>
  <c r="E10" i="17"/>
  <c r="E11" i="17"/>
  <c r="E12" i="17"/>
  <c r="E13" i="17"/>
  <c r="E14" i="17"/>
  <c r="E15" i="17"/>
  <c r="E16" i="17"/>
  <c r="E17" i="17"/>
  <c r="E18" i="17"/>
  <c r="E19" i="17"/>
  <c r="E3" i="17"/>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L50" i="14"/>
  <c r="L51" i="14"/>
  <c r="L52" i="14"/>
  <c r="L53" i="14"/>
  <c r="L54" i="14"/>
  <c r="L55"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85" i="14"/>
  <c r="L86" i="14"/>
  <c r="L87" i="14"/>
  <c r="L88" i="14"/>
  <c r="L89" i="14"/>
  <c r="L90"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3" i="14"/>
  <c r="L164" i="14"/>
  <c r="L165" i="14"/>
  <c r="L166" i="14"/>
  <c r="L167" i="14"/>
  <c r="L168" i="14"/>
  <c r="L169" i="14"/>
  <c r="L170" i="14"/>
  <c r="L171" i="14"/>
  <c r="L172" i="14"/>
  <c r="L173" i="14"/>
  <c r="L174" i="14"/>
  <c r="L175" i="14"/>
  <c r="L176" i="14"/>
  <c r="L177" i="14"/>
  <c r="L178" i="14"/>
  <c r="L179" i="14"/>
  <c r="L180" i="14"/>
  <c r="L181" i="14"/>
  <c r="L182" i="14"/>
  <c r="L183" i="14"/>
  <c r="L184" i="14"/>
  <c r="L185" i="14"/>
  <c r="L186" i="14"/>
  <c r="L187" i="14"/>
  <c r="L188" i="14"/>
  <c r="L189" i="14"/>
  <c r="L190" i="14"/>
  <c r="L191" i="14"/>
  <c r="L192" i="14"/>
  <c r="L193" i="14"/>
  <c r="L194" i="14"/>
  <c r="L195" i="14"/>
  <c r="L196" i="14"/>
  <c r="L197" i="14"/>
  <c r="L198" i="14"/>
  <c r="L199" i="14"/>
  <c r="L200" i="14"/>
  <c r="L201" i="14"/>
  <c r="L202" i="14"/>
  <c r="L203" i="14"/>
  <c r="L204" i="14"/>
  <c r="L205" i="14"/>
  <c r="L206" i="14"/>
  <c r="L207" i="14"/>
  <c r="L208" i="14"/>
  <c r="L209" i="14"/>
  <c r="L210" i="14"/>
  <c r="L211" i="14"/>
  <c r="L212" i="14"/>
  <c r="L213" i="14"/>
  <c r="L214" i="14"/>
  <c r="L215" i="14"/>
  <c r="L216" i="14"/>
  <c r="L217" i="14"/>
  <c r="L218" i="14"/>
  <c r="L219" i="14"/>
  <c r="L220" i="14"/>
  <c r="L221" i="14"/>
  <c r="L222" i="14"/>
  <c r="L223" i="14"/>
  <c r="L224" i="14"/>
  <c r="L225" i="14"/>
  <c r="L226" i="14"/>
  <c r="L227" i="14"/>
  <c r="L228" i="14"/>
  <c r="L229" i="14"/>
  <c r="L230" i="14"/>
  <c r="L231" i="14"/>
  <c r="L232" i="14"/>
  <c r="L233" i="14"/>
  <c r="L234" i="14"/>
  <c r="L235" i="14"/>
  <c r="L236" i="14"/>
  <c r="L237" i="14"/>
  <c r="L238" i="14"/>
  <c r="L239" i="14"/>
  <c r="L240" i="14"/>
  <c r="L241" i="14"/>
  <c r="L242" i="14"/>
  <c r="L243" i="14"/>
  <c r="L244" i="14"/>
  <c r="L245" i="14"/>
  <c r="L246" i="14"/>
  <c r="L247" i="14"/>
  <c r="L248" i="14"/>
  <c r="L249" i="14"/>
  <c r="L250" i="14"/>
  <c r="L251" i="14"/>
  <c r="L252" i="14"/>
  <c r="L253" i="14"/>
  <c r="L254" i="14"/>
  <c r="L255" i="14"/>
  <c r="L256" i="14"/>
  <c r="L257" i="14"/>
  <c r="L258" i="14"/>
  <c r="L259" i="14"/>
  <c r="L260" i="14"/>
  <c r="L261" i="14"/>
  <c r="L262" i="14"/>
  <c r="L263" i="14"/>
  <c r="L264" i="14"/>
  <c r="L265" i="14"/>
  <c r="L266" i="14"/>
  <c r="L267" i="14"/>
  <c r="L268" i="14"/>
  <c r="L269" i="14"/>
  <c r="L270" i="14"/>
  <c r="L271" i="14"/>
  <c r="L272" i="14"/>
  <c r="L273" i="14"/>
  <c r="L274" i="14"/>
  <c r="L275" i="14"/>
  <c r="L276" i="14"/>
  <c r="L277" i="14"/>
  <c r="L278" i="14"/>
  <c r="L279" i="14"/>
  <c r="L280" i="14"/>
  <c r="L281" i="14"/>
  <c r="L282" i="14"/>
  <c r="L283" i="14"/>
  <c r="L284" i="14"/>
  <c r="L285" i="14"/>
  <c r="L286" i="14"/>
  <c r="L287" i="14"/>
  <c r="L288" i="14"/>
  <c r="L289" i="14"/>
  <c r="L290" i="14"/>
  <c r="L291" i="14"/>
  <c r="L292" i="14"/>
  <c r="L293" i="14"/>
  <c r="L294" i="14"/>
  <c r="L295" i="14"/>
  <c r="L296" i="14"/>
  <c r="L297" i="14"/>
  <c r="L298" i="14"/>
  <c r="L299" i="14"/>
  <c r="L300" i="14"/>
  <c r="L301" i="14"/>
  <c r="L302" i="14"/>
  <c r="L303" i="14"/>
  <c r="L304" i="14"/>
  <c r="L305" i="14"/>
  <c r="L306" i="14"/>
  <c r="L307" i="14"/>
  <c r="L308" i="14"/>
  <c r="L309" i="14"/>
  <c r="L310" i="14"/>
  <c r="L311" i="14"/>
  <c r="L312" i="14"/>
  <c r="L313" i="14"/>
  <c r="L314" i="14"/>
  <c r="L315" i="14"/>
  <c r="L316" i="14"/>
  <c r="L317" i="14"/>
  <c r="L318" i="14"/>
  <c r="L319" i="14"/>
  <c r="L320" i="14"/>
  <c r="L321" i="14"/>
  <c r="L322" i="14"/>
  <c r="L323" i="14"/>
  <c r="L324" i="14"/>
  <c r="L325" i="14"/>
  <c r="L326" i="14"/>
  <c r="L327" i="14"/>
  <c r="L328" i="14"/>
  <c r="L329" i="14"/>
  <c r="L330" i="14"/>
  <c r="L331" i="14"/>
  <c r="L332" i="14"/>
  <c r="L333" i="14"/>
  <c r="L334" i="14"/>
  <c r="L335" i="14"/>
  <c r="L336" i="14"/>
  <c r="L337" i="14"/>
  <c r="L338" i="14"/>
  <c r="L339" i="14"/>
  <c r="L340" i="14"/>
  <c r="L341" i="14"/>
  <c r="L342" i="14"/>
  <c r="L343" i="14"/>
  <c r="L344" i="14"/>
  <c r="L345" i="14"/>
  <c r="L346" i="14"/>
  <c r="L347" i="14"/>
  <c r="L348" i="14"/>
  <c r="L349" i="14"/>
  <c r="L350" i="14"/>
  <c r="L351" i="14"/>
  <c r="L352" i="14"/>
  <c r="L353" i="14"/>
  <c r="L354" i="14"/>
  <c r="L355" i="14"/>
  <c r="L356" i="14"/>
  <c r="L357" i="14"/>
  <c r="L358" i="14"/>
  <c r="L359" i="14"/>
  <c r="L360" i="14"/>
  <c r="L361" i="14"/>
  <c r="L362" i="14"/>
  <c r="L363" i="14"/>
  <c r="L364" i="14"/>
  <c r="L365" i="14"/>
  <c r="L366" i="14"/>
  <c r="L367" i="14"/>
  <c r="L368" i="14"/>
  <c r="L369" i="14"/>
  <c r="L370" i="14"/>
  <c r="L371" i="14"/>
  <c r="L372" i="14"/>
  <c r="L373" i="14"/>
  <c r="L374"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480" i="14"/>
  <c r="L481" i="14"/>
  <c r="L482" i="14"/>
  <c r="L483" i="14"/>
  <c r="L484" i="14"/>
  <c r="L485" i="14"/>
  <c r="L486" i="14"/>
  <c r="L487" i="14"/>
  <c r="L488" i="14"/>
  <c r="L489" i="14"/>
  <c r="L490" i="14"/>
  <c r="L491" i="14"/>
  <c r="L492" i="14"/>
  <c r="L493" i="14"/>
  <c r="L494" i="14"/>
  <c r="L495" i="14"/>
  <c r="L496" i="14"/>
  <c r="L497" i="14"/>
  <c r="L498" i="14"/>
  <c r="L499" i="14"/>
  <c r="L500" i="14"/>
  <c r="L501" i="14"/>
  <c r="L502" i="14"/>
  <c r="L503" i="14"/>
  <c r="L504" i="14"/>
  <c r="L505" i="14"/>
  <c r="L506" i="14"/>
  <c r="L507" i="14"/>
  <c r="L508" i="14"/>
  <c r="L509" i="14"/>
  <c r="L510" i="14"/>
  <c r="L511" i="14"/>
  <c r="L512" i="14"/>
  <c r="L513" i="14"/>
  <c r="L514" i="14"/>
  <c r="L515" i="14"/>
  <c r="L516" i="14"/>
  <c r="L517" i="14"/>
  <c r="L518" i="14"/>
  <c r="L519" i="14"/>
  <c r="L520" i="14"/>
  <c r="L521" i="14"/>
  <c r="L522" i="14"/>
  <c r="L523" i="14"/>
  <c r="L524" i="14"/>
  <c r="L525" i="14"/>
  <c r="L526" i="14"/>
  <c r="L527" i="14"/>
  <c r="L528" i="14"/>
  <c r="L529" i="14"/>
  <c r="L530" i="14"/>
  <c r="L531" i="14"/>
  <c r="L532" i="14"/>
  <c r="L533" i="14"/>
  <c r="L534" i="14"/>
  <c r="L535" i="14"/>
  <c r="L536" i="14"/>
  <c r="L537" i="14"/>
  <c r="L538" i="14"/>
  <c r="L539" i="14"/>
  <c r="L540" i="14"/>
  <c r="L541" i="14"/>
  <c r="L542" i="14"/>
  <c r="L543" i="14"/>
  <c r="L544" i="14"/>
  <c r="L545" i="14"/>
  <c r="L546" i="14"/>
  <c r="L547" i="14"/>
  <c r="L548" i="14"/>
  <c r="L549" i="14"/>
  <c r="L550" i="14"/>
  <c r="L551" i="14"/>
  <c r="L552" i="14"/>
  <c r="L553" i="14"/>
  <c r="L554" i="14"/>
  <c r="L555" i="14"/>
  <c r="L556" i="14"/>
  <c r="L557" i="14"/>
  <c r="L558" i="14"/>
  <c r="L559" i="14"/>
  <c r="L560" i="14"/>
  <c r="L561" i="14"/>
  <c r="L562" i="14"/>
  <c r="L563" i="14"/>
  <c r="L564" i="14"/>
  <c r="L565" i="14"/>
  <c r="L566" i="14"/>
  <c r="L567" i="14"/>
  <c r="L568" i="14"/>
  <c r="L569" i="14"/>
  <c r="L570" i="14"/>
  <c r="L571" i="14"/>
  <c r="L572" i="14"/>
  <c r="L573" i="14"/>
  <c r="L574" i="14"/>
  <c r="L575" i="14"/>
  <c r="L576" i="14"/>
  <c r="L577" i="14"/>
  <c r="L578" i="14"/>
  <c r="L579" i="14"/>
  <c r="L580" i="14"/>
  <c r="L581" i="14"/>
  <c r="L582" i="14"/>
  <c r="L583" i="14"/>
  <c r="L584" i="14"/>
  <c r="L585" i="14"/>
  <c r="L586" i="14"/>
  <c r="L587" i="14"/>
  <c r="L588" i="14"/>
  <c r="L589" i="14"/>
  <c r="L590" i="14"/>
  <c r="L591" i="14"/>
  <c r="L592" i="14"/>
  <c r="L593" i="14"/>
  <c r="L594" i="14"/>
  <c r="L595" i="14"/>
  <c r="L596" i="14"/>
  <c r="L597" i="14"/>
  <c r="L598" i="14"/>
  <c r="L599" i="14"/>
  <c r="L600" i="14"/>
  <c r="L601" i="14"/>
  <c r="L602" i="14"/>
  <c r="L603" i="14"/>
  <c r="L604" i="14"/>
  <c r="L605" i="14"/>
  <c r="L606" i="14"/>
  <c r="L607" i="14"/>
  <c r="L608" i="14"/>
  <c r="L609" i="14"/>
  <c r="L610" i="14"/>
  <c r="L611" i="14"/>
  <c r="L612" i="14"/>
  <c r="L613" i="14"/>
  <c r="L614" i="14"/>
  <c r="L615" i="14"/>
  <c r="L616" i="14"/>
  <c r="L617" i="14"/>
  <c r="L618" i="14"/>
  <c r="L619" i="14"/>
  <c r="L620" i="14"/>
  <c r="L621" i="14"/>
  <c r="L622" i="14"/>
  <c r="L623" i="14"/>
  <c r="L624" i="14"/>
  <c r="L625" i="14"/>
  <c r="L626" i="14"/>
  <c r="L627" i="14"/>
  <c r="L628" i="14"/>
  <c r="L629" i="14"/>
  <c r="L630" i="14"/>
  <c r="L631" i="14"/>
  <c r="L632" i="14"/>
  <c r="L4" i="14"/>
  <c r="K5" i="14"/>
  <c r="K6" i="14"/>
  <c r="K7" i="14"/>
  <c r="K8" i="14"/>
  <c r="K9" i="14" s="1"/>
  <c r="K10" i="14"/>
  <c r="K11" i="14"/>
  <c r="K12" i="14"/>
  <c r="K13" i="14" s="1"/>
  <c r="K14" i="14"/>
  <c r="K15" i="14"/>
  <c r="K16" i="14"/>
  <c r="K17" i="14"/>
  <c r="K18" i="14"/>
  <c r="K19" i="14"/>
  <c r="K20" i="14"/>
  <c r="K21" i="14"/>
  <c r="K22" i="14" s="1"/>
  <c r="K23" i="14"/>
  <c r="K24" i="14"/>
  <c r="K25" i="14"/>
  <c r="K26" i="14"/>
  <c r="K27" i="14"/>
  <c r="K28" i="14"/>
  <c r="K29" i="14"/>
  <c r="K30" i="14"/>
  <c r="K31" i="14"/>
  <c r="K32" i="14"/>
  <c r="K33" i="14"/>
  <c r="K34" i="14"/>
  <c r="K35" i="14"/>
  <c r="K36" i="14"/>
  <c r="K37" i="14" s="1"/>
  <c r="K38" i="14" s="1"/>
  <c r="K39" i="14" s="1"/>
  <c r="K40" i="14"/>
  <c r="K41" i="14"/>
  <c r="K42" i="14"/>
  <c r="K43" i="14"/>
  <c r="K44" i="14"/>
  <c r="K45" i="14"/>
  <c r="K46" i="14"/>
  <c r="K47" i="14"/>
  <c r="K48" i="14"/>
  <c r="K49" i="14" s="1"/>
  <c r="K50" i="14"/>
  <c r="K51" i="14"/>
  <c r="K52" i="14"/>
  <c r="K53" i="14"/>
  <c r="K54" i="14"/>
  <c r="K55" i="14"/>
  <c r="K56" i="14"/>
  <c r="K57" i="14"/>
  <c r="K58" i="14"/>
  <c r="K59" i="14"/>
  <c r="K60" i="14"/>
  <c r="K61" i="14" s="1"/>
  <c r="K62" i="14" s="1"/>
  <c r="K63" i="14"/>
  <c r="K64" i="14"/>
  <c r="K65" i="14"/>
  <c r="K66" i="14"/>
  <c r="K67" i="14"/>
  <c r="K68" i="14"/>
  <c r="K69" i="14"/>
  <c r="K70" i="14"/>
  <c r="K71" i="14"/>
  <c r="K72" i="14"/>
  <c r="K73" i="14"/>
  <c r="K74" i="14"/>
  <c r="K75" i="14"/>
  <c r="K76" i="14"/>
  <c r="K77" i="14"/>
  <c r="K78" i="14"/>
  <c r="K79" i="14"/>
  <c r="K80" i="14"/>
  <c r="K81" i="14"/>
  <c r="K82" i="14"/>
  <c r="K83" i="14"/>
  <c r="K84" i="14"/>
  <c r="K85" i="14" s="1"/>
  <c r="K86" i="14"/>
  <c r="K87" i="14"/>
  <c r="K88" i="14"/>
  <c r="K89" i="14"/>
  <c r="K90" i="14"/>
  <c r="K91" i="14"/>
  <c r="K92" i="14"/>
  <c r="K93" i="14"/>
  <c r="K94" i="14"/>
  <c r="K95" i="14" s="1"/>
  <c r="K96" i="14"/>
  <c r="K97" i="14"/>
  <c r="K98" i="14"/>
  <c r="K99" i="14"/>
  <c r="K100" i="14"/>
  <c r="K101" i="14"/>
  <c r="K102" i="14"/>
  <c r="K103" i="14"/>
  <c r="K104" i="14"/>
  <c r="K105" i="14"/>
  <c r="K106" i="14"/>
  <c r="K107" i="14"/>
  <c r="K108" i="14"/>
  <c r="K109" i="14"/>
  <c r="K110" i="14"/>
  <c r="K111" i="14"/>
  <c r="K112" i="14"/>
  <c r="K113" i="14"/>
  <c r="K114" i="14"/>
  <c r="K115" i="14"/>
  <c r="K116" i="14"/>
  <c r="K117" i="14"/>
  <c r="K118" i="14"/>
  <c r="K119" i="14"/>
  <c r="K120" i="14"/>
  <c r="K121" i="14"/>
  <c r="K122" i="14"/>
  <c r="K123" i="14"/>
  <c r="K124" i="14"/>
  <c r="K125" i="14"/>
  <c r="K126" i="14"/>
  <c r="K127" i="14"/>
  <c r="K128" i="14"/>
  <c r="K129" i="14"/>
  <c r="K130" i="14"/>
  <c r="K131" i="14"/>
  <c r="K132" i="14"/>
  <c r="K133" i="14"/>
  <c r="K134" i="14"/>
  <c r="K135" i="14"/>
  <c r="K136" i="14"/>
  <c r="K137" i="14"/>
  <c r="K138" i="14"/>
  <c r="K139" i="14"/>
  <c r="K140" i="14"/>
  <c r="K141" i="14" s="1"/>
  <c r="K142" i="14"/>
  <c r="K143" i="14"/>
  <c r="K144" i="14"/>
  <c r="K145" i="14"/>
  <c r="K146" i="14"/>
  <c r="K147" i="14"/>
  <c r="K148" i="14"/>
  <c r="K149" i="14"/>
  <c r="K150" i="14"/>
  <c r="K151" i="14"/>
  <c r="K152" i="14"/>
  <c r="K153" i="14"/>
  <c r="K154" i="14"/>
  <c r="K155" i="14"/>
  <c r="K156" i="14"/>
  <c r="K157" i="14"/>
  <c r="K158" i="14"/>
  <c r="K159" i="14"/>
  <c r="K160" i="14"/>
  <c r="K161" i="14"/>
  <c r="K162" i="14"/>
  <c r="K163" i="14"/>
  <c r="K164" i="14"/>
  <c r="K165" i="14"/>
  <c r="K166" i="14"/>
  <c r="K167" i="14" s="1"/>
  <c r="K168" i="14" s="1"/>
  <c r="K169" i="14"/>
  <c r="K170" i="14" s="1"/>
  <c r="K171" i="14"/>
  <c r="K172" i="14"/>
  <c r="K173" i="14"/>
  <c r="K174" i="14" s="1"/>
  <c r="K175" i="14"/>
  <c r="K176" i="14"/>
  <c r="K177" i="14"/>
  <c r="K178" i="14"/>
  <c r="K179" i="14"/>
  <c r="K180" i="14"/>
  <c r="K181" i="14"/>
  <c r="K182" i="14"/>
  <c r="K183" i="14"/>
  <c r="K184" i="14"/>
  <c r="K185" i="14"/>
  <c r="K186" i="14"/>
  <c r="K187" i="14"/>
  <c r="K188" i="14"/>
  <c r="K189" i="14"/>
  <c r="K190" i="14"/>
  <c r="K191" i="14"/>
  <c r="K192" i="14"/>
  <c r="K193" i="14"/>
  <c r="K194" i="14"/>
  <c r="K195" i="14"/>
  <c r="K196" i="14"/>
  <c r="K197" i="14"/>
  <c r="K198" i="14"/>
  <c r="K199" i="14"/>
  <c r="K200" i="14"/>
  <c r="K201" i="14"/>
  <c r="K202" i="14"/>
  <c r="K203" i="14"/>
  <c r="K204" i="14"/>
  <c r="K205" i="14"/>
  <c r="K206" i="14"/>
  <c r="K207" i="14"/>
  <c r="K208" i="14"/>
  <c r="K209" i="14"/>
  <c r="K210" i="14"/>
  <c r="K211" i="14"/>
  <c r="K212" i="14"/>
  <c r="K213" i="14"/>
  <c r="K214" i="14"/>
  <c r="K215" i="14"/>
  <c r="K216" i="14"/>
  <c r="K217" i="14"/>
  <c r="K218" i="14"/>
  <c r="K219" i="14"/>
  <c r="K220" i="14"/>
  <c r="K221" i="14" s="1"/>
  <c r="K222" i="14"/>
  <c r="K223" i="14"/>
  <c r="K224" i="14"/>
  <c r="K225" i="14"/>
  <c r="K226" i="14"/>
  <c r="K227" i="14"/>
  <c r="K228" i="14"/>
  <c r="K229" i="14"/>
  <c r="K230" i="14"/>
  <c r="K231" i="14"/>
  <c r="K232" i="14"/>
  <c r="K233" i="14"/>
  <c r="K234" i="14"/>
  <c r="K235" i="14"/>
  <c r="K236" i="14"/>
  <c r="K237" i="14"/>
  <c r="K238" i="14"/>
  <c r="K239" i="14"/>
  <c r="K240" i="14"/>
  <c r="K241" i="14"/>
  <c r="K242" i="14"/>
  <c r="K243" i="14"/>
  <c r="K244" i="14"/>
  <c r="K245" i="14"/>
  <c r="K246" i="14"/>
  <c r="K247" i="14"/>
  <c r="K248" i="14"/>
  <c r="K249" i="14"/>
  <c r="K250" i="14" s="1"/>
  <c r="K251" i="14" s="1"/>
  <c r="K252" i="14"/>
  <c r="K253" i="14" s="1"/>
  <c r="K254" i="14"/>
  <c r="K255" i="14"/>
  <c r="K256" i="14"/>
  <c r="K257" i="14"/>
  <c r="K258" i="14"/>
  <c r="K259" i="14"/>
  <c r="K260" i="14"/>
  <c r="K261" i="14"/>
  <c r="K262" i="14"/>
  <c r="K263" i="14"/>
  <c r="K264" i="14"/>
  <c r="K265" i="14"/>
  <c r="K266" i="14"/>
  <c r="K267" i="14"/>
  <c r="K268" i="14"/>
  <c r="K269" i="14" s="1"/>
  <c r="K270" i="14"/>
  <c r="K271" i="14"/>
  <c r="K272" i="14"/>
  <c r="K273" i="14"/>
  <c r="K274" i="14"/>
  <c r="K275" i="14"/>
  <c r="K276" i="14"/>
  <c r="K277" i="14"/>
  <c r="K278" i="14"/>
  <c r="K279" i="14"/>
  <c r="K280" i="14"/>
  <c r="K281" i="14"/>
  <c r="K282" i="14"/>
  <c r="K283" i="14"/>
  <c r="K284" i="14"/>
  <c r="K285" i="14"/>
  <c r="K286" i="14" s="1"/>
  <c r="K287" i="14" s="1"/>
  <c r="K288" i="14"/>
  <c r="K289" i="14"/>
  <c r="K290" i="14"/>
  <c r="K291" i="14"/>
  <c r="K292" i="14"/>
  <c r="K293" i="14"/>
  <c r="K294" i="14"/>
  <c r="K295" i="14"/>
  <c r="K296" i="14"/>
  <c r="K297" i="14"/>
  <c r="K298" i="14"/>
  <c r="K299" i="14" s="1"/>
  <c r="K300" i="14"/>
  <c r="K301" i="14"/>
  <c r="K302" i="14"/>
  <c r="K303" i="14"/>
  <c r="K304" i="14"/>
  <c r="K305" i="14"/>
  <c r="K306" i="14"/>
  <c r="K307" i="14"/>
  <c r="K308" i="14"/>
  <c r="K309" i="14"/>
  <c r="K310" i="14"/>
  <c r="K311" i="14"/>
  <c r="K312" i="14"/>
  <c r="K313" i="14"/>
  <c r="K314" i="14"/>
  <c r="K315" i="14"/>
  <c r="K316" i="14"/>
  <c r="K317" i="14"/>
  <c r="K318" i="14"/>
  <c r="K319" i="14"/>
  <c r="K320" i="14"/>
  <c r="K321" i="14"/>
  <c r="K322" i="14"/>
  <c r="K323" i="14" s="1"/>
  <c r="K324" i="14"/>
  <c r="K325" i="14"/>
  <c r="K326" i="14"/>
  <c r="K327" i="14" s="1"/>
  <c r="K328" i="14"/>
  <c r="K329" i="14"/>
  <c r="K330" i="14"/>
  <c r="K331" i="14" s="1"/>
  <c r="K332" i="14"/>
  <c r="K333" i="14" s="1"/>
  <c r="K334" i="14"/>
  <c r="K335" i="14" s="1"/>
  <c r="K336" i="14"/>
  <c r="K337" i="14"/>
  <c r="K338" i="14"/>
  <c r="K339" i="14"/>
  <c r="K340" i="14"/>
  <c r="K341" i="14"/>
  <c r="K342" i="14"/>
  <c r="K343" i="14"/>
  <c r="K344" i="14"/>
  <c r="K345" i="14" s="1"/>
  <c r="K346" i="14"/>
  <c r="K347" i="14"/>
  <c r="K348" i="14"/>
  <c r="K349" i="14"/>
  <c r="K350" i="14"/>
  <c r="K351" i="14"/>
  <c r="K352" i="14"/>
  <c r="K353" i="14"/>
  <c r="K354" i="14"/>
  <c r="K355" i="14"/>
  <c r="K356" i="14"/>
  <c r="K357" i="14"/>
  <c r="K358" i="14"/>
  <c r="K359" i="14"/>
  <c r="K360" i="14"/>
  <c r="K361" i="14"/>
  <c r="K362" i="14"/>
  <c r="K363" i="14"/>
  <c r="K364" i="14"/>
  <c r="K365" i="14"/>
  <c r="K366" i="14"/>
  <c r="K367" i="14"/>
  <c r="K368" i="14"/>
  <c r="K369" i="14" s="1"/>
  <c r="K370" i="14"/>
  <c r="K371" i="14"/>
  <c r="K372" i="14"/>
  <c r="K373" i="14"/>
  <c r="K374" i="14"/>
  <c r="K375" i="14"/>
  <c r="K376" i="14"/>
  <c r="K377" i="14" s="1"/>
  <c r="K378" i="14"/>
  <c r="K379" i="14"/>
  <c r="K380" i="14"/>
  <c r="K381" i="14"/>
  <c r="K382" i="14"/>
  <c r="K383" i="14"/>
  <c r="K384" i="14"/>
  <c r="K385" i="14" s="1"/>
  <c r="K386" i="14"/>
  <c r="K387" i="14"/>
  <c r="K388" i="14"/>
  <c r="K389" i="14" s="1"/>
  <c r="K390" i="14"/>
  <c r="K391" i="14"/>
  <c r="K392" i="14"/>
  <c r="K393" i="14" s="1"/>
  <c r="K394" i="14"/>
  <c r="K395" i="14"/>
  <c r="K396" i="14"/>
  <c r="K397" i="14"/>
  <c r="K398" i="14"/>
  <c r="K399" i="14"/>
  <c r="K400" i="14"/>
  <c r="K401" i="14"/>
  <c r="K402" i="14"/>
  <c r="K403" i="14"/>
  <c r="K404" i="14"/>
  <c r="K405" i="14"/>
  <c r="K406" i="14"/>
  <c r="K407" i="14"/>
  <c r="K408" i="14"/>
  <c r="K409" i="14"/>
  <c r="K410" i="14"/>
  <c r="K411" i="14"/>
  <c r="K412" i="14"/>
  <c r="K413" i="14"/>
  <c r="K414" i="14"/>
  <c r="K415" i="14"/>
  <c r="K416" i="14"/>
  <c r="K417" i="14"/>
  <c r="K418" i="14"/>
  <c r="K419" i="14" s="1"/>
  <c r="K420" i="14"/>
  <c r="K421" i="14"/>
  <c r="K422" i="14"/>
  <c r="K423" i="14"/>
  <c r="K424" i="14"/>
  <c r="K425" i="14" s="1"/>
  <c r="K426" i="14"/>
  <c r="K427" i="14"/>
  <c r="K428" i="14"/>
  <c r="K429" i="14"/>
  <c r="K430" i="14"/>
  <c r="K431" i="14"/>
  <c r="K432" i="14"/>
  <c r="K433" i="14"/>
  <c r="K434" i="14"/>
  <c r="K435" i="14"/>
  <c r="K436" i="14"/>
  <c r="K437" i="14"/>
  <c r="K438" i="14"/>
  <c r="K439" i="14"/>
  <c r="K440" i="14"/>
  <c r="K441" i="14"/>
  <c r="K442" i="14"/>
  <c r="K443" i="14"/>
  <c r="K444" i="14"/>
  <c r="K445" i="14"/>
  <c r="K446" i="14"/>
  <c r="K447" i="14"/>
  <c r="K448" i="14"/>
  <c r="K449" i="14"/>
  <c r="K450" i="14"/>
  <c r="K451" i="14"/>
  <c r="K452" i="14"/>
  <c r="K453" i="14"/>
  <c r="K454" i="14"/>
  <c r="K455" i="14"/>
  <c r="K456" i="14"/>
  <c r="K457" i="14"/>
  <c r="K458" i="14"/>
  <c r="K459" i="14"/>
  <c r="K460" i="14"/>
  <c r="K461" i="14" s="1"/>
  <c r="K462" i="14"/>
  <c r="K463" i="14"/>
  <c r="K464" i="14"/>
  <c r="K465" i="14"/>
  <c r="K466" i="14"/>
  <c r="K467" i="14"/>
  <c r="K468" i="14"/>
  <c r="K469" i="14"/>
  <c r="K470" i="14"/>
  <c r="K471" i="14" s="1"/>
  <c r="K472" i="14"/>
  <c r="K473" i="14"/>
  <c r="K474" i="14"/>
  <c r="K475" i="14"/>
  <c r="K476" i="14"/>
  <c r="K477" i="14"/>
  <c r="K478" i="14"/>
  <c r="K479" i="14" s="1"/>
  <c r="K480" i="14"/>
  <c r="K481" i="14"/>
  <c r="K482" i="14"/>
  <c r="K483" i="14"/>
  <c r="K484" i="14"/>
  <c r="K485" i="14"/>
  <c r="K486" i="14" s="1"/>
  <c r="K487" i="14" s="1"/>
  <c r="K488" i="14" s="1"/>
  <c r="K489" i="14"/>
  <c r="K490" i="14" s="1"/>
  <c r="K491" i="14"/>
  <c r="K492" i="14"/>
  <c r="K493" i="14"/>
  <c r="K494" i="14"/>
  <c r="K495" i="14"/>
  <c r="K496" i="14"/>
  <c r="K497" i="14"/>
  <c r="K498" i="14"/>
  <c r="K499" i="14"/>
  <c r="K500" i="14"/>
  <c r="K501" i="14"/>
  <c r="K502" i="14"/>
  <c r="K503" i="14"/>
  <c r="K504" i="14"/>
  <c r="K505" i="14"/>
  <c r="K506" i="14" s="1"/>
  <c r="K507" i="14"/>
  <c r="K508" i="14"/>
  <c r="K509" i="14"/>
  <c r="K510" i="14" s="1"/>
  <c r="K511" i="14"/>
  <c r="K512" i="14"/>
  <c r="K513" i="14" s="1"/>
  <c r="K514" i="14"/>
  <c r="K515" i="14"/>
  <c r="K516" i="14"/>
  <c r="K517" i="14"/>
  <c r="K518" i="14"/>
  <c r="K519" i="14"/>
  <c r="K520" i="14"/>
  <c r="K521" i="14"/>
  <c r="K522" i="14"/>
  <c r="K523" i="14"/>
  <c r="K524" i="14"/>
  <c r="K525" i="14"/>
  <c r="K526" i="14"/>
  <c r="K527" i="14" s="1"/>
  <c r="K528" i="14"/>
  <c r="K529" i="14" s="1"/>
  <c r="K530" i="14"/>
  <c r="K531" i="14"/>
  <c r="K532" i="14"/>
  <c r="K533" i="14"/>
  <c r="K534" i="14" s="1"/>
  <c r="K535" i="14"/>
  <c r="K536" i="14"/>
  <c r="K537" i="14" s="1"/>
  <c r="K538" i="14"/>
  <c r="K539" i="14"/>
  <c r="K540" i="14"/>
  <c r="K541" i="14"/>
  <c r="K542" i="14"/>
  <c r="K543" i="14"/>
  <c r="K544" i="14"/>
  <c r="K545" i="14"/>
  <c r="K546" i="14"/>
  <c r="K547" i="14"/>
  <c r="K548" i="14"/>
  <c r="K549" i="14"/>
  <c r="K550" i="14"/>
  <c r="K551" i="14"/>
  <c r="K552" i="14"/>
  <c r="K553" i="14"/>
  <c r="K554" i="14"/>
  <c r="K555" i="14"/>
  <c r="K556" i="14"/>
  <c r="K557" i="14"/>
  <c r="K558" i="14"/>
  <c r="K559" i="14"/>
  <c r="K560" i="14"/>
  <c r="K561" i="14"/>
  <c r="K562" i="14"/>
  <c r="K563" i="14"/>
  <c r="K564" i="14"/>
  <c r="K565" i="14"/>
  <c r="K566" i="14"/>
  <c r="K567" i="14"/>
  <c r="K568" i="14"/>
  <c r="K569" i="14" s="1"/>
  <c r="K570" i="14"/>
  <c r="K571" i="14"/>
  <c r="K572" i="14"/>
  <c r="K573" i="14"/>
  <c r="K574" i="14"/>
  <c r="K575" i="14"/>
  <c r="K576" i="14"/>
  <c r="K577" i="14"/>
  <c r="K578" i="14"/>
  <c r="K579" i="14"/>
  <c r="K580" i="14"/>
  <c r="K581" i="14"/>
  <c r="K582" i="14"/>
  <c r="K583" i="14"/>
  <c r="K584" i="14"/>
  <c r="K585" i="14"/>
  <c r="K586" i="14"/>
  <c r="K587" i="14"/>
  <c r="K588" i="14"/>
  <c r="K589" i="14"/>
  <c r="K590" i="14"/>
  <c r="K591" i="14"/>
  <c r="K592" i="14"/>
  <c r="K593" i="14"/>
  <c r="K594" i="14"/>
  <c r="K595" i="14" s="1"/>
  <c r="K596" i="14"/>
  <c r="K597" i="14"/>
  <c r="K598" i="14"/>
  <c r="K599" i="14"/>
  <c r="K600" i="14"/>
  <c r="K601" i="14"/>
  <c r="K602" i="14"/>
  <c r="K603" i="14" s="1"/>
  <c r="K604" i="14"/>
  <c r="K605" i="14"/>
  <c r="K606" i="14"/>
  <c r="K607" i="14"/>
  <c r="K608" i="14"/>
  <c r="K609" i="14"/>
  <c r="K610" i="14"/>
  <c r="K611" i="14" s="1"/>
  <c r="K612" i="14"/>
  <c r="K613" i="14"/>
  <c r="K614" i="14"/>
  <c r="K615" i="14"/>
  <c r="K616" i="14"/>
  <c r="K617" i="14"/>
  <c r="K618" i="14"/>
  <c r="K619" i="14"/>
  <c r="K620" i="14"/>
  <c r="K621" i="14"/>
  <c r="K622" i="14"/>
  <c r="K623" i="14"/>
  <c r="K624" i="14"/>
  <c r="K625" i="14"/>
  <c r="K626" i="14"/>
  <c r="K627" i="14"/>
  <c r="K628" i="14"/>
  <c r="K629" i="14"/>
  <c r="K630" i="14"/>
  <c r="K631" i="14"/>
  <c r="K632" i="14"/>
  <c r="K4" i="14"/>
  <c r="I12" i="14"/>
  <c r="J12" i="14" s="1"/>
  <c r="I13" i="14"/>
  <c r="J13" i="14" s="1"/>
  <c r="I17" i="14"/>
  <c r="J17" i="14" s="1"/>
  <c r="I24" i="14"/>
  <c r="J24" i="14" s="1"/>
  <c r="I33" i="14"/>
  <c r="J33" i="14" s="1"/>
  <c r="I36" i="14"/>
  <c r="J36" i="14" s="1"/>
  <c r="I37" i="14"/>
  <c r="J37" i="14" s="1"/>
  <c r="I38" i="14"/>
  <c r="J38" i="14" s="1"/>
  <c r="I39" i="14"/>
  <c r="J39" i="14" s="1"/>
  <c r="I44" i="14"/>
  <c r="J44" i="14" s="1"/>
  <c r="I55" i="14"/>
  <c r="J55" i="14" s="1"/>
  <c r="I60" i="14"/>
  <c r="J60" i="14" s="1"/>
  <c r="I61" i="14"/>
  <c r="J61" i="14" s="1"/>
  <c r="I62" i="14"/>
  <c r="J62" i="14" s="1"/>
  <c r="I72" i="14"/>
  <c r="J72" i="14" s="1"/>
  <c r="I78" i="14"/>
  <c r="J78" i="14" s="1"/>
  <c r="I82" i="14"/>
  <c r="J82" i="14" s="1"/>
  <c r="I90" i="14"/>
  <c r="J90" i="14" s="1"/>
  <c r="I94" i="14"/>
  <c r="J94" i="14" s="1"/>
  <c r="I95" i="14"/>
  <c r="J95" i="14" s="1"/>
  <c r="I102" i="14"/>
  <c r="J102" i="14" s="1"/>
  <c r="I108" i="14"/>
  <c r="J108" i="14" s="1"/>
  <c r="I110" i="14"/>
  <c r="J110" i="14" s="1"/>
  <c r="I112" i="14"/>
  <c r="J112" i="14" s="1"/>
  <c r="I114" i="14"/>
  <c r="J114" i="14" s="1"/>
  <c r="I144" i="14"/>
  <c r="J144" i="14" s="1"/>
  <c r="I151" i="14"/>
  <c r="J151" i="14" s="1"/>
  <c r="I180" i="14"/>
  <c r="J180" i="14" s="1"/>
  <c r="I189" i="14"/>
  <c r="J189" i="14" s="1"/>
  <c r="I198" i="14"/>
  <c r="J198" i="14" s="1"/>
  <c r="I202" i="14"/>
  <c r="J202" i="14" s="1"/>
  <c r="I203" i="14"/>
  <c r="J203" i="14" s="1"/>
  <c r="I216" i="14"/>
  <c r="J216" i="14" s="1"/>
  <c r="I219" i="14"/>
  <c r="J219" i="14" s="1"/>
  <c r="I228" i="14"/>
  <c r="J228" i="14" s="1"/>
  <c r="I241" i="14"/>
  <c r="J241" i="14" s="1"/>
  <c r="I247" i="14"/>
  <c r="J247" i="14" s="1"/>
  <c r="I260" i="14"/>
  <c r="J260" i="14" s="1"/>
  <c r="I262" i="14"/>
  <c r="J262" i="14" s="1"/>
  <c r="I279" i="14"/>
  <c r="J279" i="14" s="1"/>
  <c r="I283" i="14"/>
  <c r="J283" i="14" s="1"/>
  <c r="I291" i="14"/>
  <c r="J291" i="14" s="1"/>
  <c r="I302" i="14"/>
  <c r="J302" i="14" s="1"/>
  <c r="I317" i="14"/>
  <c r="J317" i="14" s="1"/>
  <c r="I343" i="14"/>
  <c r="J343" i="14" s="1"/>
  <c r="I344" i="14"/>
  <c r="J344" i="14" s="1"/>
  <c r="I345" i="14"/>
  <c r="J345" i="14" s="1"/>
  <c r="I349" i="14"/>
  <c r="J349" i="14" s="1"/>
  <c r="I358" i="14"/>
  <c r="J358" i="14" s="1"/>
  <c r="I359" i="14"/>
  <c r="J359" i="14" s="1"/>
  <c r="I366" i="14"/>
  <c r="J366" i="14" s="1"/>
  <c r="I372" i="14"/>
  <c r="J372" i="14" s="1"/>
  <c r="I376" i="14"/>
  <c r="J376" i="14" s="1"/>
  <c r="I377" i="14"/>
  <c r="J377" i="14" s="1"/>
  <c r="I386" i="14"/>
  <c r="J386" i="14" s="1"/>
  <c r="I390" i="14"/>
  <c r="J390" i="14" s="1"/>
  <c r="I395" i="14"/>
  <c r="J395" i="14" s="1"/>
  <c r="I401" i="14"/>
  <c r="J401" i="14" s="1"/>
  <c r="I405" i="14"/>
  <c r="J405" i="14" s="1"/>
  <c r="I408" i="14"/>
  <c r="J408" i="14" s="1"/>
  <c r="I417" i="14"/>
  <c r="J417" i="14" s="1"/>
  <c r="I426" i="14"/>
  <c r="J426" i="14" s="1"/>
  <c r="I435" i="14"/>
  <c r="J435" i="14" s="1"/>
  <c r="I455" i="14"/>
  <c r="J455" i="14" s="1"/>
  <c r="I475" i="14"/>
  <c r="J475" i="14" s="1"/>
  <c r="I481" i="14"/>
  <c r="J481" i="14" s="1"/>
  <c r="I516" i="14"/>
  <c r="J516" i="14" s="1"/>
  <c r="I530" i="14"/>
  <c r="J530" i="14" s="1"/>
  <c r="I536" i="14"/>
  <c r="J536" i="14" s="1"/>
  <c r="I537" i="14"/>
  <c r="J537" i="14" s="1"/>
  <c r="I543" i="14"/>
  <c r="J543" i="14" s="1"/>
  <c r="I545" i="14"/>
  <c r="J545" i="14" s="1"/>
  <c r="I552" i="14"/>
  <c r="J552" i="14" s="1"/>
  <c r="I560" i="14"/>
  <c r="J560" i="14" s="1"/>
  <c r="I562" i="14"/>
  <c r="J562" i="14" s="1"/>
  <c r="I572" i="14"/>
  <c r="J572" i="14" s="1"/>
  <c r="I574" i="14"/>
  <c r="J574" i="14" s="1"/>
  <c r="I581" i="14"/>
  <c r="J581" i="14" s="1"/>
  <c r="I585" i="14"/>
  <c r="J585" i="14" s="1"/>
  <c r="I588" i="14"/>
  <c r="J588" i="14" s="1"/>
  <c r="I590" i="14"/>
  <c r="J590" i="14" s="1"/>
  <c r="I596" i="14"/>
  <c r="J596" i="14" s="1"/>
  <c r="I622" i="14"/>
  <c r="J622" i="14" s="1"/>
  <c r="I625" i="14"/>
  <c r="J625" i="14" s="1"/>
  <c r="I631" i="14"/>
  <c r="J631" i="14" s="1"/>
  <c r="I6" i="14"/>
  <c r="J6" i="14" s="1"/>
  <c r="I11" i="14"/>
  <c r="J11" i="14" s="1"/>
  <c r="I19" i="14"/>
  <c r="J19" i="14" s="1"/>
  <c r="I21" i="14"/>
  <c r="J21" i="14" s="1"/>
  <c r="I22" i="14"/>
  <c r="J22" i="14" s="1"/>
  <c r="I25" i="14"/>
  <c r="J25" i="14" s="1"/>
  <c r="I27" i="14"/>
  <c r="J27" i="14" s="1"/>
  <c r="I42" i="14"/>
  <c r="J42" i="14" s="1"/>
  <c r="I48" i="14"/>
  <c r="J48" i="14" s="1"/>
  <c r="I49" i="14"/>
  <c r="J49" i="14" s="1"/>
  <c r="I54" i="14"/>
  <c r="J54" i="14" s="1"/>
  <c r="I58" i="14"/>
  <c r="J58" i="14" s="1"/>
  <c r="I63" i="14"/>
  <c r="J63" i="14" s="1"/>
  <c r="I71" i="14"/>
  <c r="J71" i="14" s="1"/>
  <c r="I84" i="14"/>
  <c r="J84" i="14" s="1"/>
  <c r="I85" i="14"/>
  <c r="J85" i="14" s="1"/>
  <c r="I101" i="14"/>
  <c r="J101" i="14" s="1"/>
  <c r="I111" i="14"/>
  <c r="J111" i="14" s="1"/>
  <c r="I113" i="14"/>
  <c r="J113" i="14" s="1"/>
  <c r="I115" i="14"/>
  <c r="J115" i="14" s="1"/>
  <c r="I126" i="14"/>
  <c r="J126" i="14" s="1"/>
  <c r="I138" i="14"/>
  <c r="J138" i="14" s="1"/>
  <c r="I147" i="14"/>
  <c r="J147" i="14" s="1"/>
  <c r="I157" i="14"/>
  <c r="J157" i="14" s="1"/>
  <c r="I161" i="14"/>
  <c r="J161" i="14" s="1"/>
  <c r="I163" i="14"/>
  <c r="J163" i="14" s="1"/>
  <c r="I178" i="14"/>
  <c r="J178" i="14" s="1"/>
  <c r="I187" i="14"/>
  <c r="J187" i="14" s="1"/>
  <c r="I192" i="14"/>
  <c r="J192" i="14" s="1"/>
  <c r="I195" i="14"/>
  <c r="J195" i="14" s="1"/>
  <c r="I196" i="14"/>
  <c r="J196" i="14" s="1"/>
  <c r="I205" i="14"/>
  <c r="J205" i="14" s="1"/>
  <c r="I207" i="14"/>
  <c r="J207" i="14" s="1"/>
  <c r="I209" i="14"/>
  <c r="J209" i="14" s="1"/>
  <c r="I212" i="14"/>
  <c r="J212" i="14" s="1"/>
  <c r="I217" i="14"/>
  <c r="J217" i="14" s="1"/>
  <c r="I232" i="14"/>
  <c r="J232" i="14" s="1"/>
  <c r="I255" i="14"/>
  <c r="J255" i="14" s="1"/>
  <c r="I256" i="14"/>
  <c r="J256" i="14" s="1"/>
  <c r="I258" i="14"/>
  <c r="J258" i="14" s="1"/>
  <c r="I263" i="14"/>
  <c r="J263" i="14" s="1"/>
  <c r="I266" i="14"/>
  <c r="J266" i="14" s="1"/>
  <c r="I275" i="14"/>
  <c r="J275" i="14" s="1"/>
  <c r="I281" i="14"/>
  <c r="J281" i="14" s="1"/>
  <c r="I285" i="14"/>
  <c r="J285" i="14" s="1"/>
  <c r="I286" i="14"/>
  <c r="J286" i="14" s="1"/>
  <c r="I287" i="14"/>
  <c r="J287" i="14" s="1"/>
  <c r="I294" i="14"/>
  <c r="J294" i="14" s="1"/>
  <c r="I301" i="14"/>
  <c r="J301" i="14" s="1"/>
  <c r="I310" i="14"/>
  <c r="J310" i="14" s="1"/>
  <c r="I313" i="14"/>
  <c r="J313" i="14" s="1"/>
  <c r="I329" i="14"/>
  <c r="J329" i="14" s="1"/>
  <c r="I342" i="14"/>
  <c r="J342" i="14" s="1"/>
  <c r="I364" i="14"/>
  <c r="J364" i="14" s="1"/>
  <c r="I368" i="14"/>
  <c r="J368" i="14" s="1"/>
  <c r="I369" i="14"/>
  <c r="J369" i="14" s="1"/>
  <c r="I387" i="14"/>
  <c r="J387" i="14" s="1"/>
  <c r="I398" i="14"/>
  <c r="J398" i="14" s="1"/>
  <c r="I402" i="14"/>
  <c r="J402" i="14" s="1"/>
  <c r="I406" i="14"/>
  <c r="J406" i="14" s="1"/>
  <c r="I422" i="14"/>
  <c r="J422" i="14" s="1"/>
  <c r="I441" i="14"/>
  <c r="J441" i="14" s="1"/>
  <c r="I442" i="14"/>
  <c r="J442" i="14" s="1"/>
  <c r="I459" i="14"/>
  <c r="J459" i="14" s="1"/>
  <c r="I467" i="14"/>
  <c r="J467" i="14" s="1"/>
  <c r="I469" i="14"/>
  <c r="J469" i="14" s="1"/>
  <c r="I482" i="14"/>
  <c r="J482" i="14" s="1"/>
  <c r="I484" i="14"/>
  <c r="J484" i="14" s="1"/>
  <c r="I503" i="14"/>
  <c r="J503" i="14" s="1"/>
  <c r="I518" i="14"/>
  <c r="J518" i="14" s="1"/>
  <c r="I520" i="14"/>
  <c r="J520" i="14" s="1"/>
  <c r="I522" i="14"/>
  <c r="J522" i="14" s="1"/>
  <c r="I531" i="14"/>
  <c r="J531" i="14" s="1"/>
  <c r="I533" i="14"/>
  <c r="J533" i="14" s="1"/>
  <c r="I534" i="14"/>
  <c r="J534" i="14" s="1"/>
  <c r="I538" i="14"/>
  <c r="J538" i="14" s="1"/>
  <c r="I559" i="14"/>
  <c r="J559" i="14" s="1"/>
  <c r="I593" i="14"/>
  <c r="J593" i="14" s="1"/>
  <c r="I612" i="14"/>
  <c r="J612" i="14" s="1"/>
  <c r="I619" i="14"/>
  <c r="J619" i="14" s="1"/>
  <c r="I624" i="14"/>
  <c r="J624" i="14" s="1"/>
  <c r="I18" i="14"/>
  <c r="J18" i="14" s="1"/>
  <c r="I26" i="14"/>
  <c r="J26" i="14" s="1"/>
  <c r="I29" i="14"/>
  <c r="J29" i="14" s="1"/>
  <c r="I34" i="14"/>
  <c r="J34" i="14" s="1"/>
  <c r="I43" i="14"/>
  <c r="J43" i="14" s="1"/>
  <c r="I45" i="14"/>
  <c r="J45" i="14" s="1"/>
  <c r="I57" i="14"/>
  <c r="J57" i="14" s="1"/>
  <c r="I59" i="14"/>
  <c r="J59" i="14" s="1"/>
  <c r="I65" i="14"/>
  <c r="J65" i="14" s="1"/>
  <c r="I68" i="14"/>
  <c r="J68" i="14" s="1"/>
  <c r="I70" i="14"/>
  <c r="J70" i="14" s="1"/>
  <c r="I73" i="14"/>
  <c r="J73" i="14" s="1"/>
  <c r="I81" i="14"/>
  <c r="J81" i="14" s="1"/>
  <c r="I88" i="14"/>
  <c r="J88" i="14" s="1"/>
  <c r="I99" i="14"/>
  <c r="J99" i="14" s="1"/>
  <c r="I104" i="14"/>
  <c r="J104" i="14" s="1"/>
  <c r="I116" i="14"/>
  <c r="J116" i="14" s="1"/>
  <c r="I121" i="14"/>
  <c r="J121" i="14" s="1"/>
  <c r="I124" i="14"/>
  <c r="J124" i="14" s="1"/>
  <c r="I133" i="14"/>
  <c r="J133" i="14" s="1"/>
  <c r="I143" i="14"/>
  <c r="J143" i="14" s="1"/>
  <c r="I148" i="14"/>
  <c r="J148" i="14" s="1"/>
  <c r="I152" i="14"/>
  <c r="J152" i="14" s="1"/>
  <c r="I175" i="14"/>
  <c r="J175" i="14" s="1"/>
  <c r="I177" i="14"/>
  <c r="J177" i="14" s="1"/>
  <c r="I183" i="14"/>
  <c r="J183" i="14" s="1"/>
  <c r="I184" i="14"/>
  <c r="J184" i="14" s="1"/>
  <c r="I191" i="14"/>
  <c r="J191" i="14" s="1"/>
  <c r="I200" i="14"/>
  <c r="J200" i="14" s="1"/>
  <c r="I220" i="14"/>
  <c r="J220" i="14" s="1"/>
  <c r="I221" i="14"/>
  <c r="J221" i="14" s="1"/>
  <c r="I223" i="14"/>
  <c r="J223" i="14" s="1"/>
  <c r="I225" i="14"/>
  <c r="J225" i="14" s="1"/>
  <c r="I234" i="14"/>
  <c r="J234" i="14" s="1"/>
  <c r="I235" i="14"/>
  <c r="J235" i="14" s="1"/>
  <c r="I238" i="14"/>
  <c r="J238" i="14" s="1"/>
  <c r="I242" i="14"/>
  <c r="J242" i="14" s="1"/>
  <c r="I243" i="14"/>
  <c r="J243" i="14" s="1"/>
  <c r="I252" i="14"/>
  <c r="J252" i="14" s="1"/>
  <c r="I253" i="14"/>
  <c r="J253" i="14" s="1"/>
  <c r="I264" i="14"/>
  <c r="J264" i="14" s="1"/>
  <c r="I268" i="14"/>
  <c r="J268" i="14" s="1"/>
  <c r="I269" i="14"/>
  <c r="J269" i="14" s="1"/>
  <c r="I293" i="14"/>
  <c r="J293" i="14" s="1"/>
  <c r="I300" i="14"/>
  <c r="J300" i="14" s="1"/>
  <c r="I304" i="14"/>
  <c r="J304" i="14" s="1"/>
  <c r="I307" i="14"/>
  <c r="J307" i="14" s="1"/>
  <c r="I308" i="14"/>
  <c r="J308" i="14" s="1"/>
  <c r="I320" i="14"/>
  <c r="J320" i="14" s="1"/>
  <c r="I325" i="14"/>
  <c r="J325" i="14" s="1"/>
  <c r="I330" i="14"/>
  <c r="J330" i="14" s="1"/>
  <c r="I331" i="14"/>
  <c r="J331" i="14" s="1"/>
  <c r="I336" i="14"/>
  <c r="J336" i="14" s="1"/>
  <c r="I341" i="14"/>
  <c r="J341" i="14" s="1"/>
  <c r="I347" i="14"/>
  <c r="J347" i="14" s="1"/>
  <c r="I351" i="14"/>
  <c r="J351" i="14" s="1"/>
  <c r="I353" i="14"/>
  <c r="J353" i="14" s="1"/>
  <c r="I357" i="14"/>
  <c r="J357" i="14" s="1"/>
  <c r="I360" i="14"/>
  <c r="J360" i="14" s="1"/>
  <c r="I362" i="14"/>
  <c r="J362" i="14" s="1"/>
  <c r="I363" i="14"/>
  <c r="J363" i="14" s="1"/>
  <c r="I374" i="14"/>
  <c r="J374" i="14" s="1"/>
  <c r="I404" i="14"/>
  <c r="J404" i="14" s="1"/>
  <c r="I413" i="14"/>
  <c r="J413" i="14" s="1"/>
  <c r="I421" i="14"/>
  <c r="J421" i="14" s="1"/>
  <c r="I427" i="14"/>
  <c r="J427" i="14" s="1"/>
  <c r="I428" i="14"/>
  <c r="J428" i="14" s="1"/>
  <c r="I437" i="14"/>
  <c r="J437" i="14" s="1"/>
  <c r="I443" i="14"/>
  <c r="J443" i="14" s="1"/>
  <c r="I445" i="14"/>
  <c r="J445" i="14" s="1"/>
  <c r="I454" i="14"/>
  <c r="J454" i="14" s="1"/>
  <c r="I456" i="14"/>
  <c r="J456" i="14" s="1"/>
  <c r="I466" i="14"/>
  <c r="J466" i="14" s="1"/>
  <c r="I478" i="14"/>
  <c r="J478" i="14" s="1"/>
  <c r="I479" i="14"/>
  <c r="J479" i="14" s="1"/>
  <c r="I499" i="14"/>
  <c r="J499" i="14" s="1"/>
  <c r="I504" i="14"/>
  <c r="J504" i="14" s="1"/>
  <c r="I507" i="14"/>
  <c r="J507" i="14" s="1"/>
  <c r="I509" i="14"/>
  <c r="J509" i="14" s="1"/>
  <c r="I510" i="14"/>
  <c r="J510" i="14" s="1"/>
  <c r="I512" i="14"/>
  <c r="J512" i="14" s="1"/>
  <c r="I513" i="14"/>
  <c r="J513" i="14" s="1"/>
  <c r="I517" i="14"/>
  <c r="J517" i="14" s="1"/>
  <c r="I521" i="14"/>
  <c r="J521" i="14" s="1"/>
  <c r="I523" i="14"/>
  <c r="J523" i="14" s="1"/>
  <c r="I524" i="14"/>
  <c r="J524" i="14" s="1"/>
  <c r="I526" i="14"/>
  <c r="J526" i="14" s="1"/>
  <c r="I527" i="14"/>
  <c r="J527" i="14" s="1"/>
  <c r="I539" i="14"/>
  <c r="J539" i="14" s="1"/>
  <c r="I546" i="14"/>
  <c r="J546" i="14" s="1"/>
  <c r="I551" i="14"/>
  <c r="J551" i="14" s="1"/>
  <c r="I553" i="14"/>
  <c r="J553" i="14" s="1"/>
  <c r="I558" i="14"/>
  <c r="J558" i="14" s="1"/>
  <c r="I566" i="14"/>
  <c r="J566" i="14" s="1"/>
  <c r="I571" i="14"/>
  <c r="J571" i="14" s="1"/>
  <c r="I573" i="14"/>
  <c r="J573" i="14" s="1"/>
  <c r="I579" i="14"/>
  <c r="J579" i="14" s="1"/>
  <c r="I587" i="14"/>
  <c r="J587" i="14" s="1"/>
  <c r="I589" i="14"/>
  <c r="J589" i="14" s="1"/>
  <c r="I601" i="14"/>
  <c r="J601" i="14" s="1"/>
  <c r="I602" i="14"/>
  <c r="J602" i="14" s="1"/>
  <c r="I603" i="14"/>
  <c r="J603" i="14" s="1"/>
  <c r="I605" i="14"/>
  <c r="J605" i="14" s="1"/>
  <c r="I7" i="14"/>
  <c r="J7" i="14" s="1"/>
  <c r="I8" i="14"/>
  <c r="J8" i="14" s="1"/>
  <c r="I9" i="14"/>
  <c r="J9" i="14" s="1"/>
  <c r="I15" i="14"/>
  <c r="J15" i="14" s="1"/>
  <c r="I28" i="14"/>
  <c r="J28" i="14" s="1"/>
  <c r="I41" i="14"/>
  <c r="J41" i="14" s="1"/>
  <c r="I53" i="14"/>
  <c r="J53" i="14" s="1"/>
  <c r="I64" i="14"/>
  <c r="J64" i="14" s="1"/>
  <c r="I80" i="14"/>
  <c r="J80" i="14" s="1"/>
  <c r="I97" i="14"/>
  <c r="J97" i="14" s="1"/>
  <c r="I100" i="14"/>
  <c r="J100" i="14" s="1"/>
  <c r="I105" i="14"/>
  <c r="J105" i="14" s="1"/>
  <c r="I107" i="14"/>
  <c r="J107" i="14" s="1"/>
  <c r="I109" i="14"/>
  <c r="J109" i="14" s="1"/>
  <c r="I118" i="14"/>
  <c r="J118" i="14" s="1"/>
  <c r="I125" i="14"/>
  <c r="J125" i="14" s="1"/>
  <c r="I130" i="14"/>
  <c r="J130" i="14" s="1"/>
  <c r="I137" i="14"/>
  <c r="J137" i="14" s="1"/>
  <c r="I140" i="14"/>
  <c r="J140" i="14" s="1"/>
  <c r="I141" i="14"/>
  <c r="J141" i="14" s="1"/>
  <c r="I146" i="14"/>
  <c r="J146" i="14" s="1"/>
  <c r="I154" i="14"/>
  <c r="J154" i="14" s="1"/>
  <c r="I156" i="14"/>
  <c r="J156" i="14" s="1"/>
  <c r="I169" i="14"/>
  <c r="J169" i="14" s="1"/>
  <c r="I170" i="14"/>
  <c r="J170" i="14" s="1"/>
  <c r="I179" i="14"/>
  <c r="J179" i="14" s="1"/>
  <c r="I194" i="14"/>
  <c r="J194" i="14" s="1"/>
  <c r="I229" i="14"/>
  <c r="J229" i="14" s="1"/>
  <c r="I233" i="14"/>
  <c r="J233" i="14" s="1"/>
  <c r="I239" i="14"/>
  <c r="J239" i="14" s="1"/>
  <c r="I240" i="14"/>
  <c r="J240" i="14" s="1"/>
  <c r="I244" i="14"/>
  <c r="J244" i="14" s="1"/>
  <c r="I246" i="14"/>
  <c r="J246" i="14" s="1"/>
  <c r="I261" i="14"/>
  <c r="J261" i="14" s="1"/>
  <c r="I271" i="14"/>
  <c r="J271" i="14" s="1"/>
  <c r="I274" i="14"/>
  <c r="J274" i="14" s="1"/>
  <c r="I277" i="14"/>
  <c r="J277" i="14" s="1"/>
  <c r="I289" i="14"/>
  <c r="J289" i="14" s="1"/>
  <c r="I290" i="14"/>
  <c r="J290" i="14" s="1"/>
  <c r="I298" i="14"/>
  <c r="J298" i="14" s="1"/>
  <c r="I299" i="14"/>
  <c r="J299" i="14" s="1"/>
  <c r="I309" i="14"/>
  <c r="J309" i="14" s="1"/>
  <c r="I314" i="14"/>
  <c r="J314" i="14" s="1"/>
  <c r="I326" i="14"/>
  <c r="J326" i="14" s="1"/>
  <c r="I327" i="14"/>
  <c r="J327" i="14" s="1"/>
  <c r="I338" i="14"/>
  <c r="J338" i="14" s="1"/>
  <c r="I350" i="14"/>
  <c r="J350" i="14" s="1"/>
  <c r="I375" i="14"/>
  <c r="J375" i="14" s="1"/>
  <c r="I378" i="14"/>
  <c r="J378" i="14" s="1"/>
  <c r="I379" i="14"/>
  <c r="J379" i="14" s="1"/>
  <c r="I391" i="14"/>
  <c r="J391" i="14" s="1"/>
  <c r="I392" i="14"/>
  <c r="J392" i="14" s="1"/>
  <c r="I393" i="14"/>
  <c r="J393" i="14" s="1"/>
  <c r="I397" i="14"/>
  <c r="J397" i="14" s="1"/>
  <c r="I399" i="14"/>
  <c r="J399" i="14" s="1"/>
  <c r="I403" i="14"/>
  <c r="J403" i="14" s="1"/>
  <c r="I414" i="14"/>
  <c r="J414" i="14" s="1"/>
  <c r="I418" i="14"/>
  <c r="J418" i="14" s="1"/>
  <c r="I419" i="14"/>
  <c r="J419" i="14" s="1"/>
  <c r="I433" i="14"/>
  <c r="J433" i="14" s="1"/>
  <c r="I438" i="14"/>
  <c r="J438" i="14" s="1"/>
  <c r="I440" i="14"/>
  <c r="J440" i="14" s="1"/>
  <c r="I447" i="14"/>
  <c r="J447" i="14" s="1"/>
  <c r="I452" i="14"/>
  <c r="J452" i="14" s="1"/>
  <c r="I457" i="14"/>
  <c r="J457" i="14" s="1"/>
  <c r="I464" i="14"/>
  <c r="J464" i="14" s="1"/>
  <c r="I470" i="14"/>
  <c r="J470" i="14" s="1"/>
  <c r="I471" i="14"/>
  <c r="J471" i="14" s="1"/>
  <c r="I474" i="14"/>
  <c r="J474" i="14" s="1"/>
  <c r="I483" i="14"/>
  <c r="J483" i="14" s="1"/>
  <c r="I489" i="14"/>
  <c r="J489" i="14" s="1"/>
  <c r="I490" i="14"/>
  <c r="J490" i="14" s="1"/>
  <c r="I492" i="14"/>
  <c r="J492" i="14" s="1"/>
  <c r="I495" i="14"/>
  <c r="J495" i="14" s="1"/>
  <c r="I496" i="14"/>
  <c r="J496" i="14" s="1"/>
  <c r="I502" i="14"/>
  <c r="J502" i="14" s="1"/>
  <c r="I514" i="14"/>
  <c r="J514" i="14" s="1"/>
  <c r="I544" i="14"/>
  <c r="J544" i="14" s="1"/>
  <c r="I548" i="14"/>
  <c r="J548" i="14" s="1"/>
  <c r="I550" i="14"/>
  <c r="J550" i="14" s="1"/>
  <c r="I556" i="14"/>
  <c r="J556" i="14" s="1"/>
  <c r="I564" i="14"/>
  <c r="J564" i="14" s="1"/>
  <c r="I575" i="14"/>
  <c r="J575" i="14" s="1"/>
  <c r="I577" i="14"/>
  <c r="J577" i="14" s="1"/>
  <c r="I578" i="14"/>
  <c r="J578" i="14" s="1"/>
  <c r="I583" i="14"/>
  <c r="J583" i="14" s="1"/>
  <c r="I599" i="14"/>
  <c r="J599" i="14" s="1"/>
  <c r="I608" i="14"/>
  <c r="J608" i="14" s="1"/>
  <c r="I610" i="14"/>
  <c r="J610" i="14" s="1"/>
  <c r="I611" i="14"/>
  <c r="J611" i="14" s="1"/>
  <c r="I615" i="14"/>
  <c r="J615" i="14" s="1"/>
  <c r="I616" i="14"/>
  <c r="J616" i="14" s="1"/>
  <c r="I626" i="14"/>
  <c r="J626" i="14" s="1"/>
  <c r="I630" i="14"/>
  <c r="J630" i="14" s="1"/>
  <c r="I4" i="14"/>
  <c r="J4" i="14" s="1"/>
  <c r="I10" i="14"/>
  <c r="J10" i="14" s="1"/>
  <c r="I20" i="14"/>
  <c r="J20" i="14" s="1"/>
  <c r="I23" i="14"/>
  <c r="J23" i="14" s="1"/>
  <c r="I32" i="14"/>
  <c r="J32" i="14" s="1"/>
  <c r="I35" i="14"/>
  <c r="J35" i="14" s="1"/>
  <c r="I50" i="14"/>
  <c r="J50" i="14" s="1"/>
  <c r="I56" i="14"/>
  <c r="J56" i="14" s="1"/>
  <c r="I86" i="14"/>
  <c r="J86" i="14" s="1"/>
  <c r="I89" i="14"/>
  <c r="J89" i="14" s="1"/>
  <c r="I96" i="14"/>
  <c r="J96" i="14" s="1"/>
  <c r="I127" i="14"/>
  <c r="J127" i="14" s="1"/>
  <c r="I128" i="14"/>
  <c r="J128" i="14" s="1"/>
  <c r="I131" i="14"/>
  <c r="J131" i="14" s="1"/>
  <c r="I134" i="14"/>
  <c r="J134" i="14" s="1"/>
  <c r="I142" i="14"/>
  <c r="J142" i="14" s="1"/>
  <c r="I145" i="14"/>
  <c r="J145" i="14" s="1"/>
  <c r="I150" i="14"/>
  <c r="J150" i="14" s="1"/>
  <c r="I153" i="14"/>
  <c r="J153" i="14" s="1"/>
  <c r="I155" i="14"/>
  <c r="J155" i="14" s="1"/>
  <c r="I158" i="14"/>
  <c r="J158" i="14" s="1"/>
  <c r="I162" i="14"/>
  <c r="J162" i="14" s="1"/>
  <c r="I164" i="14"/>
  <c r="J164" i="14" s="1"/>
  <c r="I171" i="14"/>
  <c r="J171" i="14" s="1"/>
  <c r="I181" i="14"/>
  <c r="J181" i="14" s="1"/>
  <c r="I185" i="14"/>
  <c r="J185" i="14" s="1"/>
  <c r="I204" i="14"/>
  <c r="J204" i="14" s="1"/>
  <c r="I213" i="14"/>
  <c r="J213" i="14" s="1"/>
  <c r="I215" i="14"/>
  <c r="J215" i="14" s="1"/>
  <c r="I218" i="14"/>
  <c r="J218" i="14" s="1"/>
  <c r="I222" i="14"/>
  <c r="J222" i="14" s="1"/>
  <c r="I226" i="14"/>
  <c r="J226" i="14" s="1"/>
  <c r="I230" i="14"/>
  <c r="J230" i="14" s="1"/>
  <c r="I231" i="14"/>
  <c r="J231" i="14" s="1"/>
  <c r="I236" i="14"/>
  <c r="J236" i="14" s="1"/>
  <c r="I257" i="14"/>
  <c r="J257" i="14" s="1"/>
  <c r="I259" i="14"/>
  <c r="J259" i="14" s="1"/>
  <c r="I278" i="14"/>
  <c r="J278" i="14" s="1"/>
  <c r="I280" i="14"/>
  <c r="J280" i="14" s="1"/>
  <c r="I282" i="14"/>
  <c r="J282" i="14" s="1"/>
  <c r="I288" i="14"/>
  <c r="J288" i="14" s="1"/>
  <c r="I295" i="14"/>
  <c r="J295" i="14" s="1"/>
  <c r="I296" i="14"/>
  <c r="J296" i="14" s="1"/>
  <c r="I315" i="14"/>
  <c r="J315" i="14" s="1"/>
  <c r="I318" i="14"/>
  <c r="J318" i="14" s="1"/>
  <c r="I321" i="14"/>
  <c r="J321" i="14" s="1"/>
  <c r="I328" i="14"/>
  <c r="J328" i="14" s="1"/>
  <c r="I352" i="14"/>
  <c r="J352" i="14" s="1"/>
  <c r="I367" i="14"/>
  <c r="J367" i="14" s="1"/>
  <c r="I370" i="14"/>
  <c r="J370" i="14" s="1"/>
  <c r="I383" i="14"/>
  <c r="J383" i="14" s="1"/>
  <c r="I384" i="14"/>
  <c r="J384" i="14" s="1"/>
  <c r="I385" i="14"/>
  <c r="J385" i="14" s="1"/>
  <c r="I388" i="14"/>
  <c r="J388" i="14" s="1"/>
  <c r="I389" i="14"/>
  <c r="J389" i="14" s="1"/>
  <c r="I410" i="14"/>
  <c r="J410" i="14" s="1"/>
  <c r="I416" i="14"/>
  <c r="J416" i="14" s="1"/>
  <c r="I430" i="14"/>
  <c r="J430" i="14" s="1"/>
  <c r="I432" i="14"/>
  <c r="J432" i="14" s="1"/>
  <c r="I446" i="14"/>
  <c r="J446" i="14" s="1"/>
  <c r="I448" i="14"/>
  <c r="J448" i="14" s="1"/>
  <c r="I450" i="14"/>
  <c r="J450" i="14" s="1"/>
  <c r="I453" i="14"/>
  <c r="J453" i="14" s="1"/>
  <c r="I458" i="14"/>
  <c r="J458" i="14" s="1"/>
  <c r="I460" i="14"/>
  <c r="J460" i="14" s="1"/>
  <c r="I461" i="14"/>
  <c r="J461" i="14" s="1"/>
  <c r="I463" i="14"/>
  <c r="J463" i="14" s="1"/>
  <c r="I472" i="14"/>
  <c r="J472" i="14" s="1"/>
  <c r="I480" i="14"/>
  <c r="J480" i="14" s="1"/>
  <c r="I491" i="14"/>
  <c r="J491" i="14" s="1"/>
  <c r="I493" i="14"/>
  <c r="J493" i="14" s="1"/>
  <c r="I501" i="14"/>
  <c r="J501" i="14" s="1"/>
  <c r="I508" i="14"/>
  <c r="J508" i="14" s="1"/>
  <c r="I519" i="14"/>
  <c r="J519" i="14" s="1"/>
  <c r="I540" i="14"/>
  <c r="J540" i="14" s="1"/>
  <c r="I542" i="14"/>
  <c r="J542" i="14" s="1"/>
  <c r="I561" i="14"/>
  <c r="J561" i="14" s="1"/>
  <c r="I563" i="14"/>
  <c r="J563" i="14" s="1"/>
  <c r="I568" i="14"/>
  <c r="J568" i="14" s="1"/>
  <c r="I569" i="14"/>
  <c r="J569" i="14" s="1"/>
  <c r="I576" i="14"/>
  <c r="J576" i="14" s="1"/>
  <c r="I580" i="14"/>
  <c r="J580" i="14" s="1"/>
  <c r="I582" i="14"/>
  <c r="J582" i="14" s="1"/>
  <c r="I597" i="14"/>
  <c r="J597" i="14" s="1"/>
  <c r="I598" i="14"/>
  <c r="J598" i="14" s="1"/>
  <c r="I604" i="14"/>
  <c r="J604" i="14" s="1"/>
  <c r="I607" i="14"/>
  <c r="J607" i="14" s="1"/>
  <c r="I618" i="14"/>
  <c r="J618" i="14" s="1"/>
  <c r="I621" i="14"/>
  <c r="J621" i="14" s="1"/>
  <c r="I628" i="14"/>
  <c r="J628" i="14" s="1"/>
  <c r="I16" i="14"/>
  <c r="J16" i="14" s="1"/>
  <c r="I31" i="14"/>
  <c r="J31" i="14" s="1"/>
  <c r="I47" i="14"/>
  <c r="J47" i="14" s="1"/>
  <c r="I51" i="14"/>
  <c r="J51" i="14" s="1"/>
  <c r="I52" i="14"/>
  <c r="J52" i="14" s="1"/>
  <c r="I66" i="14"/>
  <c r="J66" i="14" s="1"/>
  <c r="I69" i="14"/>
  <c r="J69" i="14" s="1"/>
  <c r="I75" i="14"/>
  <c r="J75" i="14" s="1"/>
  <c r="I77" i="14"/>
  <c r="J77" i="14" s="1"/>
  <c r="I79" i="14"/>
  <c r="J79" i="14" s="1"/>
  <c r="I87" i="14"/>
  <c r="J87" i="14" s="1"/>
  <c r="I91" i="14"/>
  <c r="J91" i="14" s="1"/>
  <c r="I93" i="14"/>
  <c r="J93" i="14" s="1"/>
  <c r="I106" i="14"/>
  <c r="J106" i="14" s="1"/>
  <c r="I117" i="14"/>
  <c r="J117" i="14" s="1"/>
  <c r="I119" i="14"/>
  <c r="J119" i="14" s="1"/>
  <c r="I120" i="14"/>
  <c r="J120" i="14" s="1"/>
  <c r="I123" i="14"/>
  <c r="J123" i="14" s="1"/>
  <c r="I132" i="14"/>
  <c r="J132" i="14" s="1"/>
  <c r="I139" i="14"/>
  <c r="J139" i="14" s="1"/>
  <c r="I149" i="14"/>
  <c r="J149" i="14" s="1"/>
  <c r="I160" i="14"/>
  <c r="J160" i="14" s="1"/>
  <c r="I165" i="14"/>
  <c r="J165" i="14" s="1"/>
  <c r="I172" i="14"/>
  <c r="J172" i="14" s="1"/>
  <c r="I176" i="14"/>
  <c r="J176" i="14" s="1"/>
  <c r="I182" i="14"/>
  <c r="J182" i="14" s="1"/>
  <c r="I186" i="14"/>
  <c r="J186" i="14" s="1"/>
  <c r="I188" i="14"/>
  <c r="J188" i="14" s="1"/>
  <c r="I190" i="14"/>
  <c r="J190" i="14" s="1"/>
  <c r="I201" i="14"/>
  <c r="J201" i="14" s="1"/>
  <c r="I208" i="14"/>
  <c r="J208" i="14" s="1"/>
  <c r="I210" i="14"/>
  <c r="J210" i="14" s="1"/>
  <c r="I211" i="14"/>
  <c r="J211" i="14" s="1"/>
  <c r="I237" i="14"/>
  <c r="J237" i="14" s="1"/>
  <c r="I245" i="14"/>
  <c r="J245" i="14" s="1"/>
  <c r="I248" i="14"/>
  <c r="J248" i="14" s="1"/>
  <c r="I265" i="14"/>
  <c r="J265" i="14" s="1"/>
  <c r="I273" i="14"/>
  <c r="J273" i="14" s="1"/>
  <c r="I303" i="14"/>
  <c r="J303" i="14" s="1"/>
  <c r="I306" i="14"/>
  <c r="J306" i="14" s="1"/>
  <c r="I311" i="14"/>
  <c r="J311" i="14" s="1"/>
  <c r="I312" i="14"/>
  <c r="J312" i="14" s="1"/>
  <c r="I316" i="14"/>
  <c r="J316" i="14" s="1"/>
  <c r="I322" i="14"/>
  <c r="J322" i="14" s="1"/>
  <c r="I323" i="14"/>
  <c r="J323" i="14" s="1"/>
  <c r="I332" i="14"/>
  <c r="J332" i="14" s="1"/>
  <c r="I333" i="14"/>
  <c r="J333" i="14" s="1"/>
  <c r="I337" i="14"/>
  <c r="J337" i="14" s="1"/>
  <c r="I356" i="14"/>
  <c r="J356" i="14" s="1"/>
  <c r="I361" i="14"/>
  <c r="J361" i="14" s="1"/>
  <c r="I371" i="14"/>
  <c r="J371" i="14" s="1"/>
  <c r="I373" i="14"/>
  <c r="J373" i="14" s="1"/>
  <c r="I380" i="14"/>
  <c r="J380" i="14" s="1"/>
  <c r="I382" i="14"/>
  <c r="J382" i="14" s="1"/>
  <c r="I407" i="14"/>
  <c r="J407" i="14" s="1"/>
  <c r="I409" i="14"/>
  <c r="J409" i="14" s="1"/>
  <c r="I411" i="14"/>
  <c r="J411" i="14" s="1"/>
  <c r="I429" i="14"/>
  <c r="J429" i="14" s="1"/>
  <c r="I436" i="14"/>
  <c r="J436" i="14" s="1"/>
  <c r="I444" i="14"/>
  <c r="J444" i="14" s="1"/>
  <c r="I451" i="14"/>
  <c r="J451" i="14" s="1"/>
  <c r="I468" i="14"/>
  <c r="J468" i="14" s="1"/>
  <c r="I477" i="14"/>
  <c r="J477" i="14" s="1"/>
  <c r="I485" i="14"/>
  <c r="J485" i="14" s="1"/>
  <c r="I486" i="14"/>
  <c r="J486" i="14" s="1"/>
  <c r="I487" i="14"/>
  <c r="J487" i="14" s="1"/>
  <c r="I488" i="14"/>
  <c r="J488" i="14" s="1"/>
  <c r="I494" i="14"/>
  <c r="J494" i="14" s="1"/>
  <c r="I497" i="14"/>
  <c r="J497" i="14" s="1"/>
  <c r="I515" i="14"/>
  <c r="J515" i="14" s="1"/>
  <c r="I528" i="14"/>
  <c r="J528" i="14" s="1"/>
  <c r="I529" i="14"/>
  <c r="J529" i="14" s="1"/>
  <c r="I532" i="14"/>
  <c r="J532" i="14" s="1"/>
  <c r="I535" i="14"/>
  <c r="J535" i="14" s="1"/>
  <c r="I541" i="14"/>
  <c r="J541" i="14" s="1"/>
  <c r="I549" i="14"/>
  <c r="J549" i="14" s="1"/>
  <c r="I555" i="14"/>
  <c r="J555" i="14" s="1"/>
  <c r="I557" i="14"/>
  <c r="J557" i="14" s="1"/>
  <c r="I565" i="14"/>
  <c r="J565" i="14" s="1"/>
  <c r="I570" i="14"/>
  <c r="J570" i="14" s="1"/>
  <c r="I600" i="14"/>
  <c r="J600" i="14" s="1"/>
  <c r="I606" i="14"/>
  <c r="J606" i="14" s="1"/>
  <c r="I609" i="14"/>
  <c r="J609" i="14" s="1"/>
  <c r="I613" i="14"/>
  <c r="J613" i="14" s="1"/>
  <c r="I617" i="14"/>
  <c r="J617" i="14" s="1"/>
  <c r="I620" i="14"/>
  <c r="J620" i="14" s="1"/>
  <c r="I627" i="14"/>
  <c r="J627" i="14" s="1"/>
  <c r="I629" i="14"/>
  <c r="J629" i="14" s="1"/>
  <c r="I14" i="14"/>
  <c r="J14" i="14" s="1"/>
  <c r="I30" i="14"/>
  <c r="J30" i="14" s="1"/>
  <c r="I40" i="14"/>
  <c r="J40" i="14" s="1"/>
  <c r="I46" i="14"/>
  <c r="J46" i="14" s="1"/>
  <c r="I67" i="14"/>
  <c r="J67" i="14" s="1"/>
  <c r="I74" i="14"/>
  <c r="J74" i="14" s="1"/>
  <c r="I76" i="14"/>
  <c r="J76" i="14" s="1"/>
  <c r="I83" i="14"/>
  <c r="J83" i="14" s="1"/>
  <c r="I92" i="14"/>
  <c r="J92" i="14" s="1"/>
  <c r="I98" i="14"/>
  <c r="J98" i="14" s="1"/>
  <c r="I103" i="14"/>
  <c r="J103" i="14" s="1"/>
  <c r="I122" i="14"/>
  <c r="J122" i="14" s="1"/>
  <c r="I129" i="14"/>
  <c r="J129" i="14" s="1"/>
  <c r="I135" i="14"/>
  <c r="J135" i="14" s="1"/>
  <c r="I136" i="14"/>
  <c r="J136" i="14" s="1"/>
  <c r="I159" i="14"/>
  <c r="J159" i="14" s="1"/>
  <c r="I166" i="14"/>
  <c r="J166" i="14" s="1"/>
  <c r="I167" i="14"/>
  <c r="J167" i="14" s="1"/>
  <c r="I168" i="14"/>
  <c r="J168" i="14" s="1"/>
  <c r="I173" i="14"/>
  <c r="J173" i="14" s="1"/>
  <c r="I174" i="14"/>
  <c r="J174" i="14" s="1"/>
  <c r="I193" i="14"/>
  <c r="J193" i="14" s="1"/>
  <c r="I197" i="14"/>
  <c r="J197" i="14" s="1"/>
  <c r="I199" i="14"/>
  <c r="J199" i="14" s="1"/>
  <c r="I206" i="14"/>
  <c r="J206" i="14" s="1"/>
  <c r="I214" i="14"/>
  <c r="J214" i="14" s="1"/>
  <c r="I224" i="14"/>
  <c r="J224" i="14" s="1"/>
  <c r="I227" i="14"/>
  <c r="J227" i="14" s="1"/>
  <c r="I249" i="14"/>
  <c r="J249" i="14" s="1"/>
  <c r="I250" i="14"/>
  <c r="J250" i="14" s="1"/>
  <c r="I251" i="14"/>
  <c r="J251" i="14" s="1"/>
  <c r="I254" i="14"/>
  <c r="J254" i="14" s="1"/>
  <c r="I267" i="14"/>
  <c r="J267" i="14" s="1"/>
  <c r="I270" i="14"/>
  <c r="J270" i="14" s="1"/>
  <c r="I272" i="14"/>
  <c r="J272" i="14" s="1"/>
  <c r="I276" i="14"/>
  <c r="J276" i="14" s="1"/>
  <c r="I284" i="14"/>
  <c r="J284" i="14" s="1"/>
  <c r="I292" i="14"/>
  <c r="J292" i="14" s="1"/>
  <c r="I297" i="14"/>
  <c r="J297" i="14" s="1"/>
  <c r="I305" i="14"/>
  <c r="J305" i="14" s="1"/>
  <c r="I319" i="14"/>
  <c r="J319" i="14" s="1"/>
  <c r="I324" i="14"/>
  <c r="J324" i="14" s="1"/>
  <c r="I334" i="14"/>
  <c r="J334" i="14" s="1"/>
  <c r="I335" i="14"/>
  <c r="J335" i="14" s="1"/>
  <c r="I339" i="14"/>
  <c r="J339" i="14" s="1"/>
  <c r="I340" i="14"/>
  <c r="J340" i="14" s="1"/>
  <c r="I346" i="14"/>
  <c r="J346" i="14" s="1"/>
  <c r="I348" i="14"/>
  <c r="J348" i="14" s="1"/>
  <c r="I354" i="14"/>
  <c r="J354" i="14" s="1"/>
  <c r="I355" i="14"/>
  <c r="J355" i="14" s="1"/>
  <c r="I365" i="14"/>
  <c r="J365" i="14" s="1"/>
  <c r="I381" i="14"/>
  <c r="J381" i="14" s="1"/>
  <c r="I394" i="14"/>
  <c r="J394" i="14" s="1"/>
  <c r="I396" i="14"/>
  <c r="J396" i="14" s="1"/>
  <c r="I400" i="14"/>
  <c r="J400" i="14" s="1"/>
  <c r="I412" i="14"/>
  <c r="J412" i="14" s="1"/>
  <c r="I415" i="14"/>
  <c r="J415" i="14" s="1"/>
  <c r="I420" i="14"/>
  <c r="J420" i="14" s="1"/>
  <c r="I423" i="14"/>
  <c r="J423" i="14" s="1"/>
  <c r="I424" i="14"/>
  <c r="J424" i="14" s="1"/>
  <c r="I425" i="14"/>
  <c r="J425" i="14" s="1"/>
  <c r="I431" i="14"/>
  <c r="J431" i="14" s="1"/>
  <c r="I434" i="14"/>
  <c r="J434" i="14" s="1"/>
  <c r="I439" i="14"/>
  <c r="J439" i="14" s="1"/>
  <c r="I449" i="14"/>
  <c r="J449" i="14" s="1"/>
  <c r="I462" i="14"/>
  <c r="J462" i="14" s="1"/>
  <c r="I465" i="14"/>
  <c r="J465" i="14" s="1"/>
  <c r="I473" i="14"/>
  <c r="J473" i="14" s="1"/>
  <c r="I476" i="14"/>
  <c r="J476" i="14" s="1"/>
  <c r="I498" i="14"/>
  <c r="J498" i="14" s="1"/>
  <c r="I500" i="14"/>
  <c r="J500" i="14" s="1"/>
  <c r="I505" i="14"/>
  <c r="J505" i="14" s="1"/>
  <c r="I506" i="14"/>
  <c r="J506" i="14" s="1"/>
  <c r="I511" i="14"/>
  <c r="J511" i="14" s="1"/>
  <c r="I525" i="14"/>
  <c r="J525" i="14" s="1"/>
  <c r="I547" i="14"/>
  <c r="J547" i="14" s="1"/>
  <c r="I554" i="14"/>
  <c r="J554" i="14" s="1"/>
  <c r="I567" i="14"/>
  <c r="J567" i="14" s="1"/>
  <c r="I584" i="14"/>
  <c r="J584" i="14" s="1"/>
  <c r="I586" i="14"/>
  <c r="J586" i="14" s="1"/>
  <c r="I591" i="14"/>
  <c r="J591" i="14" s="1"/>
  <c r="I592" i="14"/>
  <c r="J592" i="14" s="1"/>
  <c r="I594" i="14"/>
  <c r="J594" i="14" s="1"/>
  <c r="I595" i="14"/>
  <c r="J595" i="14" s="1"/>
  <c r="I614" i="14"/>
  <c r="J614" i="14" s="1"/>
  <c r="I623" i="14"/>
  <c r="J623" i="14" s="1"/>
  <c r="I632" i="14"/>
  <c r="J632" i="14" s="1"/>
  <c r="I5" i="14"/>
  <c r="J5" i="14" s="1"/>
  <c r="C4" i="3"/>
  <c r="C2" i="3"/>
  <c r="C3"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D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2" i="3"/>
  <c r="H3" i="3"/>
  <c r="I3" i="3" s="1"/>
  <c r="H4" i="3"/>
  <c r="I4" i="3" s="1"/>
  <c r="H5" i="3"/>
  <c r="I5" i="3" s="1"/>
  <c r="K5" i="3" s="1"/>
  <c r="H6" i="3"/>
  <c r="I6" i="3" s="1"/>
  <c r="H7" i="3"/>
  <c r="I7" i="3" s="1"/>
  <c r="H8" i="3"/>
  <c r="I8" i="3" s="1"/>
  <c r="H9" i="3"/>
  <c r="I9" i="3" s="1"/>
  <c r="H10" i="3"/>
  <c r="I10" i="3" s="1"/>
  <c r="H11" i="3"/>
  <c r="I11" i="3" s="1"/>
  <c r="H12" i="3"/>
  <c r="I12" i="3" s="1"/>
  <c r="H13" i="3"/>
  <c r="I13" i="3" s="1"/>
  <c r="H14" i="3"/>
  <c r="I14" i="3" s="1"/>
  <c r="H15" i="3"/>
  <c r="I15" i="3" s="1"/>
  <c r="H16" i="3"/>
  <c r="I16" i="3" s="1"/>
  <c r="H17" i="3"/>
  <c r="I17" i="3" s="1"/>
  <c r="H18" i="3"/>
  <c r="I18" i="3" s="1"/>
  <c r="H19" i="3"/>
  <c r="I19" i="3" s="1"/>
  <c r="H20" i="3"/>
  <c r="I20" i="3" s="1"/>
  <c r="K20" i="3" s="1"/>
  <c r="H21" i="3"/>
  <c r="I21" i="3" s="1"/>
  <c r="K21" i="3" s="1"/>
  <c r="H22" i="3"/>
  <c r="I22" i="3" s="1"/>
  <c r="H23" i="3"/>
  <c r="I23" i="3" s="1"/>
  <c r="H24" i="3"/>
  <c r="I24" i="3" s="1"/>
  <c r="H25" i="3"/>
  <c r="I25" i="3" s="1"/>
  <c r="H26" i="3"/>
  <c r="I26" i="3" s="1"/>
  <c r="H27" i="3"/>
  <c r="I27" i="3" s="1"/>
  <c r="H28" i="3"/>
  <c r="I28" i="3" s="1"/>
  <c r="H29" i="3"/>
  <c r="I29" i="3" s="1"/>
  <c r="H30" i="3"/>
  <c r="I30" i="3" s="1"/>
  <c r="H31" i="3"/>
  <c r="I31" i="3" s="1"/>
  <c r="H32" i="3"/>
  <c r="I32" i="3" s="1"/>
  <c r="H33" i="3"/>
  <c r="I33" i="3" s="1"/>
  <c r="H34" i="3"/>
  <c r="I34" i="3" s="1"/>
  <c r="H35" i="3"/>
  <c r="I35" i="3" s="1"/>
  <c r="H36" i="3"/>
  <c r="I36" i="3" s="1"/>
  <c r="K36" i="3" s="1"/>
  <c r="H37" i="3"/>
  <c r="I37" i="3" s="1"/>
  <c r="K37" i="3" s="1"/>
  <c r="H38" i="3"/>
  <c r="I38" i="3" s="1"/>
  <c r="H39" i="3"/>
  <c r="I39" i="3" s="1"/>
  <c r="H40" i="3"/>
  <c r="I40" i="3" s="1"/>
  <c r="H41" i="3"/>
  <c r="I41" i="3" s="1"/>
  <c r="H42" i="3"/>
  <c r="I42" i="3" s="1"/>
  <c r="H43" i="3"/>
  <c r="I43" i="3" s="1"/>
  <c r="H44" i="3"/>
  <c r="I44" i="3" s="1"/>
  <c r="H45" i="3"/>
  <c r="I45" i="3" s="1"/>
  <c r="H46" i="3"/>
  <c r="I46" i="3" s="1"/>
  <c r="H47" i="3"/>
  <c r="I47" i="3" s="1"/>
  <c r="H48" i="3"/>
  <c r="I48" i="3" s="1"/>
  <c r="K48" i="3" s="1"/>
  <c r="H49" i="3"/>
  <c r="I49" i="3" s="1"/>
  <c r="K49" i="3" s="1"/>
  <c r="H50" i="3"/>
  <c r="I50" i="3" s="1"/>
  <c r="H51" i="3"/>
  <c r="I51" i="3" s="1"/>
  <c r="H52" i="3"/>
  <c r="I52" i="3" s="1"/>
  <c r="H53" i="3"/>
  <c r="I53" i="3" s="1"/>
  <c r="H54" i="3"/>
  <c r="I54" i="3" s="1"/>
  <c r="H55" i="3"/>
  <c r="I55" i="3" s="1"/>
  <c r="H56" i="3"/>
  <c r="I56" i="3" s="1"/>
  <c r="H57" i="3"/>
  <c r="I57" i="3" s="1"/>
  <c r="H58" i="3"/>
  <c r="I58" i="3" s="1"/>
  <c r="H59" i="3"/>
  <c r="I59" i="3" s="1"/>
  <c r="K59" i="3" s="1"/>
  <c r="H60" i="3"/>
  <c r="I60" i="3" s="1"/>
  <c r="K60" i="3" s="1"/>
  <c r="H61" i="3"/>
  <c r="I61" i="3" s="1"/>
  <c r="H62" i="3"/>
  <c r="I62" i="3" s="1"/>
  <c r="H63" i="3"/>
  <c r="I63" i="3" s="1"/>
  <c r="H64" i="3"/>
  <c r="I64" i="3" s="1"/>
  <c r="H65" i="3"/>
  <c r="I65" i="3" s="1"/>
  <c r="H66" i="3"/>
  <c r="I66" i="3" s="1"/>
  <c r="H67" i="3"/>
  <c r="I67" i="3" s="1"/>
  <c r="H68" i="3"/>
  <c r="I68" i="3" s="1"/>
  <c r="H69" i="3"/>
  <c r="I69" i="3" s="1"/>
  <c r="K69" i="3" s="1"/>
  <c r="H70" i="3"/>
  <c r="I70" i="3" s="1"/>
  <c r="H71" i="3"/>
  <c r="I71" i="3" s="1"/>
  <c r="K71" i="3" s="1"/>
  <c r="H72" i="3"/>
  <c r="I72" i="3" s="1"/>
  <c r="H73" i="3"/>
  <c r="I73" i="3" s="1"/>
  <c r="H74" i="3"/>
  <c r="I74" i="3" s="1"/>
  <c r="H75" i="3"/>
  <c r="I75" i="3" s="1"/>
  <c r="H76" i="3"/>
  <c r="I76" i="3" s="1"/>
  <c r="H77" i="3"/>
  <c r="I77" i="3" s="1"/>
  <c r="H78" i="3"/>
  <c r="I78" i="3" s="1"/>
  <c r="H79" i="3"/>
  <c r="I79" i="3" s="1"/>
  <c r="H80" i="3"/>
  <c r="I80" i="3" s="1"/>
  <c r="K80" i="3" s="1"/>
  <c r="H81" i="3"/>
  <c r="I81" i="3" s="1"/>
  <c r="K81" i="3" s="1"/>
  <c r="H82" i="3"/>
  <c r="I82" i="3" s="1"/>
  <c r="H83" i="3"/>
  <c r="I83" i="3" s="1"/>
  <c r="H84" i="3"/>
  <c r="I84" i="3" s="1"/>
  <c r="H85" i="3"/>
  <c r="I85" i="3" s="1"/>
  <c r="H86" i="3"/>
  <c r="I86" i="3" s="1"/>
  <c r="H87" i="3"/>
  <c r="I87" i="3" s="1"/>
  <c r="H88" i="3"/>
  <c r="I88" i="3" s="1"/>
  <c r="H89" i="3"/>
  <c r="I89" i="3" s="1"/>
  <c r="H90" i="3"/>
  <c r="I90" i="3" s="1"/>
  <c r="H91" i="3"/>
  <c r="I91" i="3" s="1"/>
  <c r="K91" i="3" s="1"/>
  <c r="H92" i="3"/>
  <c r="I92" i="3" s="1"/>
  <c r="K92" i="3" s="1"/>
  <c r="H93" i="3"/>
  <c r="I93" i="3" s="1"/>
  <c r="H94" i="3"/>
  <c r="I94" i="3" s="1"/>
  <c r="H95" i="3"/>
  <c r="I95" i="3" s="1"/>
  <c r="H96" i="3"/>
  <c r="I96" i="3" s="1"/>
  <c r="H97" i="3"/>
  <c r="I97" i="3" s="1"/>
  <c r="H98" i="3"/>
  <c r="I98" i="3" s="1"/>
  <c r="H99" i="3"/>
  <c r="I99" i="3" s="1"/>
  <c r="H100" i="3"/>
  <c r="I100" i="3" s="1"/>
  <c r="H101" i="3"/>
  <c r="I101" i="3" s="1"/>
  <c r="K101" i="3" s="1"/>
  <c r="H102" i="3"/>
  <c r="I102" i="3" s="1"/>
  <c r="H103" i="3"/>
  <c r="I103" i="3" s="1"/>
  <c r="K103" i="3" s="1"/>
  <c r="H104" i="3"/>
  <c r="I104" i="3" s="1"/>
  <c r="H105" i="3"/>
  <c r="I105" i="3" s="1"/>
  <c r="H106" i="3"/>
  <c r="I106" i="3" s="1"/>
  <c r="H107" i="3"/>
  <c r="I107" i="3" s="1"/>
  <c r="H108" i="3"/>
  <c r="I108" i="3" s="1"/>
  <c r="H109" i="3"/>
  <c r="I109" i="3" s="1"/>
  <c r="H110" i="3"/>
  <c r="I110" i="3" s="1"/>
  <c r="H111" i="3"/>
  <c r="I111" i="3" s="1"/>
  <c r="H112" i="3"/>
  <c r="I112" i="3" s="1"/>
  <c r="K112" i="3" s="1"/>
  <c r="H113" i="3"/>
  <c r="I113" i="3" s="1"/>
  <c r="K113" i="3" s="1"/>
  <c r="H114" i="3"/>
  <c r="I114" i="3" s="1"/>
  <c r="H115" i="3"/>
  <c r="I115" i="3" s="1"/>
  <c r="H116" i="3"/>
  <c r="I116" i="3" s="1"/>
  <c r="H117" i="3"/>
  <c r="I117" i="3" s="1"/>
  <c r="H118" i="3"/>
  <c r="I118" i="3" s="1"/>
  <c r="H119" i="3"/>
  <c r="I119" i="3" s="1"/>
  <c r="H120" i="3"/>
  <c r="I120" i="3" s="1"/>
  <c r="H121" i="3"/>
  <c r="I121" i="3" s="1"/>
  <c r="H122" i="3"/>
  <c r="I122" i="3" s="1"/>
  <c r="H123" i="3"/>
  <c r="I123" i="3" s="1"/>
  <c r="K123" i="3" s="1"/>
  <c r="H124" i="3"/>
  <c r="I124" i="3" s="1"/>
  <c r="K124" i="3" s="1"/>
  <c r="H125" i="3"/>
  <c r="I125" i="3" s="1"/>
  <c r="H126" i="3"/>
  <c r="I126" i="3" s="1"/>
  <c r="H127" i="3"/>
  <c r="I127" i="3" s="1"/>
  <c r="H128" i="3"/>
  <c r="I128" i="3" s="1"/>
  <c r="H129" i="3"/>
  <c r="I129" i="3" s="1"/>
  <c r="H130" i="3"/>
  <c r="I130" i="3" s="1"/>
  <c r="H131" i="3"/>
  <c r="I131" i="3" s="1"/>
  <c r="H132" i="3"/>
  <c r="I132" i="3" s="1"/>
  <c r="H133" i="3"/>
  <c r="I133" i="3" s="1"/>
  <c r="K133" i="3" s="1"/>
  <c r="H134" i="3"/>
  <c r="I134" i="3" s="1"/>
  <c r="H135" i="3"/>
  <c r="I135" i="3" s="1"/>
  <c r="K135" i="3" s="1"/>
  <c r="H136" i="3"/>
  <c r="I136" i="3" s="1"/>
  <c r="H137" i="3"/>
  <c r="I137" i="3" s="1"/>
  <c r="H138" i="3"/>
  <c r="I138" i="3" s="1"/>
  <c r="H139" i="3"/>
  <c r="I139" i="3" s="1"/>
  <c r="H140" i="3"/>
  <c r="I140" i="3" s="1"/>
  <c r="H141" i="3"/>
  <c r="I141" i="3" s="1"/>
  <c r="H142" i="3"/>
  <c r="I142" i="3" s="1"/>
  <c r="H143" i="3"/>
  <c r="I143" i="3" s="1"/>
  <c r="H144" i="3"/>
  <c r="I144" i="3" s="1"/>
  <c r="K144" i="3" s="1"/>
  <c r="H145" i="3"/>
  <c r="I145" i="3" s="1"/>
  <c r="K145" i="3" s="1"/>
  <c r="H146" i="3"/>
  <c r="I146" i="3" s="1"/>
  <c r="H147" i="3"/>
  <c r="I147" i="3" s="1"/>
  <c r="H148" i="3"/>
  <c r="I148" i="3" s="1"/>
  <c r="H149" i="3"/>
  <c r="I149" i="3" s="1"/>
  <c r="H150" i="3"/>
  <c r="I150" i="3" s="1"/>
  <c r="H151" i="3"/>
  <c r="I151" i="3" s="1"/>
  <c r="H152" i="3"/>
  <c r="I152" i="3" s="1"/>
  <c r="H153" i="3"/>
  <c r="I153" i="3" s="1"/>
  <c r="H154" i="3"/>
  <c r="I154" i="3" s="1"/>
  <c r="H155" i="3"/>
  <c r="I155" i="3" s="1"/>
  <c r="K155" i="3" s="1"/>
  <c r="H156" i="3"/>
  <c r="I156" i="3" s="1"/>
  <c r="K156" i="3" s="1"/>
  <c r="H157" i="3"/>
  <c r="I157" i="3" s="1"/>
  <c r="H158" i="3"/>
  <c r="I158" i="3" s="1"/>
  <c r="H159" i="3"/>
  <c r="I159" i="3" s="1"/>
  <c r="H160" i="3"/>
  <c r="I160" i="3" s="1"/>
  <c r="H161" i="3"/>
  <c r="I161" i="3" s="1"/>
  <c r="H162" i="3"/>
  <c r="I162" i="3" s="1"/>
  <c r="H163" i="3"/>
  <c r="I163" i="3" s="1"/>
  <c r="H164" i="3"/>
  <c r="I164" i="3" s="1"/>
  <c r="H165" i="3"/>
  <c r="I165" i="3" s="1"/>
  <c r="K165" i="3" s="1"/>
  <c r="H166" i="3"/>
  <c r="I166" i="3" s="1"/>
  <c r="H167" i="3"/>
  <c r="I167" i="3" s="1"/>
  <c r="K167" i="3" s="1"/>
  <c r="H168" i="3"/>
  <c r="I168" i="3" s="1"/>
  <c r="H169" i="3"/>
  <c r="I169" i="3" s="1"/>
  <c r="H170" i="3"/>
  <c r="I170" i="3" s="1"/>
  <c r="H171" i="3"/>
  <c r="I171" i="3" s="1"/>
  <c r="H172" i="3"/>
  <c r="I172" i="3" s="1"/>
  <c r="H173" i="3"/>
  <c r="I173" i="3" s="1"/>
  <c r="H174" i="3"/>
  <c r="I174" i="3" s="1"/>
  <c r="H175" i="3"/>
  <c r="I175" i="3" s="1"/>
  <c r="H176" i="3"/>
  <c r="I176" i="3" s="1"/>
  <c r="K176" i="3" s="1"/>
  <c r="H177" i="3"/>
  <c r="I177" i="3" s="1"/>
  <c r="K177" i="3" s="1"/>
  <c r="H178" i="3"/>
  <c r="I178" i="3" s="1"/>
  <c r="H179" i="3"/>
  <c r="I179" i="3" s="1"/>
  <c r="H180" i="3"/>
  <c r="I180" i="3" s="1"/>
  <c r="H181" i="3"/>
  <c r="I181" i="3" s="1"/>
  <c r="H182" i="3"/>
  <c r="I182" i="3" s="1"/>
  <c r="H183" i="3"/>
  <c r="I183" i="3" s="1"/>
  <c r="H184" i="3"/>
  <c r="I184" i="3" s="1"/>
  <c r="H185" i="3"/>
  <c r="I185" i="3" s="1"/>
  <c r="H186" i="3"/>
  <c r="I186" i="3" s="1"/>
  <c r="H187" i="3"/>
  <c r="I187" i="3" s="1"/>
  <c r="K187" i="3" s="1"/>
  <c r="H188" i="3"/>
  <c r="I188" i="3" s="1"/>
  <c r="K188" i="3" s="1"/>
  <c r="H189" i="3"/>
  <c r="I189" i="3" s="1"/>
  <c r="H190" i="3"/>
  <c r="I190" i="3" s="1"/>
  <c r="H191" i="3"/>
  <c r="I191" i="3" s="1"/>
  <c r="H192" i="3"/>
  <c r="I192" i="3" s="1"/>
  <c r="H193" i="3"/>
  <c r="I193" i="3" s="1"/>
  <c r="H194" i="3"/>
  <c r="I194" i="3" s="1"/>
  <c r="H195" i="3"/>
  <c r="I195" i="3" s="1"/>
  <c r="H196" i="3"/>
  <c r="I196" i="3" s="1"/>
  <c r="H197" i="3"/>
  <c r="I197" i="3" s="1"/>
  <c r="K197" i="3" s="1"/>
  <c r="H198" i="3"/>
  <c r="I198" i="3" s="1"/>
  <c r="H199" i="3"/>
  <c r="I199" i="3" s="1"/>
  <c r="K199" i="3" s="1"/>
  <c r="H200" i="3"/>
  <c r="I200" i="3" s="1"/>
  <c r="H201" i="3"/>
  <c r="I201" i="3" s="1"/>
  <c r="H202" i="3"/>
  <c r="I202" i="3" s="1"/>
  <c r="H203" i="3"/>
  <c r="I203" i="3" s="1"/>
  <c r="H204" i="3"/>
  <c r="I204" i="3" s="1"/>
  <c r="H205" i="3"/>
  <c r="I205" i="3" s="1"/>
  <c r="H206" i="3"/>
  <c r="I206" i="3" s="1"/>
  <c r="H207" i="3"/>
  <c r="I207" i="3" s="1"/>
  <c r="H208" i="3"/>
  <c r="I208" i="3" s="1"/>
  <c r="K208" i="3" s="1"/>
  <c r="H209" i="3"/>
  <c r="I209" i="3" s="1"/>
  <c r="K209" i="3" s="1"/>
  <c r="H210" i="3"/>
  <c r="I210" i="3" s="1"/>
  <c r="H211" i="3"/>
  <c r="I211" i="3" s="1"/>
  <c r="H212" i="3"/>
  <c r="I212" i="3" s="1"/>
  <c r="H213" i="3"/>
  <c r="I213" i="3" s="1"/>
  <c r="H214" i="3"/>
  <c r="I214" i="3" s="1"/>
  <c r="H215" i="3"/>
  <c r="I215" i="3" s="1"/>
  <c r="H216" i="3"/>
  <c r="I216" i="3" s="1"/>
  <c r="H217" i="3"/>
  <c r="I217" i="3" s="1"/>
  <c r="H218" i="3"/>
  <c r="I218" i="3" s="1"/>
  <c r="H219" i="3"/>
  <c r="I219" i="3" s="1"/>
  <c r="K219" i="3" s="1"/>
  <c r="H220" i="3"/>
  <c r="I220" i="3" s="1"/>
  <c r="K220" i="3" s="1"/>
  <c r="H221" i="3"/>
  <c r="I221" i="3" s="1"/>
  <c r="H222" i="3"/>
  <c r="I222" i="3" s="1"/>
  <c r="H223" i="3"/>
  <c r="I223" i="3" s="1"/>
  <c r="H224" i="3"/>
  <c r="I224" i="3" s="1"/>
  <c r="H225" i="3"/>
  <c r="I225" i="3" s="1"/>
  <c r="H226" i="3"/>
  <c r="I226" i="3" s="1"/>
  <c r="H227" i="3"/>
  <c r="I227" i="3" s="1"/>
  <c r="H228" i="3"/>
  <c r="I228" i="3" s="1"/>
  <c r="H229" i="3"/>
  <c r="I229" i="3" s="1"/>
  <c r="K229" i="3" s="1"/>
  <c r="H230" i="3"/>
  <c r="I230" i="3" s="1"/>
  <c r="H231" i="3"/>
  <c r="I231" i="3" s="1"/>
  <c r="K231" i="3" s="1"/>
  <c r="H232" i="3"/>
  <c r="I232" i="3" s="1"/>
  <c r="H233" i="3"/>
  <c r="I233" i="3" s="1"/>
  <c r="H234" i="3"/>
  <c r="I234" i="3" s="1"/>
  <c r="H235" i="3"/>
  <c r="I235" i="3" s="1"/>
  <c r="H236" i="3"/>
  <c r="I236" i="3" s="1"/>
  <c r="H237" i="3"/>
  <c r="I237" i="3" s="1"/>
  <c r="H238" i="3"/>
  <c r="I238" i="3" s="1"/>
  <c r="H239" i="3"/>
  <c r="I239" i="3" s="1"/>
  <c r="H240" i="3"/>
  <c r="I240" i="3" s="1"/>
  <c r="K240" i="3" s="1"/>
  <c r="H241" i="3"/>
  <c r="I241" i="3" s="1"/>
  <c r="K241" i="3" s="1"/>
  <c r="H242" i="3"/>
  <c r="I242" i="3" s="1"/>
  <c r="H243" i="3"/>
  <c r="I243" i="3" s="1"/>
  <c r="H244" i="3"/>
  <c r="I244" i="3" s="1"/>
  <c r="H245" i="3"/>
  <c r="I245" i="3" s="1"/>
  <c r="H246" i="3"/>
  <c r="I246" i="3" s="1"/>
  <c r="H247" i="3"/>
  <c r="I247" i="3" s="1"/>
  <c r="H248" i="3"/>
  <c r="I248" i="3" s="1"/>
  <c r="H249" i="3"/>
  <c r="I249" i="3" s="1"/>
  <c r="H250" i="3"/>
  <c r="I250" i="3" s="1"/>
  <c r="H251" i="3"/>
  <c r="I251" i="3" s="1"/>
  <c r="K251" i="3" s="1"/>
  <c r="H252" i="3"/>
  <c r="I252" i="3" s="1"/>
  <c r="K252" i="3" s="1"/>
  <c r="H253" i="3"/>
  <c r="I253" i="3" s="1"/>
  <c r="H254" i="3"/>
  <c r="I254" i="3" s="1"/>
  <c r="H255" i="3"/>
  <c r="I255" i="3" s="1"/>
  <c r="H256" i="3"/>
  <c r="I256" i="3" s="1"/>
  <c r="H257" i="3"/>
  <c r="I257" i="3" s="1"/>
  <c r="H258" i="3"/>
  <c r="I258" i="3" s="1"/>
  <c r="H259" i="3"/>
  <c r="I259" i="3" s="1"/>
  <c r="H260" i="3"/>
  <c r="I260" i="3" s="1"/>
  <c r="H261" i="3"/>
  <c r="I261" i="3" s="1"/>
  <c r="K261" i="3" s="1"/>
  <c r="H262" i="3"/>
  <c r="I262" i="3" s="1"/>
  <c r="H263" i="3"/>
  <c r="I263" i="3" s="1"/>
  <c r="K263" i="3" s="1"/>
  <c r="H264" i="3"/>
  <c r="I264" i="3" s="1"/>
  <c r="H265" i="3"/>
  <c r="I265" i="3" s="1"/>
  <c r="H266" i="3"/>
  <c r="I266" i="3" s="1"/>
  <c r="H267" i="3"/>
  <c r="I267" i="3" s="1"/>
  <c r="H268" i="3"/>
  <c r="I268" i="3" s="1"/>
  <c r="H269" i="3"/>
  <c r="I269" i="3" s="1"/>
  <c r="H270" i="3"/>
  <c r="I270" i="3" s="1"/>
  <c r="H271" i="3"/>
  <c r="I271" i="3" s="1"/>
  <c r="H272" i="3"/>
  <c r="I272" i="3" s="1"/>
  <c r="K272" i="3" s="1"/>
  <c r="H273" i="3"/>
  <c r="I273" i="3" s="1"/>
  <c r="K273" i="3" s="1"/>
  <c r="H274" i="3"/>
  <c r="I274" i="3" s="1"/>
  <c r="H275" i="3"/>
  <c r="I275" i="3" s="1"/>
  <c r="H276" i="3"/>
  <c r="I276" i="3" s="1"/>
  <c r="H277" i="3"/>
  <c r="I277" i="3" s="1"/>
  <c r="H278" i="3"/>
  <c r="I278" i="3" s="1"/>
  <c r="H279" i="3"/>
  <c r="I279" i="3" s="1"/>
  <c r="H280" i="3"/>
  <c r="I280" i="3" s="1"/>
  <c r="H281" i="3"/>
  <c r="I281" i="3" s="1"/>
  <c r="H282" i="3"/>
  <c r="I282" i="3" s="1"/>
  <c r="H283" i="3"/>
  <c r="I283" i="3" s="1"/>
  <c r="K283" i="3" s="1"/>
  <c r="H284" i="3"/>
  <c r="I284" i="3" s="1"/>
  <c r="K284" i="3" s="1"/>
  <c r="H285" i="3"/>
  <c r="I285" i="3" s="1"/>
  <c r="H286" i="3"/>
  <c r="I286" i="3" s="1"/>
  <c r="H287" i="3"/>
  <c r="I287" i="3" s="1"/>
  <c r="H288" i="3"/>
  <c r="I288" i="3" s="1"/>
  <c r="H289" i="3"/>
  <c r="I289" i="3" s="1"/>
  <c r="H290" i="3"/>
  <c r="I290" i="3" s="1"/>
  <c r="H291" i="3"/>
  <c r="I291" i="3" s="1"/>
  <c r="H292" i="3"/>
  <c r="I292" i="3" s="1"/>
  <c r="H293" i="3"/>
  <c r="I293" i="3" s="1"/>
  <c r="K293" i="3" s="1"/>
  <c r="H294" i="3"/>
  <c r="I294" i="3" s="1"/>
  <c r="H295" i="3"/>
  <c r="I295" i="3" s="1"/>
  <c r="K295" i="3" s="1"/>
  <c r="H296" i="3"/>
  <c r="I296" i="3" s="1"/>
  <c r="H297" i="3"/>
  <c r="I297" i="3" s="1"/>
  <c r="H298" i="3"/>
  <c r="I298" i="3" s="1"/>
  <c r="H299" i="3"/>
  <c r="I299" i="3" s="1"/>
  <c r="H300" i="3"/>
  <c r="I300" i="3" s="1"/>
  <c r="H301" i="3"/>
  <c r="I301" i="3" s="1"/>
  <c r="H302" i="3"/>
  <c r="I302" i="3" s="1"/>
  <c r="H303" i="3"/>
  <c r="I303" i="3" s="1"/>
  <c r="H304" i="3"/>
  <c r="I304" i="3" s="1"/>
  <c r="K304" i="3" s="1"/>
  <c r="H305" i="3"/>
  <c r="I305" i="3" s="1"/>
  <c r="K305" i="3" s="1"/>
  <c r="H306" i="3"/>
  <c r="I306" i="3" s="1"/>
  <c r="H307" i="3"/>
  <c r="I307" i="3" s="1"/>
  <c r="H308" i="3"/>
  <c r="I308" i="3" s="1"/>
  <c r="H309" i="3"/>
  <c r="I309" i="3" s="1"/>
  <c r="H310" i="3"/>
  <c r="I310" i="3" s="1"/>
  <c r="H311" i="3"/>
  <c r="I311" i="3" s="1"/>
  <c r="H312" i="3"/>
  <c r="I312" i="3" s="1"/>
  <c r="H313" i="3"/>
  <c r="I313" i="3" s="1"/>
  <c r="H314" i="3"/>
  <c r="I314" i="3" s="1"/>
  <c r="H315" i="3"/>
  <c r="I315" i="3" s="1"/>
  <c r="K315" i="3" s="1"/>
  <c r="H316" i="3"/>
  <c r="I316" i="3" s="1"/>
  <c r="K316" i="3" s="1"/>
  <c r="H317" i="3"/>
  <c r="I317" i="3" s="1"/>
  <c r="H318" i="3"/>
  <c r="I318" i="3" s="1"/>
  <c r="H319" i="3"/>
  <c r="I319" i="3" s="1"/>
  <c r="H320" i="3"/>
  <c r="I320" i="3" s="1"/>
  <c r="H321" i="3"/>
  <c r="I321" i="3" s="1"/>
  <c r="H322" i="3"/>
  <c r="I322" i="3" s="1"/>
  <c r="H323" i="3"/>
  <c r="I323" i="3" s="1"/>
  <c r="H324" i="3"/>
  <c r="I324" i="3" s="1"/>
  <c r="H325" i="3"/>
  <c r="I325" i="3" s="1"/>
  <c r="K325" i="3" s="1"/>
  <c r="H326" i="3"/>
  <c r="I326" i="3" s="1"/>
  <c r="H327" i="3"/>
  <c r="I327" i="3" s="1"/>
  <c r="K327" i="3" s="1"/>
  <c r="H328" i="3"/>
  <c r="I328" i="3" s="1"/>
  <c r="H329" i="3"/>
  <c r="I329" i="3" s="1"/>
  <c r="H330" i="3"/>
  <c r="I330" i="3" s="1"/>
  <c r="H331" i="3"/>
  <c r="I331" i="3" s="1"/>
  <c r="H332" i="3"/>
  <c r="I332" i="3" s="1"/>
  <c r="H333" i="3"/>
  <c r="I333" i="3" s="1"/>
  <c r="H334" i="3"/>
  <c r="I334" i="3" s="1"/>
  <c r="H335" i="3"/>
  <c r="I335" i="3" s="1"/>
  <c r="H336" i="3"/>
  <c r="I336" i="3" s="1"/>
  <c r="K336" i="3" s="1"/>
  <c r="H337" i="3"/>
  <c r="I337" i="3" s="1"/>
  <c r="K337" i="3" s="1"/>
  <c r="H338" i="3"/>
  <c r="I338" i="3" s="1"/>
  <c r="H339" i="3"/>
  <c r="I339" i="3" s="1"/>
  <c r="H340" i="3"/>
  <c r="I340" i="3" s="1"/>
  <c r="H341" i="3"/>
  <c r="I341" i="3" s="1"/>
  <c r="H342" i="3"/>
  <c r="I342" i="3" s="1"/>
  <c r="H343" i="3"/>
  <c r="I343" i="3" s="1"/>
  <c r="H344" i="3"/>
  <c r="I344" i="3" s="1"/>
  <c r="H345" i="3"/>
  <c r="I345" i="3" s="1"/>
  <c r="K345" i="3" s="1"/>
  <c r="H346" i="3"/>
  <c r="I346" i="3" s="1"/>
  <c r="K346" i="3" s="1"/>
  <c r="H347" i="3"/>
  <c r="I347" i="3" s="1"/>
  <c r="H348" i="3"/>
  <c r="I348" i="3" s="1"/>
  <c r="H349" i="3"/>
  <c r="I349" i="3" s="1"/>
  <c r="H350" i="3"/>
  <c r="I350" i="3" s="1"/>
  <c r="H351" i="3"/>
  <c r="I351" i="3" s="1"/>
  <c r="H352" i="3"/>
  <c r="I352" i="3" s="1"/>
  <c r="H353" i="3"/>
  <c r="I353" i="3" s="1"/>
  <c r="K353" i="3" s="1"/>
  <c r="H354" i="3"/>
  <c r="I354" i="3" s="1"/>
  <c r="K354" i="3" s="1"/>
  <c r="H355" i="3"/>
  <c r="I355" i="3" s="1"/>
  <c r="H356" i="3"/>
  <c r="I356" i="3" s="1"/>
  <c r="H357" i="3"/>
  <c r="I357" i="3" s="1"/>
  <c r="H358" i="3"/>
  <c r="I358" i="3" s="1"/>
  <c r="H359" i="3"/>
  <c r="I359" i="3" s="1"/>
  <c r="H360" i="3"/>
  <c r="I360" i="3" s="1"/>
  <c r="H361" i="3"/>
  <c r="I361" i="3" s="1"/>
  <c r="K361" i="3" s="1"/>
  <c r="H362" i="3"/>
  <c r="I362" i="3" s="1"/>
  <c r="K362" i="3" s="1"/>
  <c r="H363" i="3"/>
  <c r="I363" i="3" s="1"/>
  <c r="H364" i="3"/>
  <c r="I364" i="3" s="1"/>
  <c r="H365" i="3"/>
  <c r="I365" i="3" s="1"/>
  <c r="H366" i="3"/>
  <c r="I366" i="3" s="1"/>
  <c r="H367" i="3"/>
  <c r="I367" i="3" s="1"/>
  <c r="H368" i="3"/>
  <c r="I368" i="3" s="1"/>
  <c r="H369" i="3"/>
  <c r="I369" i="3" s="1"/>
  <c r="K369" i="3" s="1"/>
  <c r="H370" i="3"/>
  <c r="I370" i="3" s="1"/>
  <c r="K370" i="3" s="1"/>
  <c r="H371" i="3"/>
  <c r="I371" i="3" s="1"/>
  <c r="H372" i="3"/>
  <c r="I372" i="3" s="1"/>
  <c r="H373" i="3"/>
  <c r="I373" i="3" s="1"/>
  <c r="H374" i="3"/>
  <c r="I374" i="3" s="1"/>
  <c r="H375" i="3"/>
  <c r="I375" i="3" s="1"/>
  <c r="H376" i="3"/>
  <c r="I376" i="3" s="1"/>
  <c r="H377" i="3"/>
  <c r="I377" i="3" s="1"/>
  <c r="K377" i="3" s="1"/>
  <c r="H378" i="3"/>
  <c r="I378" i="3" s="1"/>
  <c r="K378" i="3" s="1"/>
  <c r="H379" i="3"/>
  <c r="I379" i="3" s="1"/>
  <c r="H380" i="3"/>
  <c r="I380" i="3" s="1"/>
  <c r="H381" i="3"/>
  <c r="I381" i="3" s="1"/>
  <c r="H382" i="3"/>
  <c r="I382" i="3" s="1"/>
  <c r="H383" i="3"/>
  <c r="I383" i="3" s="1"/>
  <c r="H384" i="3"/>
  <c r="I384" i="3" s="1"/>
  <c r="H385" i="3"/>
  <c r="I385" i="3" s="1"/>
  <c r="K385" i="3" s="1"/>
  <c r="H386" i="3"/>
  <c r="I386" i="3" s="1"/>
  <c r="K386" i="3" s="1"/>
  <c r="H387" i="3"/>
  <c r="I387" i="3" s="1"/>
  <c r="H388" i="3"/>
  <c r="I388" i="3" s="1"/>
  <c r="H389" i="3"/>
  <c r="I389" i="3" s="1"/>
  <c r="H390" i="3"/>
  <c r="I390" i="3" s="1"/>
  <c r="H391" i="3"/>
  <c r="I391" i="3" s="1"/>
  <c r="H392" i="3"/>
  <c r="I392" i="3" s="1"/>
  <c r="H393" i="3"/>
  <c r="I393" i="3" s="1"/>
  <c r="K393" i="3" s="1"/>
  <c r="H394" i="3"/>
  <c r="I394" i="3" s="1"/>
  <c r="K394" i="3" s="1"/>
  <c r="H395" i="3"/>
  <c r="I395" i="3" s="1"/>
  <c r="H396" i="3"/>
  <c r="I396" i="3" s="1"/>
  <c r="H397" i="3"/>
  <c r="I397" i="3" s="1"/>
  <c r="H398" i="3"/>
  <c r="I398" i="3" s="1"/>
  <c r="K398" i="3" s="1"/>
  <c r="H399" i="3"/>
  <c r="I399" i="3" s="1"/>
  <c r="K399" i="3" s="1"/>
  <c r="H400" i="3"/>
  <c r="I400" i="3" s="1"/>
  <c r="H401" i="3"/>
  <c r="I401" i="3" s="1"/>
  <c r="H402" i="3"/>
  <c r="I402" i="3" s="1"/>
  <c r="H403" i="3"/>
  <c r="I403" i="3" s="1"/>
  <c r="K403" i="3" s="1"/>
  <c r="H404" i="3"/>
  <c r="I404" i="3" s="1"/>
  <c r="H405" i="3"/>
  <c r="I405" i="3" s="1"/>
  <c r="K405" i="3" s="1"/>
  <c r="H406" i="3"/>
  <c r="I406" i="3" s="1"/>
  <c r="H407" i="3"/>
  <c r="I407" i="3" s="1"/>
  <c r="H408" i="3"/>
  <c r="I408" i="3" s="1"/>
  <c r="H409" i="3"/>
  <c r="I409" i="3" s="1"/>
  <c r="K409" i="3" s="1"/>
  <c r="H410" i="3"/>
  <c r="I410" i="3" s="1"/>
  <c r="K410" i="3" s="1"/>
  <c r="H411" i="3"/>
  <c r="I411" i="3" s="1"/>
  <c r="H412" i="3"/>
  <c r="I412" i="3" s="1"/>
  <c r="H413" i="3"/>
  <c r="I413" i="3" s="1"/>
  <c r="H414" i="3"/>
  <c r="I414" i="3" s="1"/>
  <c r="K414" i="3" s="1"/>
  <c r="H415" i="3"/>
  <c r="I415" i="3" s="1"/>
  <c r="K415" i="3" s="1"/>
  <c r="H416" i="3"/>
  <c r="I416" i="3" s="1"/>
  <c r="H417" i="3"/>
  <c r="I417" i="3" s="1"/>
  <c r="H418" i="3"/>
  <c r="I418" i="3" s="1"/>
  <c r="H419" i="3"/>
  <c r="I419" i="3" s="1"/>
  <c r="K419" i="3" s="1"/>
  <c r="H420" i="3"/>
  <c r="I420" i="3" s="1"/>
  <c r="H421" i="3"/>
  <c r="I421" i="3" s="1"/>
  <c r="K421" i="3" s="1"/>
  <c r="H422" i="3"/>
  <c r="I422" i="3" s="1"/>
  <c r="H423" i="3"/>
  <c r="I423" i="3" s="1"/>
  <c r="H424" i="3"/>
  <c r="I424" i="3" s="1"/>
  <c r="H425" i="3"/>
  <c r="I425" i="3" s="1"/>
  <c r="K425" i="3" s="1"/>
  <c r="H426" i="3"/>
  <c r="I426" i="3" s="1"/>
  <c r="K426" i="3" s="1"/>
  <c r="H427" i="3"/>
  <c r="I427" i="3" s="1"/>
  <c r="H428" i="3"/>
  <c r="I428" i="3" s="1"/>
  <c r="H429" i="3"/>
  <c r="I429" i="3" s="1"/>
  <c r="H430" i="3"/>
  <c r="I430" i="3" s="1"/>
  <c r="K430" i="3" s="1"/>
  <c r="H431" i="3"/>
  <c r="I431" i="3" s="1"/>
  <c r="K431" i="3" s="1"/>
  <c r="H432" i="3"/>
  <c r="I432" i="3" s="1"/>
  <c r="H433" i="3"/>
  <c r="I433" i="3" s="1"/>
  <c r="H434" i="3"/>
  <c r="I434" i="3" s="1"/>
  <c r="H435" i="3"/>
  <c r="I435" i="3" s="1"/>
  <c r="K435" i="3" s="1"/>
  <c r="H436" i="3"/>
  <c r="I436" i="3" s="1"/>
  <c r="H437" i="3"/>
  <c r="I437" i="3" s="1"/>
  <c r="K437" i="3" s="1"/>
  <c r="H438" i="3"/>
  <c r="I438" i="3" s="1"/>
  <c r="H439" i="3"/>
  <c r="I439" i="3" s="1"/>
  <c r="H440" i="3"/>
  <c r="I440" i="3" s="1"/>
  <c r="K440" i="3" s="1"/>
  <c r="H441" i="3"/>
  <c r="I441" i="3" s="1"/>
  <c r="K441" i="3" s="1"/>
  <c r="H442" i="3"/>
  <c r="I442" i="3" s="1"/>
  <c r="H443" i="3"/>
  <c r="I443" i="3" s="1"/>
  <c r="H444" i="3"/>
  <c r="I444" i="3" s="1"/>
  <c r="K444" i="3" s="1"/>
  <c r="H445" i="3"/>
  <c r="I445" i="3" s="1"/>
  <c r="K445" i="3" s="1"/>
  <c r="H446" i="3"/>
  <c r="I446" i="3" s="1"/>
  <c r="H447" i="3"/>
  <c r="I447" i="3" s="1"/>
  <c r="H448" i="3"/>
  <c r="I448" i="3" s="1"/>
  <c r="K448" i="3" s="1"/>
  <c r="H449" i="3"/>
  <c r="I449" i="3" s="1"/>
  <c r="K449" i="3" s="1"/>
  <c r="H450" i="3"/>
  <c r="I450" i="3" s="1"/>
  <c r="H451" i="3"/>
  <c r="I451" i="3" s="1"/>
  <c r="H452" i="3"/>
  <c r="I452" i="3" s="1"/>
  <c r="K452" i="3" s="1"/>
  <c r="H453" i="3"/>
  <c r="I453" i="3" s="1"/>
  <c r="K453" i="3" s="1"/>
  <c r="H454" i="3"/>
  <c r="I454" i="3" s="1"/>
  <c r="H455" i="3"/>
  <c r="I455" i="3" s="1"/>
  <c r="H456" i="3"/>
  <c r="I456" i="3" s="1"/>
  <c r="K456" i="3" s="1"/>
  <c r="H457" i="3"/>
  <c r="I457" i="3" s="1"/>
  <c r="K457" i="3" s="1"/>
  <c r="H458" i="3"/>
  <c r="I458" i="3" s="1"/>
  <c r="H459" i="3"/>
  <c r="I459" i="3" s="1"/>
  <c r="H460" i="3"/>
  <c r="I460" i="3" s="1"/>
  <c r="K460" i="3" s="1"/>
  <c r="H461" i="3"/>
  <c r="I461" i="3" s="1"/>
  <c r="K461" i="3" s="1"/>
  <c r="H462" i="3"/>
  <c r="I462" i="3" s="1"/>
  <c r="H463" i="3"/>
  <c r="I463" i="3" s="1"/>
  <c r="H464" i="3"/>
  <c r="I464" i="3" s="1"/>
  <c r="K464" i="3" s="1"/>
  <c r="H465" i="3"/>
  <c r="I465" i="3" s="1"/>
  <c r="K465" i="3" s="1"/>
  <c r="H466" i="3"/>
  <c r="I466" i="3" s="1"/>
  <c r="H467" i="3"/>
  <c r="I467" i="3" s="1"/>
  <c r="H468" i="3"/>
  <c r="I468" i="3" s="1"/>
  <c r="K468" i="3" s="1"/>
  <c r="H469" i="3"/>
  <c r="I469" i="3" s="1"/>
  <c r="K469" i="3" s="1"/>
  <c r="H470" i="3"/>
  <c r="I470" i="3" s="1"/>
  <c r="H471" i="3"/>
  <c r="I471" i="3" s="1"/>
  <c r="H472" i="3"/>
  <c r="I472" i="3" s="1"/>
  <c r="K472" i="3" s="1"/>
  <c r="H473" i="3"/>
  <c r="I473" i="3" s="1"/>
  <c r="K473" i="3" s="1"/>
  <c r="H474" i="3"/>
  <c r="I474" i="3" s="1"/>
  <c r="H475" i="3"/>
  <c r="I475" i="3" s="1"/>
  <c r="H476" i="3"/>
  <c r="I476" i="3" s="1"/>
  <c r="K476" i="3" s="1"/>
  <c r="H477" i="3"/>
  <c r="I477" i="3" s="1"/>
  <c r="K477" i="3" s="1"/>
  <c r="H478" i="3"/>
  <c r="I478" i="3" s="1"/>
  <c r="H479" i="3"/>
  <c r="I479" i="3" s="1"/>
  <c r="H480" i="3"/>
  <c r="I480" i="3" s="1"/>
  <c r="K480" i="3" s="1"/>
  <c r="H481" i="3"/>
  <c r="I481" i="3" s="1"/>
  <c r="K481" i="3" s="1"/>
  <c r="H482" i="3"/>
  <c r="I482" i="3" s="1"/>
  <c r="H483" i="3"/>
  <c r="I483" i="3" s="1"/>
  <c r="H484" i="3"/>
  <c r="I484" i="3" s="1"/>
  <c r="K484" i="3" s="1"/>
  <c r="H485" i="3"/>
  <c r="I485" i="3" s="1"/>
  <c r="K485" i="3" s="1"/>
  <c r="H486" i="3"/>
  <c r="I486" i="3" s="1"/>
  <c r="H487" i="3"/>
  <c r="I487" i="3" s="1"/>
  <c r="H488" i="3"/>
  <c r="I488" i="3" s="1"/>
  <c r="K488" i="3" s="1"/>
  <c r="H489" i="3"/>
  <c r="I489" i="3" s="1"/>
  <c r="K489" i="3" s="1"/>
  <c r="H490" i="3"/>
  <c r="I490" i="3" s="1"/>
  <c r="H491" i="3"/>
  <c r="I491" i="3" s="1"/>
  <c r="H492" i="3"/>
  <c r="I492" i="3" s="1"/>
  <c r="K492" i="3" s="1"/>
  <c r="H493" i="3"/>
  <c r="I493" i="3" s="1"/>
  <c r="K493" i="3" s="1"/>
  <c r="H494" i="3"/>
  <c r="I494" i="3" s="1"/>
  <c r="H495" i="3"/>
  <c r="I495" i="3" s="1"/>
  <c r="H496" i="3"/>
  <c r="I496" i="3" s="1"/>
  <c r="K496" i="3" s="1"/>
  <c r="H497" i="3"/>
  <c r="I497" i="3" s="1"/>
  <c r="K497" i="3" s="1"/>
  <c r="H498" i="3"/>
  <c r="I498" i="3" s="1"/>
  <c r="H499" i="3"/>
  <c r="I499" i="3" s="1"/>
  <c r="H500" i="3"/>
  <c r="I500" i="3" s="1"/>
  <c r="K500" i="3" s="1"/>
  <c r="H501" i="3"/>
  <c r="I501" i="3" s="1"/>
  <c r="K501" i="3" s="1"/>
  <c r="H502" i="3"/>
  <c r="I502" i="3" s="1"/>
  <c r="H503" i="3"/>
  <c r="I503" i="3" s="1"/>
  <c r="H504" i="3"/>
  <c r="I504" i="3" s="1"/>
  <c r="K504" i="3" s="1"/>
  <c r="H505" i="3"/>
  <c r="I505" i="3" s="1"/>
  <c r="K505" i="3" s="1"/>
  <c r="H506" i="3"/>
  <c r="I506" i="3" s="1"/>
  <c r="H507" i="3"/>
  <c r="I507" i="3" s="1"/>
  <c r="H508" i="3"/>
  <c r="I508" i="3" s="1"/>
  <c r="K508" i="3" s="1"/>
  <c r="H509" i="3"/>
  <c r="I509" i="3" s="1"/>
  <c r="K509" i="3" s="1"/>
  <c r="H510" i="3"/>
  <c r="I510" i="3" s="1"/>
  <c r="H511" i="3"/>
  <c r="I511" i="3" s="1"/>
  <c r="H512" i="3"/>
  <c r="I512" i="3" s="1"/>
  <c r="K512" i="3" s="1"/>
  <c r="H513" i="3"/>
  <c r="I513" i="3" s="1"/>
  <c r="K513" i="3" s="1"/>
  <c r="H514" i="3"/>
  <c r="I514" i="3" s="1"/>
  <c r="H515" i="3"/>
  <c r="I515" i="3" s="1"/>
  <c r="H516" i="3"/>
  <c r="I516" i="3" s="1"/>
  <c r="K516" i="3" s="1"/>
  <c r="H517" i="3"/>
  <c r="I517" i="3" s="1"/>
  <c r="K517" i="3" s="1"/>
  <c r="H518" i="3"/>
  <c r="I518" i="3" s="1"/>
  <c r="H519" i="3"/>
  <c r="I519" i="3" s="1"/>
  <c r="H520" i="3"/>
  <c r="I520" i="3" s="1"/>
  <c r="K520" i="3" s="1"/>
  <c r="H521" i="3"/>
  <c r="I521" i="3" s="1"/>
  <c r="K521" i="3" s="1"/>
  <c r="H522" i="3"/>
  <c r="I522" i="3" s="1"/>
  <c r="H523" i="3"/>
  <c r="I523" i="3" s="1"/>
  <c r="H524" i="3"/>
  <c r="I524" i="3" s="1"/>
  <c r="K524" i="3" s="1"/>
  <c r="H525" i="3"/>
  <c r="I525" i="3" s="1"/>
  <c r="K525" i="3" s="1"/>
  <c r="H526" i="3"/>
  <c r="I526" i="3" s="1"/>
  <c r="H527" i="3"/>
  <c r="I527" i="3" s="1"/>
  <c r="H528" i="3"/>
  <c r="I528" i="3" s="1"/>
  <c r="K528" i="3" s="1"/>
  <c r="H529" i="3"/>
  <c r="I529" i="3" s="1"/>
  <c r="K529" i="3" s="1"/>
  <c r="H530" i="3"/>
  <c r="I530" i="3" s="1"/>
  <c r="H531" i="3"/>
  <c r="I531" i="3" s="1"/>
  <c r="H532" i="3"/>
  <c r="I532" i="3" s="1"/>
  <c r="K532" i="3" s="1"/>
  <c r="H533" i="3"/>
  <c r="I533" i="3" s="1"/>
  <c r="K533" i="3" s="1"/>
  <c r="H534" i="3"/>
  <c r="I534" i="3" s="1"/>
  <c r="H535" i="3"/>
  <c r="I535" i="3" s="1"/>
  <c r="H536" i="3"/>
  <c r="I536" i="3" s="1"/>
  <c r="K536" i="3" s="1"/>
  <c r="H537" i="3"/>
  <c r="I537" i="3" s="1"/>
  <c r="K537" i="3" s="1"/>
  <c r="H538" i="3"/>
  <c r="I538" i="3" s="1"/>
  <c r="H539" i="3"/>
  <c r="I539" i="3" s="1"/>
  <c r="H540" i="3"/>
  <c r="I540" i="3" s="1"/>
  <c r="K540" i="3" s="1"/>
  <c r="H541" i="3"/>
  <c r="I541" i="3" s="1"/>
  <c r="K541" i="3" s="1"/>
  <c r="H542" i="3"/>
  <c r="I542" i="3" s="1"/>
  <c r="H543" i="3"/>
  <c r="I543" i="3" s="1"/>
  <c r="H544" i="3"/>
  <c r="I544" i="3" s="1"/>
  <c r="K544" i="3" s="1"/>
  <c r="H545" i="3"/>
  <c r="I545" i="3" s="1"/>
  <c r="K545" i="3" s="1"/>
  <c r="H546" i="3"/>
  <c r="I546" i="3" s="1"/>
  <c r="H547" i="3"/>
  <c r="I547" i="3" s="1"/>
  <c r="H548" i="3"/>
  <c r="I548" i="3" s="1"/>
  <c r="K548" i="3" s="1"/>
  <c r="H549" i="3"/>
  <c r="I549" i="3" s="1"/>
  <c r="K549" i="3" s="1"/>
  <c r="H550" i="3"/>
  <c r="I550" i="3" s="1"/>
  <c r="H551" i="3"/>
  <c r="I551" i="3" s="1"/>
  <c r="H552" i="3"/>
  <c r="I552" i="3" s="1"/>
  <c r="K552" i="3" s="1"/>
  <c r="H553" i="3"/>
  <c r="I553" i="3" s="1"/>
  <c r="K553" i="3" s="1"/>
  <c r="H554" i="3"/>
  <c r="I554" i="3" s="1"/>
  <c r="H555" i="3"/>
  <c r="I555" i="3" s="1"/>
  <c r="H556" i="3"/>
  <c r="I556" i="3" s="1"/>
  <c r="K556" i="3" s="1"/>
  <c r="H557" i="3"/>
  <c r="I557" i="3" s="1"/>
  <c r="K557" i="3" s="1"/>
  <c r="H558" i="3"/>
  <c r="I558" i="3" s="1"/>
  <c r="H559" i="3"/>
  <c r="I559" i="3" s="1"/>
  <c r="H560" i="3"/>
  <c r="I560" i="3" s="1"/>
  <c r="K560" i="3" s="1"/>
  <c r="H561" i="3"/>
  <c r="I561" i="3" s="1"/>
  <c r="K561" i="3" s="1"/>
  <c r="H562" i="3"/>
  <c r="I562" i="3" s="1"/>
  <c r="H563" i="3"/>
  <c r="I563" i="3" s="1"/>
  <c r="H564" i="3"/>
  <c r="I564" i="3" s="1"/>
  <c r="K564" i="3" s="1"/>
  <c r="H565" i="3"/>
  <c r="I565" i="3" s="1"/>
  <c r="K565" i="3" s="1"/>
  <c r="H566" i="3"/>
  <c r="I566" i="3" s="1"/>
  <c r="H567" i="3"/>
  <c r="I567" i="3" s="1"/>
  <c r="H568" i="3"/>
  <c r="I568" i="3" s="1"/>
  <c r="K568" i="3" s="1"/>
  <c r="H569" i="3"/>
  <c r="I569" i="3" s="1"/>
  <c r="K569" i="3" s="1"/>
  <c r="H570" i="3"/>
  <c r="I570" i="3" s="1"/>
  <c r="H571" i="3"/>
  <c r="I571" i="3" s="1"/>
  <c r="H572" i="3"/>
  <c r="I572" i="3" s="1"/>
  <c r="K572" i="3" s="1"/>
  <c r="H573" i="3"/>
  <c r="I573" i="3" s="1"/>
  <c r="K573" i="3" s="1"/>
  <c r="H574" i="3"/>
  <c r="I574" i="3" s="1"/>
  <c r="H575" i="3"/>
  <c r="I575" i="3" s="1"/>
  <c r="H576" i="3"/>
  <c r="I576" i="3" s="1"/>
  <c r="K576" i="3" s="1"/>
  <c r="H577" i="3"/>
  <c r="I577" i="3" s="1"/>
  <c r="K577" i="3" s="1"/>
  <c r="H578" i="3"/>
  <c r="I578" i="3" s="1"/>
  <c r="H579" i="3"/>
  <c r="I579" i="3" s="1"/>
  <c r="H580" i="3"/>
  <c r="I580" i="3" s="1"/>
  <c r="K580" i="3" s="1"/>
  <c r="H581" i="3"/>
  <c r="I581" i="3" s="1"/>
  <c r="K581" i="3" s="1"/>
  <c r="H582" i="3"/>
  <c r="I582" i="3" s="1"/>
  <c r="H583" i="3"/>
  <c r="I583" i="3" s="1"/>
  <c r="H584" i="3"/>
  <c r="I584" i="3" s="1"/>
  <c r="K584" i="3" s="1"/>
  <c r="H585" i="3"/>
  <c r="I585" i="3" s="1"/>
  <c r="K585" i="3" s="1"/>
  <c r="H586" i="3"/>
  <c r="I586" i="3" s="1"/>
  <c r="H587" i="3"/>
  <c r="I587" i="3" s="1"/>
  <c r="H588" i="3"/>
  <c r="I588" i="3" s="1"/>
  <c r="K588" i="3" s="1"/>
  <c r="H589" i="3"/>
  <c r="I589" i="3" s="1"/>
  <c r="K589" i="3" s="1"/>
  <c r="H590" i="3"/>
  <c r="I590" i="3" s="1"/>
  <c r="H591" i="3"/>
  <c r="I591" i="3" s="1"/>
  <c r="H592" i="3"/>
  <c r="I592" i="3" s="1"/>
  <c r="K592" i="3" s="1"/>
  <c r="H593" i="3"/>
  <c r="I593" i="3" s="1"/>
  <c r="K593" i="3" s="1"/>
  <c r="H594" i="3"/>
  <c r="I594" i="3" s="1"/>
  <c r="H595" i="3"/>
  <c r="I595" i="3" s="1"/>
  <c r="H596" i="3"/>
  <c r="I596" i="3" s="1"/>
  <c r="K596" i="3" s="1"/>
  <c r="H597" i="3"/>
  <c r="I597" i="3" s="1"/>
  <c r="K597" i="3" s="1"/>
  <c r="H598" i="3"/>
  <c r="I598" i="3" s="1"/>
  <c r="H599" i="3"/>
  <c r="I599" i="3" s="1"/>
  <c r="H600" i="3"/>
  <c r="I600" i="3" s="1"/>
  <c r="K600" i="3" s="1"/>
  <c r="H601" i="3"/>
  <c r="I601" i="3" s="1"/>
  <c r="K601" i="3" s="1"/>
  <c r="H602" i="3"/>
  <c r="I602" i="3" s="1"/>
  <c r="H603" i="3"/>
  <c r="I603" i="3" s="1"/>
  <c r="K603" i="3" s="1"/>
  <c r="H604" i="3"/>
  <c r="I604" i="3" s="1"/>
  <c r="K604" i="3" s="1"/>
  <c r="H605" i="3"/>
  <c r="I605" i="3" s="1"/>
  <c r="K605" i="3" s="1"/>
  <c r="H606" i="3"/>
  <c r="I606" i="3" s="1"/>
  <c r="H607" i="3"/>
  <c r="I607" i="3" s="1"/>
  <c r="K607" i="3" s="1"/>
  <c r="H608" i="3"/>
  <c r="I608" i="3" s="1"/>
  <c r="K608" i="3" s="1"/>
  <c r="H609" i="3"/>
  <c r="I609" i="3" s="1"/>
  <c r="K609" i="3" s="1"/>
  <c r="H610" i="3"/>
  <c r="I610" i="3" s="1"/>
  <c r="H611" i="3"/>
  <c r="I611" i="3" s="1"/>
  <c r="K611" i="3" s="1"/>
  <c r="H612" i="3"/>
  <c r="I612" i="3" s="1"/>
  <c r="K612" i="3" s="1"/>
  <c r="H613" i="3"/>
  <c r="I613" i="3" s="1"/>
  <c r="K613" i="3" s="1"/>
  <c r="H614" i="3"/>
  <c r="I614" i="3" s="1"/>
  <c r="H615" i="3"/>
  <c r="I615" i="3" s="1"/>
  <c r="K615" i="3" s="1"/>
  <c r="H616" i="3"/>
  <c r="I616" i="3" s="1"/>
  <c r="K616" i="3" s="1"/>
  <c r="H617" i="3"/>
  <c r="I617" i="3" s="1"/>
  <c r="K617" i="3" s="1"/>
  <c r="H618" i="3"/>
  <c r="I618" i="3" s="1"/>
  <c r="H619" i="3"/>
  <c r="I619" i="3" s="1"/>
  <c r="K619" i="3" s="1"/>
  <c r="H620" i="3"/>
  <c r="I620" i="3" s="1"/>
  <c r="K620" i="3" s="1"/>
  <c r="H621" i="3"/>
  <c r="I621" i="3" s="1"/>
  <c r="K621" i="3" s="1"/>
  <c r="H622" i="3"/>
  <c r="I622" i="3" s="1"/>
  <c r="H623" i="3"/>
  <c r="I623" i="3" s="1"/>
  <c r="K623" i="3" s="1"/>
  <c r="H624" i="3"/>
  <c r="I624" i="3" s="1"/>
  <c r="K624" i="3" s="1"/>
  <c r="H625" i="3"/>
  <c r="I625" i="3" s="1"/>
  <c r="K625" i="3" s="1"/>
  <c r="H626" i="3"/>
  <c r="I626" i="3" s="1"/>
  <c r="H627" i="3"/>
  <c r="I627" i="3" s="1"/>
  <c r="K627" i="3" s="1"/>
  <c r="H628" i="3"/>
  <c r="I628" i="3" s="1"/>
  <c r="K628" i="3" s="1"/>
  <c r="H629" i="3"/>
  <c r="I629" i="3" s="1"/>
  <c r="K629" i="3" s="1"/>
  <c r="H630" i="3"/>
  <c r="I630" i="3" s="1"/>
  <c r="H631" i="3"/>
  <c r="I631" i="3" s="1"/>
  <c r="K631" i="3" s="1"/>
  <c r="H632" i="3"/>
  <c r="I632" i="3" s="1"/>
  <c r="K632" i="3" s="1"/>
  <c r="H2" i="3"/>
  <c r="I2" i="3" s="1"/>
  <c r="V3" i="3"/>
  <c r="Z3" i="3" s="1"/>
  <c r="V4" i="3"/>
  <c r="Z4" i="3" s="1"/>
  <c r="V5" i="3"/>
  <c r="Z5" i="3" s="1"/>
  <c r="V6" i="3"/>
  <c r="Z6" i="3" s="1"/>
  <c r="V7" i="3"/>
  <c r="Z7" i="3" s="1"/>
  <c r="V8" i="3"/>
  <c r="Z8" i="3" s="1"/>
  <c r="V9" i="3"/>
  <c r="Z9" i="3" s="1"/>
  <c r="V10" i="3"/>
  <c r="Z10" i="3" s="1"/>
  <c r="V11" i="3"/>
  <c r="Z11" i="3" s="1"/>
  <c r="V12" i="3"/>
  <c r="Z12" i="3" s="1"/>
  <c r="V13" i="3"/>
  <c r="Z13" i="3" s="1"/>
  <c r="V14" i="3"/>
  <c r="Z14" i="3" s="1"/>
  <c r="V15" i="3"/>
  <c r="Z15" i="3" s="1"/>
  <c r="V16" i="3"/>
  <c r="Z16" i="3" s="1"/>
  <c r="V17" i="3"/>
  <c r="Z17" i="3" s="1"/>
  <c r="V18" i="3"/>
  <c r="Z18" i="3" s="1"/>
  <c r="V19" i="3"/>
  <c r="Z19" i="3" s="1"/>
  <c r="V20" i="3"/>
  <c r="Z20" i="3" s="1"/>
  <c r="V21" i="3"/>
  <c r="Z21" i="3" s="1"/>
  <c r="V22" i="3"/>
  <c r="Z22" i="3" s="1"/>
  <c r="V23" i="3"/>
  <c r="Z23" i="3" s="1"/>
  <c r="V24" i="3"/>
  <c r="Z24" i="3" s="1"/>
  <c r="V25" i="3"/>
  <c r="Z25" i="3" s="1"/>
  <c r="V26" i="3"/>
  <c r="Z26" i="3" s="1"/>
  <c r="V27" i="3"/>
  <c r="Z27" i="3" s="1"/>
  <c r="V28" i="3"/>
  <c r="Z28" i="3" s="1"/>
  <c r="V29" i="3"/>
  <c r="Z29" i="3" s="1"/>
  <c r="V30" i="3"/>
  <c r="Z30" i="3" s="1"/>
  <c r="V31" i="3"/>
  <c r="Z31" i="3" s="1"/>
  <c r="V32" i="3"/>
  <c r="Z32" i="3" s="1"/>
  <c r="V33" i="3"/>
  <c r="Z33" i="3" s="1"/>
  <c r="V34" i="3"/>
  <c r="Z34" i="3" s="1"/>
  <c r="V35" i="3"/>
  <c r="Z35" i="3" s="1"/>
  <c r="V36" i="3"/>
  <c r="Z36" i="3" s="1"/>
  <c r="V37" i="3"/>
  <c r="Z37" i="3" s="1"/>
  <c r="V38" i="3"/>
  <c r="Z38" i="3" s="1"/>
  <c r="V39" i="3"/>
  <c r="Z39" i="3" s="1"/>
  <c r="V40" i="3"/>
  <c r="Z40" i="3" s="1"/>
  <c r="V41" i="3"/>
  <c r="Z41" i="3" s="1"/>
  <c r="V42" i="3"/>
  <c r="Z42" i="3" s="1"/>
  <c r="V43" i="3"/>
  <c r="Z43" i="3" s="1"/>
  <c r="V44" i="3"/>
  <c r="Z44" i="3" s="1"/>
  <c r="V45" i="3"/>
  <c r="Z45" i="3" s="1"/>
  <c r="V46" i="3"/>
  <c r="Z46" i="3" s="1"/>
  <c r="V47" i="3"/>
  <c r="Z47" i="3" s="1"/>
  <c r="V48" i="3"/>
  <c r="Z48" i="3" s="1"/>
  <c r="V49" i="3"/>
  <c r="Z49" i="3" s="1"/>
  <c r="V50" i="3"/>
  <c r="Z50" i="3" s="1"/>
  <c r="V51" i="3"/>
  <c r="Z51" i="3" s="1"/>
  <c r="V52" i="3"/>
  <c r="Z52" i="3" s="1"/>
  <c r="V53" i="3"/>
  <c r="Z53" i="3" s="1"/>
  <c r="V54" i="3"/>
  <c r="Z54" i="3" s="1"/>
  <c r="V55" i="3"/>
  <c r="Z55" i="3" s="1"/>
  <c r="V56" i="3"/>
  <c r="Z56" i="3" s="1"/>
  <c r="V57" i="3"/>
  <c r="Z57" i="3" s="1"/>
  <c r="V58" i="3"/>
  <c r="Z58" i="3" s="1"/>
  <c r="V59" i="3"/>
  <c r="Z59" i="3" s="1"/>
  <c r="V60" i="3"/>
  <c r="Z60" i="3" s="1"/>
  <c r="V61" i="3"/>
  <c r="Z61" i="3" s="1"/>
  <c r="V62" i="3"/>
  <c r="Z62" i="3" s="1"/>
  <c r="V63" i="3"/>
  <c r="Z63" i="3" s="1"/>
  <c r="V64" i="3"/>
  <c r="Z64" i="3" s="1"/>
  <c r="V65" i="3"/>
  <c r="Z65" i="3" s="1"/>
  <c r="V66" i="3"/>
  <c r="Z66" i="3" s="1"/>
  <c r="V67" i="3"/>
  <c r="Z67" i="3" s="1"/>
  <c r="V68" i="3"/>
  <c r="Z68" i="3" s="1"/>
  <c r="V69" i="3"/>
  <c r="Z69" i="3" s="1"/>
  <c r="V70" i="3"/>
  <c r="Z70" i="3" s="1"/>
  <c r="V71" i="3"/>
  <c r="Z71" i="3" s="1"/>
  <c r="V72" i="3"/>
  <c r="Z72" i="3" s="1"/>
  <c r="V73" i="3"/>
  <c r="Z73" i="3" s="1"/>
  <c r="V74" i="3"/>
  <c r="Z74" i="3" s="1"/>
  <c r="V75" i="3"/>
  <c r="Z75" i="3" s="1"/>
  <c r="V76" i="3"/>
  <c r="Z76" i="3" s="1"/>
  <c r="V77" i="3"/>
  <c r="Z77" i="3" s="1"/>
  <c r="V78" i="3"/>
  <c r="Z78" i="3" s="1"/>
  <c r="V79" i="3"/>
  <c r="Z79" i="3" s="1"/>
  <c r="V80" i="3"/>
  <c r="Z80" i="3" s="1"/>
  <c r="V81" i="3"/>
  <c r="Z81" i="3" s="1"/>
  <c r="V82" i="3"/>
  <c r="Z82" i="3" s="1"/>
  <c r="V83" i="3"/>
  <c r="Z83" i="3" s="1"/>
  <c r="V84" i="3"/>
  <c r="Z84" i="3" s="1"/>
  <c r="V85" i="3"/>
  <c r="Z85" i="3" s="1"/>
  <c r="V86" i="3"/>
  <c r="Z86" i="3" s="1"/>
  <c r="V87" i="3"/>
  <c r="Z87" i="3" s="1"/>
  <c r="V88" i="3"/>
  <c r="Z88" i="3" s="1"/>
  <c r="V89" i="3"/>
  <c r="Z89" i="3" s="1"/>
  <c r="V90" i="3"/>
  <c r="Z90" i="3" s="1"/>
  <c r="V91" i="3"/>
  <c r="Z91" i="3" s="1"/>
  <c r="V92" i="3"/>
  <c r="Z92" i="3" s="1"/>
  <c r="V93" i="3"/>
  <c r="Z93" i="3" s="1"/>
  <c r="V94" i="3"/>
  <c r="Z94" i="3" s="1"/>
  <c r="V95" i="3"/>
  <c r="Z95" i="3" s="1"/>
  <c r="V96" i="3"/>
  <c r="Z96" i="3" s="1"/>
  <c r="V97" i="3"/>
  <c r="Z97" i="3" s="1"/>
  <c r="V98" i="3"/>
  <c r="Z98" i="3" s="1"/>
  <c r="V99" i="3"/>
  <c r="Z99" i="3" s="1"/>
  <c r="V100" i="3"/>
  <c r="Z100" i="3" s="1"/>
  <c r="V101" i="3"/>
  <c r="Z101" i="3" s="1"/>
  <c r="V102" i="3"/>
  <c r="Z102" i="3" s="1"/>
  <c r="V103" i="3"/>
  <c r="Z103" i="3" s="1"/>
  <c r="V104" i="3"/>
  <c r="Z104" i="3" s="1"/>
  <c r="V105" i="3"/>
  <c r="Z105" i="3" s="1"/>
  <c r="V106" i="3"/>
  <c r="Z106" i="3" s="1"/>
  <c r="V107" i="3"/>
  <c r="Z107" i="3" s="1"/>
  <c r="V108" i="3"/>
  <c r="Z108" i="3" s="1"/>
  <c r="V109" i="3"/>
  <c r="Z109" i="3" s="1"/>
  <c r="V110" i="3"/>
  <c r="Z110" i="3" s="1"/>
  <c r="V111" i="3"/>
  <c r="Z111" i="3" s="1"/>
  <c r="V112" i="3"/>
  <c r="Z112" i="3" s="1"/>
  <c r="V113" i="3"/>
  <c r="Z113" i="3" s="1"/>
  <c r="V114" i="3"/>
  <c r="Z114" i="3" s="1"/>
  <c r="V115" i="3"/>
  <c r="Z115" i="3" s="1"/>
  <c r="V116" i="3"/>
  <c r="Z116" i="3" s="1"/>
  <c r="V117" i="3"/>
  <c r="Z117" i="3" s="1"/>
  <c r="V118" i="3"/>
  <c r="Z118" i="3" s="1"/>
  <c r="V119" i="3"/>
  <c r="Z119" i="3" s="1"/>
  <c r="V120" i="3"/>
  <c r="Z120" i="3" s="1"/>
  <c r="V121" i="3"/>
  <c r="Z121" i="3" s="1"/>
  <c r="V122" i="3"/>
  <c r="Z122" i="3" s="1"/>
  <c r="V123" i="3"/>
  <c r="Z123" i="3" s="1"/>
  <c r="V124" i="3"/>
  <c r="Z124" i="3" s="1"/>
  <c r="V125" i="3"/>
  <c r="Z125" i="3" s="1"/>
  <c r="V126" i="3"/>
  <c r="Z126" i="3" s="1"/>
  <c r="V127" i="3"/>
  <c r="Z127" i="3" s="1"/>
  <c r="V128" i="3"/>
  <c r="Z128" i="3" s="1"/>
  <c r="V129" i="3"/>
  <c r="Z129" i="3" s="1"/>
  <c r="V130" i="3"/>
  <c r="Z130" i="3" s="1"/>
  <c r="V131" i="3"/>
  <c r="Z131" i="3" s="1"/>
  <c r="V132" i="3"/>
  <c r="Z132" i="3" s="1"/>
  <c r="V133" i="3"/>
  <c r="Z133" i="3" s="1"/>
  <c r="V134" i="3"/>
  <c r="Z134" i="3" s="1"/>
  <c r="V135" i="3"/>
  <c r="Z135" i="3" s="1"/>
  <c r="V136" i="3"/>
  <c r="Z136" i="3" s="1"/>
  <c r="V137" i="3"/>
  <c r="Z137" i="3" s="1"/>
  <c r="V138" i="3"/>
  <c r="Z138" i="3" s="1"/>
  <c r="V139" i="3"/>
  <c r="Z139" i="3" s="1"/>
  <c r="V140" i="3"/>
  <c r="Z140" i="3" s="1"/>
  <c r="V141" i="3"/>
  <c r="Z141" i="3" s="1"/>
  <c r="V142" i="3"/>
  <c r="Z142" i="3" s="1"/>
  <c r="V143" i="3"/>
  <c r="Z143" i="3" s="1"/>
  <c r="V144" i="3"/>
  <c r="Z144" i="3" s="1"/>
  <c r="V145" i="3"/>
  <c r="Z145" i="3" s="1"/>
  <c r="V146" i="3"/>
  <c r="Z146" i="3" s="1"/>
  <c r="V147" i="3"/>
  <c r="Z147" i="3" s="1"/>
  <c r="V148" i="3"/>
  <c r="Z148" i="3" s="1"/>
  <c r="V149" i="3"/>
  <c r="Z149" i="3" s="1"/>
  <c r="V150" i="3"/>
  <c r="Z150" i="3" s="1"/>
  <c r="V151" i="3"/>
  <c r="Z151" i="3" s="1"/>
  <c r="V152" i="3"/>
  <c r="Z152" i="3" s="1"/>
  <c r="V153" i="3"/>
  <c r="Z153" i="3" s="1"/>
  <c r="V154" i="3"/>
  <c r="Z154" i="3" s="1"/>
  <c r="V155" i="3"/>
  <c r="Z155" i="3" s="1"/>
  <c r="V156" i="3"/>
  <c r="Z156" i="3" s="1"/>
  <c r="V157" i="3"/>
  <c r="Z157" i="3" s="1"/>
  <c r="V158" i="3"/>
  <c r="Z158" i="3" s="1"/>
  <c r="V159" i="3"/>
  <c r="Z159" i="3" s="1"/>
  <c r="V160" i="3"/>
  <c r="Z160" i="3" s="1"/>
  <c r="V161" i="3"/>
  <c r="Z161" i="3" s="1"/>
  <c r="V162" i="3"/>
  <c r="Z162" i="3" s="1"/>
  <c r="V163" i="3"/>
  <c r="Z163" i="3" s="1"/>
  <c r="V164" i="3"/>
  <c r="Z164" i="3" s="1"/>
  <c r="V165" i="3"/>
  <c r="Z165" i="3" s="1"/>
  <c r="V166" i="3"/>
  <c r="Z166" i="3" s="1"/>
  <c r="V167" i="3"/>
  <c r="Z167" i="3" s="1"/>
  <c r="V168" i="3"/>
  <c r="Z168" i="3" s="1"/>
  <c r="V169" i="3"/>
  <c r="Z169" i="3" s="1"/>
  <c r="V170" i="3"/>
  <c r="Z170" i="3" s="1"/>
  <c r="V171" i="3"/>
  <c r="Z171" i="3" s="1"/>
  <c r="V172" i="3"/>
  <c r="Z172" i="3" s="1"/>
  <c r="V173" i="3"/>
  <c r="Z173" i="3" s="1"/>
  <c r="V174" i="3"/>
  <c r="Z174" i="3" s="1"/>
  <c r="V175" i="3"/>
  <c r="Z175" i="3" s="1"/>
  <c r="V176" i="3"/>
  <c r="Z176" i="3" s="1"/>
  <c r="V177" i="3"/>
  <c r="Z177" i="3" s="1"/>
  <c r="V178" i="3"/>
  <c r="Z178" i="3" s="1"/>
  <c r="V179" i="3"/>
  <c r="Z179" i="3" s="1"/>
  <c r="V180" i="3"/>
  <c r="Z180" i="3" s="1"/>
  <c r="V181" i="3"/>
  <c r="Z181" i="3" s="1"/>
  <c r="V182" i="3"/>
  <c r="Z182" i="3" s="1"/>
  <c r="V183" i="3"/>
  <c r="Z183" i="3" s="1"/>
  <c r="V184" i="3"/>
  <c r="Z184" i="3" s="1"/>
  <c r="V185" i="3"/>
  <c r="Z185" i="3" s="1"/>
  <c r="V186" i="3"/>
  <c r="Z186" i="3" s="1"/>
  <c r="V187" i="3"/>
  <c r="Z187" i="3" s="1"/>
  <c r="V188" i="3"/>
  <c r="Z188" i="3" s="1"/>
  <c r="V189" i="3"/>
  <c r="Z189" i="3" s="1"/>
  <c r="V190" i="3"/>
  <c r="Z190" i="3" s="1"/>
  <c r="V191" i="3"/>
  <c r="Z191" i="3" s="1"/>
  <c r="V192" i="3"/>
  <c r="Z192" i="3" s="1"/>
  <c r="V193" i="3"/>
  <c r="Z193" i="3" s="1"/>
  <c r="V194" i="3"/>
  <c r="Z194" i="3" s="1"/>
  <c r="V195" i="3"/>
  <c r="Z195" i="3" s="1"/>
  <c r="V196" i="3"/>
  <c r="Z196" i="3" s="1"/>
  <c r="V197" i="3"/>
  <c r="Z197" i="3" s="1"/>
  <c r="V198" i="3"/>
  <c r="Z198" i="3" s="1"/>
  <c r="V199" i="3"/>
  <c r="Z199" i="3" s="1"/>
  <c r="V200" i="3"/>
  <c r="Z200" i="3" s="1"/>
  <c r="V201" i="3"/>
  <c r="Z201" i="3" s="1"/>
  <c r="V202" i="3"/>
  <c r="Z202" i="3" s="1"/>
  <c r="V203" i="3"/>
  <c r="Z203" i="3" s="1"/>
  <c r="V204" i="3"/>
  <c r="Z204" i="3" s="1"/>
  <c r="V205" i="3"/>
  <c r="Z205" i="3" s="1"/>
  <c r="V206" i="3"/>
  <c r="Z206" i="3" s="1"/>
  <c r="V207" i="3"/>
  <c r="Z207" i="3" s="1"/>
  <c r="V208" i="3"/>
  <c r="Z208" i="3" s="1"/>
  <c r="V209" i="3"/>
  <c r="Z209" i="3" s="1"/>
  <c r="V210" i="3"/>
  <c r="Z210" i="3" s="1"/>
  <c r="V211" i="3"/>
  <c r="Z211" i="3" s="1"/>
  <c r="V212" i="3"/>
  <c r="Z212" i="3" s="1"/>
  <c r="V213" i="3"/>
  <c r="Z213" i="3" s="1"/>
  <c r="V214" i="3"/>
  <c r="Z214" i="3" s="1"/>
  <c r="V215" i="3"/>
  <c r="Z215" i="3" s="1"/>
  <c r="V216" i="3"/>
  <c r="Z216" i="3" s="1"/>
  <c r="V217" i="3"/>
  <c r="Z217" i="3" s="1"/>
  <c r="V218" i="3"/>
  <c r="Z218" i="3" s="1"/>
  <c r="V219" i="3"/>
  <c r="Z219" i="3" s="1"/>
  <c r="V220" i="3"/>
  <c r="Z220" i="3" s="1"/>
  <c r="V221" i="3"/>
  <c r="Z221" i="3" s="1"/>
  <c r="V222" i="3"/>
  <c r="Z222" i="3" s="1"/>
  <c r="V223" i="3"/>
  <c r="Z223" i="3" s="1"/>
  <c r="V224" i="3"/>
  <c r="Z224" i="3" s="1"/>
  <c r="V225" i="3"/>
  <c r="Z225" i="3" s="1"/>
  <c r="V226" i="3"/>
  <c r="Z226" i="3" s="1"/>
  <c r="V227" i="3"/>
  <c r="Z227" i="3" s="1"/>
  <c r="V228" i="3"/>
  <c r="Z228" i="3" s="1"/>
  <c r="V229" i="3"/>
  <c r="Z229" i="3" s="1"/>
  <c r="V230" i="3"/>
  <c r="Z230" i="3" s="1"/>
  <c r="V231" i="3"/>
  <c r="Z231" i="3" s="1"/>
  <c r="V232" i="3"/>
  <c r="Z232" i="3" s="1"/>
  <c r="V233" i="3"/>
  <c r="Z233" i="3" s="1"/>
  <c r="V234" i="3"/>
  <c r="Z234" i="3" s="1"/>
  <c r="V235" i="3"/>
  <c r="Z235" i="3" s="1"/>
  <c r="V236" i="3"/>
  <c r="Z236" i="3" s="1"/>
  <c r="V237" i="3"/>
  <c r="Z237" i="3" s="1"/>
  <c r="V238" i="3"/>
  <c r="Z238" i="3" s="1"/>
  <c r="V239" i="3"/>
  <c r="Z239" i="3" s="1"/>
  <c r="V240" i="3"/>
  <c r="Z240" i="3" s="1"/>
  <c r="V241" i="3"/>
  <c r="Z241" i="3" s="1"/>
  <c r="V242" i="3"/>
  <c r="Z242" i="3" s="1"/>
  <c r="V243" i="3"/>
  <c r="Z243" i="3" s="1"/>
  <c r="V244" i="3"/>
  <c r="Z244" i="3" s="1"/>
  <c r="V245" i="3"/>
  <c r="Z245" i="3" s="1"/>
  <c r="V246" i="3"/>
  <c r="Z246" i="3" s="1"/>
  <c r="V247" i="3"/>
  <c r="Z247" i="3" s="1"/>
  <c r="V248" i="3"/>
  <c r="Z248" i="3" s="1"/>
  <c r="V249" i="3"/>
  <c r="Z249" i="3" s="1"/>
  <c r="V250" i="3"/>
  <c r="Z250" i="3" s="1"/>
  <c r="V251" i="3"/>
  <c r="Z251" i="3" s="1"/>
  <c r="V252" i="3"/>
  <c r="Z252" i="3" s="1"/>
  <c r="V253" i="3"/>
  <c r="Z253" i="3" s="1"/>
  <c r="V254" i="3"/>
  <c r="Z254" i="3" s="1"/>
  <c r="V255" i="3"/>
  <c r="Z255" i="3" s="1"/>
  <c r="V256" i="3"/>
  <c r="Z256" i="3" s="1"/>
  <c r="V257" i="3"/>
  <c r="Z257" i="3" s="1"/>
  <c r="V258" i="3"/>
  <c r="Z258" i="3" s="1"/>
  <c r="V259" i="3"/>
  <c r="Z259" i="3" s="1"/>
  <c r="V260" i="3"/>
  <c r="Z260" i="3" s="1"/>
  <c r="V261" i="3"/>
  <c r="Z261" i="3" s="1"/>
  <c r="V262" i="3"/>
  <c r="Z262" i="3" s="1"/>
  <c r="V263" i="3"/>
  <c r="Z263" i="3" s="1"/>
  <c r="V264" i="3"/>
  <c r="Z264" i="3" s="1"/>
  <c r="V265" i="3"/>
  <c r="Z265" i="3" s="1"/>
  <c r="V266" i="3"/>
  <c r="Z266" i="3" s="1"/>
  <c r="V267" i="3"/>
  <c r="Z267" i="3" s="1"/>
  <c r="V268" i="3"/>
  <c r="Z268" i="3" s="1"/>
  <c r="V269" i="3"/>
  <c r="Z269" i="3" s="1"/>
  <c r="V270" i="3"/>
  <c r="Z270" i="3" s="1"/>
  <c r="V271" i="3"/>
  <c r="Z271" i="3" s="1"/>
  <c r="V272" i="3"/>
  <c r="Z272" i="3" s="1"/>
  <c r="V273" i="3"/>
  <c r="Z273" i="3" s="1"/>
  <c r="V274" i="3"/>
  <c r="Z274" i="3" s="1"/>
  <c r="V275" i="3"/>
  <c r="Z275" i="3" s="1"/>
  <c r="V276" i="3"/>
  <c r="Z276" i="3" s="1"/>
  <c r="V277" i="3"/>
  <c r="Z277" i="3" s="1"/>
  <c r="V278" i="3"/>
  <c r="Z278" i="3" s="1"/>
  <c r="V279" i="3"/>
  <c r="Z279" i="3" s="1"/>
  <c r="V280" i="3"/>
  <c r="Z280" i="3" s="1"/>
  <c r="V281" i="3"/>
  <c r="Z281" i="3" s="1"/>
  <c r="V282" i="3"/>
  <c r="Z282" i="3" s="1"/>
  <c r="V283" i="3"/>
  <c r="Z283" i="3" s="1"/>
  <c r="V284" i="3"/>
  <c r="Z284" i="3" s="1"/>
  <c r="V285" i="3"/>
  <c r="Z285" i="3" s="1"/>
  <c r="V286" i="3"/>
  <c r="Z286" i="3" s="1"/>
  <c r="V287" i="3"/>
  <c r="Z287" i="3" s="1"/>
  <c r="V288" i="3"/>
  <c r="Z288" i="3" s="1"/>
  <c r="V289" i="3"/>
  <c r="Z289" i="3" s="1"/>
  <c r="V290" i="3"/>
  <c r="Z290" i="3" s="1"/>
  <c r="V291" i="3"/>
  <c r="Z291" i="3" s="1"/>
  <c r="V292" i="3"/>
  <c r="Z292" i="3" s="1"/>
  <c r="V293" i="3"/>
  <c r="Z293" i="3" s="1"/>
  <c r="V294" i="3"/>
  <c r="Z294" i="3" s="1"/>
  <c r="V295" i="3"/>
  <c r="Z295" i="3" s="1"/>
  <c r="V296" i="3"/>
  <c r="Z296" i="3" s="1"/>
  <c r="V297" i="3"/>
  <c r="Z297" i="3" s="1"/>
  <c r="V298" i="3"/>
  <c r="Z298" i="3" s="1"/>
  <c r="V299" i="3"/>
  <c r="Z299" i="3" s="1"/>
  <c r="V300" i="3"/>
  <c r="Z300" i="3" s="1"/>
  <c r="V301" i="3"/>
  <c r="Z301" i="3" s="1"/>
  <c r="V302" i="3"/>
  <c r="Z302" i="3" s="1"/>
  <c r="V303" i="3"/>
  <c r="Z303" i="3" s="1"/>
  <c r="V304" i="3"/>
  <c r="Z304" i="3" s="1"/>
  <c r="V305" i="3"/>
  <c r="Z305" i="3" s="1"/>
  <c r="V306" i="3"/>
  <c r="Z306" i="3" s="1"/>
  <c r="V307" i="3"/>
  <c r="Z307" i="3" s="1"/>
  <c r="V308" i="3"/>
  <c r="Z308" i="3" s="1"/>
  <c r="V309" i="3"/>
  <c r="Z309" i="3" s="1"/>
  <c r="V310" i="3"/>
  <c r="Z310" i="3" s="1"/>
  <c r="V311" i="3"/>
  <c r="Z311" i="3" s="1"/>
  <c r="V312" i="3"/>
  <c r="Z312" i="3" s="1"/>
  <c r="V313" i="3"/>
  <c r="Z313" i="3" s="1"/>
  <c r="V314" i="3"/>
  <c r="Z314" i="3" s="1"/>
  <c r="V315" i="3"/>
  <c r="Z315" i="3" s="1"/>
  <c r="V316" i="3"/>
  <c r="Z316" i="3" s="1"/>
  <c r="V317" i="3"/>
  <c r="Z317" i="3" s="1"/>
  <c r="V318" i="3"/>
  <c r="Z318" i="3" s="1"/>
  <c r="V319" i="3"/>
  <c r="Z319" i="3" s="1"/>
  <c r="V320" i="3"/>
  <c r="Z320" i="3" s="1"/>
  <c r="V321" i="3"/>
  <c r="Z321" i="3" s="1"/>
  <c r="V322" i="3"/>
  <c r="Z322" i="3" s="1"/>
  <c r="V323" i="3"/>
  <c r="Z323" i="3" s="1"/>
  <c r="V324" i="3"/>
  <c r="Z324" i="3" s="1"/>
  <c r="V325" i="3"/>
  <c r="Z325" i="3" s="1"/>
  <c r="V326" i="3"/>
  <c r="Z326" i="3" s="1"/>
  <c r="V327" i="3"/>
  <c r="Z327" i="3" s="1"/>
  <c r="V328" i="3"/>
  <c r="Z328" i="3" s="1"/>
  <c r="V329" i="3"/>
  <c r="Z329" i="3" s="1"/>
  <c r="V330" i="3"/>
  <c r="Z330" i="3" s="1"/>
  <c r="V331" i="3"/>
  <c r="Z331" i="3" s="1"/>
  <c r="V332" i="3"/>
  <c r="Z332" i="3" s="1"/>
  <c r="V333" i="3"/>
  <c r="Z333" i="3" s="1"/>
  <c r="V334" i="3"/>
  <c r="Z334" i="3" s="1"/>
  <c r="V335" i="3"/>
  <c r="Z335" i="3" s="1"/>
  <c r="V336" i="3"/>
  <c r="Z336" i="3" s="1"/>
  <c r="V337" i="3"/>
  <c r="Z337" i="3" s="1"/>
  <c r="V338" i="3"/>
  <c r="Z338" i="3" s="1"/>
  <c r="V339" i="3"/>
  <c r="Z339" i="3" s="1"/>
  <c r="V340" i="3"/>
  <c r="Z340" i="3" s="1"/>
  <c r="V341" i="3"/>
  <c r="Z341" i="3" s="1"/>
  <c r="V342" i="3"/>
  <c r="Z342" i="3" s="1"/>
  <c r="V343" i="3"/>
  <c r="Z343" i="3" s="1"/>
  <c r="V344" i="3"/>
  <c r="Z344" i="3" s="1"/>
  <c r="V345" i="3"/>
  <c r="Z345" i="3" s="1"/>
  <c r="V346" i="3"/>
  <c r="Z346" i="3" s="1"/>
  <c r="V347" i="3"/>
  <c r="Z347" i="3" s="1"/>
  <c r="V348" i="3"/>
  <c r="Z348" i="3" s="1"/>
  <c r="V349" i="3"/>
  <c r="Z349" i="3" s="1"/>
  <c r="V350" i="3"/>
  <c r="Z350" i="3" s="1"/>
  <c r="V351" i="3"/>
  <c r="Z351" i="3" s="1"/>
  <c r="V352" i="3"/>
  <c r="Z352" i="3" s="1"/>
  <c r="V353" i="3"/>
  <c r="Z353" i="3" s="1"/>
  <c r="V354" i="3"/>
  <c r="Z354" i="3" s="1"/>
  <c r="V355" i="3"/>
  <c r="Z355" i="3" s="1"/>
  <c r="V356" i="3"/>
  <c r="Z356" i="3" s="1"/>
  <c r="V357" i="3"/>
  <c r="Z357" i="3" s="1"/>
  <c r="V358" i="3"/>
  <c r="Z358" i="3" s="1"/>
  <c r="V359" i="3"/>
  <c r="Z359" i="3" s="1"/>
  <c r="V360" i="3"/>
  <c r="Z360" i="3" s="1"/>
  <c r="V361" i="3"/>
  <c r="Z361" i="3" s="1"/>
  <c r="V362" i="3"/>
  <c r="Z362" i="3" s="1"/>
  <c r="V363" i="3"/>
  <c r="Z363" i="3" s="1"/>
  <c r="V364" i="3"/>
  <c r="Z364" i="3" s="1"/>
  <c r="V365" i="3"/>
  <c r="Z365" i="3" s="1"/>
  <c r="V366" i="3"/>
  <c r="Z366" i="3" s="1"/>
  <c r="V367" i="3"/>
  <c r="Z367" i="3" s="1"/>
  <c r="V368" i="3"/>
  <c r="Z368" i="3" s="1"/>
  <c r="V369" i="3"/>
  <c r="Z369" i="3" s="1"/>
  <c r="V370" i="3"/>
  <c r="Z370" i="3" s="1"/>
  <c r="V371" i="3"/>
  <c r="Z371" i="3" s="1"/>
  <c r="V372" i="3"/>
  <c r="Z372" i="3" s="1"/>
  <c r="V373" i="3"/>
  <c r="Z373" i="3" s="1"/>
  <c r="V374" i="3"/>
  <c r="Z374" i="3" s="1"/>
  <c r="V375" i="3"/>
  <c r="Z375" i="3" s="1"/>
  <c r="V376" i="3"/>
  <c r="Z376" i="3" s="1"/>
  <c r="V377" i="3"/>
  <c r="Z377" i="3" s="1"/>
  <c r="V378" i="3"/>
  <c r="Z378" i="3" s="1"/>
  <c r="V379" i="3"/>
  <c r="Z379" i="3" s="1"/>
  <c r="V380" i="3"/>
  <c r="Z380" i="3" s="1"/>
  <c r="V381" i="3"/>
  <c r="Z381" i="3" s="1"/>
  <c r="V382" i="3"/>
  <c r="Z382" i="3" s="1"/>
  <c r="V383" i="3"/>
  <c r="Z383" i="3" s="1"/>
  <c r="V384" i="3"/>
  <c r="Z384" i="3" s="1"/>
  <c r="V385" i="3"/>
  <c r="Z385" i="3" s="1"/>
  <c r="V386" i="3"/>
  <c r="Z386" i="3" s="1"/>
  <c r="V387" i="3"/>
  <c r="Z387" i="3" s="1"/>
  <c r="V388" i="3"/>
  <c r="Z388" i="3" s="1"/>
  <c r="V389" i="3"/>
  <c r="Z389" i="3" s="1"/>
  <c r="V390" i="3"/>
  <c r="Z390" i="3" s="1"/>
  <c r="V391" i="3"/>
  <c r="Z391" i="3" s="1"/>
  <c r="V392" i="3"/>
  <c r="Z392" i="3" s="1"/>
  <c r="V393" i="3"/>
  <c r="Z393" i="3" s="1"/>
  <c r="V394" i="3"/>
  <c r="Z394" i="3" s="1"/>
  <c r="V395" i="3"/>
  <c r="Z395" i="3" s="1"/>
  <c r="V396" i="3"/>
  <c r="Z396" i="3" s="1"/>
  <c r="V397" i="3"/>
  <c r="Z397" i="3" s="1"/>
  <c r="V398" i="3"/>
  <c r="Z398" i="3" s="1"/>
  <c r="V399" i="3"/>
  <c r="Z399" i="3" s="1"/>
  <c r="V400" i="3"/>
  <c r="Z400" i="3" s="1"/>
  <c r="V401" i="3"/>
  <c r="Z401" i="3" s="1"/>
  <c r="V402" i="3"/>
  <c r="Z402" i="3" s="1"/>
  <c r="V403" i="3"/>
  <c r="Z403" i="3" s="1"/>
  <c r="V404" i="3"/>
  <c r="Z404" i="3" s="1"/>
  <c r="V405" i="3"/>
  <c r="Z405" i="3" s="1"/>
  <c r="V406" i="3"/>
  <c r="Z406" i="3" s="1"/>
  <c r="V407" i="3"/>
  <c r="Z407" i="3" s="1"/>
  <c r="V408" i="3"/>
  <c r="Z408" i="3" s="1"/>
  <c r="V409" i="3"/>
  <c r="Z409" i="3" s="1"/>
  <c r="V410" i="3"/>
  <c r="Z410" i="3" s="1"/>
  <c r="V411" i="3"/>
  <c r="Z411" i="3" s="1"/>
  <c r="V412" i="3"/>
  <c r="Z412" i="3" s="1"/>
  <c r="V413" i="3"/>
  <c r="Z413" i="3" s="1"/>
  <c r="V414" i="3"/>
  <c r="Z414" i="3" s="1"/>
  <c r="V415" i="3"/>
  <c r="Z415" i="3" s="1"/>
  <c r="V416" i="3"/>
  <c r="Z416" i="3" s="1"/>
  <c r="V417" i="3"/>
  <c r="Z417" i="3" s="1"/>
  <c r="V418" i="3"/>
  <c r="Z418" i="3" s="1"/>
  <c r="V419" i="3"/>
  <c r="Z419" i="3" s="1"/>
  <c r="V420" i="3"/>
  <c r="Z420" i="3" s="1"/>
  <c r="V421" i="3"/>
  <c r="Z421" i="3" s="1"/>
  <c r="V422" i="3"/>
  <c r="Z422" i="3" s="1"/>
  <c r="V423" i="3"/>
  <c r="Z423" i="3" s="1"/>
  <c r="V424" i="3"/>
  <c r="Z424" i="3" s="1"/>
  <c r="V425" i="3"/>
  <c r="Z425" i="3" s="1"/>
  <c r="V426" i="3"/>
  <c r="Z426" i="3" s="1"/>
  <c r="V427" i="3"/>
  <c r="Z427" i="3" s="1"/>
  <c r="V428" i="3"/>
  <c r="Z428" i="3" s="1"/>
  <c r="V429" i="3"/>
  <c r="Z429" i="3" s="1"/>
  <c r="V430" i="3"/>
  <c r="Z430" i="3" s="1"/>
  <c r="V431" i="3"/>
  <c r="Z431" i="3" s="1"/>
  <c r="V432" i="3"/>
  <c r="Z432" i="3" s="1"/>
  <c r="V433" i="3"/>
  <c r="Z433" i="3" s="1"/>
  <c r="V434" i="3"/>
  <c r="Z434" i="3" s="1"/>
  <c r="V435" i="3"/>
  <c r="Z435" i="3" s="1"/>
  <c r="V436" i="3"/>
  <c r="Z436" i="3" s="1"/>
  <c r="V437" i="3"/>
  <c r="Z437" i="3" s="1"/>
  <c r="V438" i="3"/>
  <c r="Z438" i="3" s="1"/>
  <c r="V439" i="3"/>
  <c r="Z439" i="3" s="1"/>
  <c r="V440" i="3"/>
  <c r="Z440" i="3" s="1"/>
  <c r="V441" i="3"/>
  <c r="Z441" i="3" s="1"/>
  <c r="V442" i="3"/>
  <c r="Z442" i="3" s="1"/>
  <c r="V443" i="3"/>
  <c r="Z443" i="3" s="1"/>
  <c r="V444" i="3"/>
  <c r="Z444" i="3" s="1"/>
  <c r="V445" i="3"/>
  <c r="Z445" i="3" s="1"/>
  <c r="V446" i="3"/>
  <c r="Z446" i="3" s="1"/>
  <c r="V447" i="3"/>
  <c r="Z447" i="3" s="1"/>
  <c r="V448" i="3"/>
  <c r="Z448" i="3" s="1"/>
  <c r="V449" i="3"/>
  <c r="Z449" i="3" s="1"/>
  <c r="V450" i="3"/>
  <c r="Z450" i="3" s="1"/>
  <c r="V451" i="3"/>
  <c r="Z451" i="3" s="1"/>
  <c r="V452" i="3"/>
  <c r="Z452" i="3" s="1"/>
  <c r="V453" i="3"/>
  <c r="Z453" i="3" s="1"/>
  <c r="V454" i="3"/>
  <c r="Z454" i="3" s="1"/>
  <c r="V455" i="3"/>
  <c r="Z455" i="3" s="1"/>
  <c r="V456" i="3"/>
  <c r="Z456" i="3" s="1"/>
  <c r="V457" i="3"/>
  <c r="Z457" i="3" s="1"/>
  <c r="V458" i="3"/>
  <c r="Z458" i="3" s="1"/>
  <c r="V459" i="3"/>
  <c r="Z459" i="3" s="1"/>
  <c r="V460" i="3"/>
  <c r="Z460" i="3" s="1"/>
  <c r="V461" i="3"/>
  <c r="Z461" i="3" s="1"/>
  <c r="V462" i="3"/>
  <c r="Z462" i="3" s="1"/>
  <c r="V463" i="3"/>
  <c r="Z463" i="3" s="1"/>
  <c r="V464" i="3"/>
  <c r="Z464" i="3" s="1"/>
  <c r="V465" i="3"/>
  <c r="Z465" i="3" s="1"/>
  <c r="V466" i="3"/>
  <c r="Z466" i="3" s="1"/>
  <c r="V467" i="3"/>
  <c r="Z467" i="3" s="1"/>
  <c r="V468" i="3"/>
  <c r="Z468" i="3" s="1"/>
  <c r="V469" i="3"/>
  <c r="Z469" i="3" s="1"/>
  <c r="V470" i="3"/>
  <c r="Z470" i="3" s="1"/>
  <c r="V471" i="3"/>
  <c r="Z471" i="3" s="1"/>
  <c r="V472" i="3"/>
  <c r="Z472" i="3" s="1"/>
  <c r="V473" i="3"/>
  <c r="Z473" i="3" s="1"/>
  <c r="V474" i="3"/>
  <c r="Z474" i="3" s="1"/>
  <c r="V475" i="3"/>
  <c r="Z475" i="3" s="1"/>
  <c r="V476" i="3"/>
  <c r="Z476" i="3" s="1"/>
  <c r="V477" i="3"/>
  <c r="Z477" i="3" s="1"/>
  <c r="V478" i="3"/>
  <c r="Z478" i="3" s="1"/>
  <c r="V479" i="3"/>
  <c r="Z479" i="3" s="1"/>
  <c r="V480" i="3"/>
  <c r="Z480" i="3" s="1"/>
  <c r="V481" i="3"/>
  <c r="Z481" i="3" s="1"/>
  <c r="V482" i="3"/>
  <c r="Z482" i="3" s="1"/>
  <c r="V483" i="3"/>
  <c r="Z483" i="3" s="1"/>
  <c r="V484" i="3"/>
  <c r="Z484" i="3" s="1"/>
  <c r="V485" i="3"/>
  <c r="Z485" i="3" s="1"/>
  <c r="V486" i="3"/>
  <c r="Z486" i="3" s="1"/>
  <c r="V487" i="3"/>
  <c r="Z487" i="3" s="1"/>
  <c r="V488" i="3"/>
  <c r="Z488" i="3" s="1"/>
  <c r="V489" i="3"/>
  <c r="Z489" i="3" s="1"/>
  <c r="V490" i="3"/>
  <c r="Z490" i="3" s="1"/>
  <c r="V491" i="3"/>
  <c r="Z491" i="3" s="1"/>
  <c r="V492" i="3"/>
  <c r="Z492" i="3" s="1"/>
  <c r="V493" i="3"/>
  <c r="Z493" i="3" s="1"/>
  <c r="V494" i="3"/>
  <c r="Z494" i="3" s="1"/>
  <c r="V495" i="3"/>
  <c r="Z495" i="3" s="1"/>
  <c r="V496" i="3"/>
  <c r="Z496" i="3" s="1"/>
  <c r="V497" i="3"/>
  <c r="Z497" i="3" s="1"/>
  <c r="V498" i="3"/>
  <c r="Z498" i="3" s="1"/>
  <c r="V499" i="3"/>
  <c r="Z499" i="3" s="1"/>
  <c r="V500" i="3"/>
  <c r="Z500" i="3" s="1"/>
  <c r="V501" i="3"/>
  <c r="Z501" i="3" s="1"/>
  <c r="V502" i="3"/>
  <c r="Z502" i="3" s="1"/>
  <c r="V503" i="3"/>
  <c r="Z503" i="3" s="1"/>
  <c r="V504" i="3"/>
  <c r="Z504" i="3" s="1"/>
  <c r="V505" i="3"/>
  <c r="Z505" i="3" s="1"/>
  <c r="V506" i="3"/>
  <c r="Z506" i="3" s="1"/>
  <c r="V507" i="3"/>
  <c r="Z507" i="3" s="1"/>
  <c r="V508" i="3"/>
  <c r="Z508" i="3" s="1"/>
  <c r="V509" i="3"/>
  <c r="Z509" i="3" s="1"/>
  <c r="V510" i="3"/>
  <c r="Z510" i="3" s="1"/>
  <c r="V511" i="3"/>
  <c r="Z511" i="3" s="1"/>
  <c r="V512" i="3"/>
  <c r="Z512" i="3" s="1"/>
  <c r="V513" i="3"/>
  <c r="Z513" i="3" s="1"/>
  <c r="V514" i="3"/>
  <c r="Z514" i="3" s="1"/>
  <c r="V515" i="3"/>
  <c r="Z515" i="3" s="1"/>
  <c r="V516" i="3"/>
  <c r="Z516" i="3" s="1"/>
  <c r="V517" i="3"/>
  <c r="Z517" i="3" s="1"/>
  <c r="V518" i="3"/>
  <c r="Z518" i="3" s="1"/>
  <c r="V519" i="3"/>
  <c r="Z519" i="3" s="1"/>
  <c r="V520" i="3"/>
  <c r="Z520" i="3" s="1"/>
  <c r="V521" i="3"/>
  <c r="Z521" i="3" s="1"/>
  <c r="V522" i="3"/>
  <c r="Z522" i="3" s="1"/>
  <c r="V523" i="3"/>
  <c r="Z523" i="3" s="1"/>
  <c r="V524" i="3"/>
  <c r="Z524" i="3" s="1"/>
  <c r="V525" i="3"/>
  <c r="Z525" i="3" s="1"/>
  <c r="V526" i="3"/>
  <c r="Z526" i="3" s="1"/>
  <c r="V527" i="3"/>
  <c r="Z527" i="3" s="1"/>
  <c r="V528" i="3"/>
  <c r="Z528" i="3" s="1"/>
  <c r="V529" i="3"/>
  <c r="Z529" i="3" s="1"/>
  <c r="V530" i="3"/>
  <c r="Z530" i="3" s="1"/>
  <c r="V531" i="3"/>
  <c r="Z531" i="3" s="1"/>
  <c r="V532" i="3"/>
  <c r="Z532" i="3" s="1"/>
  <c r="V533" i="3"/>
  <c r="Z533" i="3" s="1"/>
  <c r="V534" i="3"/>
  <c r="Z534" i="3" s="1"/>
  <c r="V535" i="3"/>
  <c r="Z535" i="3" s="1"/>
  <c r="V536" i="3"/>
  <c r="Z536" i="3" s="1"/>
  <c r="V537" i="3"/>
  <c r="Z537" i="3" s="1"/>
  <c r="V538" i="3"/>
  <c r="Z538" i="3" s="1"/>
  <c r="V539" i="3"/>
  <c r="Z539" i="3" s="1"/>
  <c r="V540" i="3"/>
  <c r="Z540" i="3" s="1"/>
  <c r="V541" i="3"/>
  <c r="Z541" i="3" s="1"/>
  <c r="V542" i="3"/>
  <c r="Z542" i="3" s="1"/>
  <c r="V543" i="3"/>
  <c r="Z543" i="3" s="1"/>
  <c r="V544" i="3"/>
  <c r="Z544" i="3" s="1"/>
  <c r="V545" i="3"/>
  <c r="Z545" i="3" s="1"/>
  <c r="V546" i="3"/>
  <c r="Z546" i="3" s="1"/>
  <c r="V547" i="3"/>
  <c r="Z547" i="3" s="1"/>
  <c r="V548" i="3"/>
  <c r="Z548" i="3" s="1"/>
  <c r="V549" i="3"/>
  <c r="Z549" i="3" s="1"/>
  <c r="V550" i="3"/>
  <c r="Z550" i="3" s="1"/>
  <c r="V551" i="3"/>
  <c r="Z551" i="3" s="1"/>
  <c r="V552" i="3"/>
  <c r="Z552" i="3" s="1"/>
  <c r="V553" i="3"/>
  <c r="Z553" i="3" s="1"/>
  <c r="V554" i="3"/>
  <c r="Z554" i="3" s="1"/>
  <c r="V555" i="3"/>
  <c r="Z555" i="3" s="1"/>
  <c r="V556" i="3"/>
  <c r="Z556" i="3" s="1"/>
  <c r="V557" i="3"/>
  <c r="Z557" i="3" s="1"/>
  <c r="V558" i="3"/>
  <c r="Z558" i="3" s="1"/>
  <c r="V559" i="3"/>
  <c r="Z559" i="3" s="1"/>
  <c r="V560" i="3"/>
  <c r="Z560" i="3" s="1"/>
  <c r="V561" i="3"/>
  <c r="Z561" i="3" s="1"/>
  <c r="V562" i="3"/>
  <c r="Z562" i="3" s="1"/>
  <c r="V563" i="3"/>
  <c r="Z563" i="3" s="1"/>
  <c r="V564" i="3"/>
  <c r="Z564" i="3" s="1"/>
  <c r="V565" i="3"/>
  <c r="Z565" i="3" s="1"/>
  <c r="V566" i="3"/>
  <c r="Z566" i="3" s="1"/>
  <c r="V567" i="3"/>
  <c r="Z567" i="3" s="1"/>
  <c r="V568" i="3"/>
  <c r="Z568" i="3" s="1"/>
  <c r="V569" i="3"/>
  <c r="Z569" i="3" s="1"/>
  <c r="V570" i="3"/>
  <c r="Z570" i="3" s="1"/>
  <c r="V571" i="3"/>
  <c r="Z571" i="3" s="1"/>
  <c r="V572" i="3"/>
  <c r="Z572" i="3" s="1"/>
  <c r="V573" i="3"/>
  <c r="Z573" i="3" s="1"/>
  <c r="V574" i="3"/>
  <c r="Z574" i="3" s="1"/>
  <c r="V575" i="3"/>
  <c r="Z575" i="3" s="1"/>
  <c r="V576" i="3"/>
  <c r="Z576" i="3" s="1"/>
  <c r="V577" i="3"/>
  <c r="Z577" i="3" s="1"/>
  <c r="V578" i="3"/>
  <c r="Z578" i="3" s="1"/>
  <c r="V579" i="3"/>
  <c r="Z579" i="3" s="1"/>
  <c r="V580" i="3"/>
  <c r="Z580" i="3" s="1"/>
  <c r="V581" i="3"/>
  <c r="Z581" i="3" s="1"/>
  <c r="V582" i="3"/>
  <c r="Z582" i="3" s="1"/>
  <c r="V583" i="3"/>
  <c r="Z583" i="3" s="1"/>
  <c r="V584" i="3"/>
  <c r="Z584" i="3" s="1"/>
  <c r="V585" i="3"/>
  <c r="Z585" i="3" s="1"/>
  <c r="V586" i="3"/>
  <c r="Z586" i="3" s="1"/>
  <c r="V587" i="3"/>
  <c r="Z587" i="3" s="1"/>
  <c r="V588" i="3"/>
  <c r="Z588" i="3" s="1"/>
  <c r="V589" i="3"/>
  <c r="Z589" i="3" s="1"/>
  <c r="V590" i="3"/>
  <c r="Z590" i="3" s="1"/>
  <c r="V591" i="3"/>
  <c r="Z591" i="3" s="1"/>
  <c r="V592" i="3"/>
  <c r="Z592" i="3" s="1"/>
  <c r="V593" i="3"/>
  <c r="Z593" i="3" s="1"/>
  <c r="V594" i="3"/>
  <c r="Z594" i="3" s="1"/>
  <c r="V595" i="3"/>
  <c r="Z595" i="3" s="1"/>
  <c r="V596" i="3"/>
  <c r="Z596" i="3" s="1"/>
  <c r="V597" i="3"/>
  <c r="Z597" i="3" s="1"/>
  <c r="V598" i="3"/>
  <c r="Z598" i="3" s="1"/>
  <c r="V599" i="3"/>
  <c r="Z599" i="3" s="1"/>
  <c r="V600" i="3"/>
  <c r="Z600" i="3" s="1"/>
  <c r="V601" i="3"/>
  <c r="Z601" i="3" s="1"/>
  <c r="V602" i="3"/>
  <c r="Z602" i="3" s="1"/>
  <c r="V603" i="3"/>
  <c r="Z603" i="3" s="1"/>
  <c r="V604" i="3"/>
  <c r="Z604" i="3" s="1"/>
  <c r="V605" i="3"/>
  <c r="Z605" i="3" s="1"/>
  <c r="V606" i="3"/>
  <c r="Z606" i="3" s="1"/>
  <c r="V607" i="3"/>
  <c r="Z607" i="3" s="1"/>
  <c r="V608" i="3"/>
  <c r="Z608" i="3" s="1"/>
  <c r="V609" i="3"/>
  <c r="Z609" i="3" s="1"/>
  <c r="V610" i="3"/>
  <c r="Z610" i="3" s="1"/>
  <c r="V611" i="3"/>
  <c r="Z611" i="3" s="1"/>
  <c r="V612" i="3"/>
  <c r="Z612" i="3" s="1"/>
  <c r="V613" i="3"/>
  <c r="Z613" i="3" s="1"/>
  <c r="V614" i="3"/>
  <c r="Z614" i="3" s="1"/>
  <c r="V615" i="3"/>
  <c r="Z615" i="3" s="1"/>
  <c r="V616" i="3"/>
  <c r="Z616" i="3" s="1"/>
  <c r="V617" i="3"/>
  <c r="Z617" i="3" s="1"/>
  <c r="V618" i="3"/>
  <c r="Z618" i="3" s="1"/>
  <c r="V619" i="3"/>
  <c r="Z619" i="3" s="1"/>
  <c r="V620" i="3"/>
  <c r="Z620" i="3" s="1"/>
  <c r="V621" i="3"/>
  <c r="Z621" i="3" s="1"/>
  <c r="V622" i="3"/>
  <c r="Z622" i="3" s="1"/>
  <c r="V623" i="3"/>
  <c r="Z623" i="3" s="1"/>
  <c r="V624" i="3"/>
  <c r="Z624" i="3" s="1"/>
  <c r="V625" i="3"/>
  <c r="Z625" i="3" s="1"/>
  <c r="V626" i="3"/>
  <c r="Z626" i="3" s="1"/>
  <c r="V627" i="3"/>
  <c r="Z627" i="3" s="1"/>
  <c r="V628" i="3"/>
  <c r="Z628" i="3" s="1"/>
  <c r="V629" i="3"/>
  <c r="Z629" i="3" s="1"/>
  <c r="V630" i="3"/>
  <c r="Z630" i="3" s="1"/>
  <c r="V631" i="3"/>
  <c r="Z631" i="3" s="1"/>
  <c r="V632" i="3"/>
  <c r="Z632" i="3" s="1"/>
  <c r="V2" i="3"/>
  <c r="Z2" i="3" s="1"/>
  <c r="F26" i="6"/>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F28" i="6"/>
  <c r="E64" i="7"/>
  <c r="D64" i="7"/>
  <c r="D57" i="7"/>
  <c r="E57" i="7"/>
  <c r="H28" i="6"/>
  <c r="K630" i="3" l="1"/>
  <c r="J630" i="3"/>
  <c r="K626" i="3"/>
  <c r="J626" i="3"/>
  <c r="K622" i="3"/>
  <c r="J622" i="3"/>
  <c r="K618" i="3"/>
  <c r="J618" i="3"/>
  <c r="K614" i="3"/>
  <c r="J614" i="3"/>
  <c r="K610" i="3"/>
  <c r="J610" i="3"/>
  <c r="K606" i="3"/>
  <c r="J606" i="3"/>
  <c r="K602" i="3"/>
  <c r="J602" i="3"/>
  <c r="K598" i="3"/>
  <c r="J598" i="3"/>
  <c r="K594" i="3"/>
  <c r="J594" i="3"/>
  <c r="K590" i="3"/>
  <c r="J590" i="3"/>
  <c r="K586" i="3"/>
  <c r="J586" i="3"/>
  <c r="K582" i="3"/>
  <c r="J582" i="3"/>
  <c r="K578" i="3"/>
  <c r="J578" i="3"/>
  <c r="K574" i="3"/>
  <c r="J574" i="3"/>
  <c r="K570" i="3"/>
  <c r="J570" i="3"/>
  <c r="K566" i="3"/>
  <c r="J566" i="3"/>
  <c r="K562" i="3"/>
  <c r="J562" i="3"/>
  <c r="K558" i="3"/>
  <c r="J558" i="3"/>
  <c r="K554" i="3"/>
  <c r="J554" i="3"/>
  <c r="K550" i="3"/>
  <c r="J550" i="3"/>
  <c r="K546" i="3"/>
  <c r="J546" i="3"/>
  <c r="K542" i="3"/>
  <c r="J542" i="3"/>
  <c r="K538" i="3"/>
  <c r="J538" i="3"/>
  <c r="K534" i="3"/>
  <c r="J534" i="3"/>
  <c r="K530" i="3"/>
  <c r="J530" i="3"/>
  <c r="K526" i="3"/>
  <c r="J526" i="3"/>
  <c r="K522" i="3"/>
  <c r="J522" i="3"/>
  <c r="K518" i="3"/>
  <c r="J518" i="3"/>
  <c r="K514" i="3"/>
  <c r="J514" i="3"/>
  <c r="K510" i="3"/>
  <c r="J510" i="3"/>
  <c r="K506" i="3"/>
  <c r="J506" i="3"/>
  <c r="K502" i="3"/>
  <c r="J502" i="3"/>
  <c r="K498" i="3"/>
  <c r="J498" i="3"/>
  <c r="K494" i="3"/>
  <c r="J494" i="3"/>
  <c r="K490" i="3"/>
  <c r="J490" i="3"/>
  <c r="K486" i="3"/>
  <c r="J486" i="3"/>
  <c r="K482" i="3"/>
  <c r="J482" i="3"/>
  <c r="K478" i="3"/>
  <c r="J478" i="3"/>
  <c r="K474" i="3"/>
  <c r="J474" i="3"/>
  <c r="K470" i="3"/>
  <c r="J470" i="3"/>
  <c r="K466" i="3"/>
  <c r="J466" i="3"/>
  <c r="K462" i="3"/>
  <c r="J462" i="3"/>
  <c r="K458" i="3"/>
  <c r="J458" i="3"/>
  <c r="K599" i="3"/>
  <c r="J599" i="3"/>
  <c r="K595" i="3"/>
  <c r="J595" i="3"/>
  <c r="K591" i="3"/>
  <c r="J591" i="3"/>
  <c r="K587" i="3"/>
  <c r="J587" i="3"/>
  <c r="K583" i="3"/>
  <c r="J583" i="3"/>
  <c r="K579" i="3"/>
  <c r="J579" i="3"/>
  <c r="K575" i="3"/>
  <c r="J575" i="3"/>
  <c r="K571" i="3"/>
  <c r="J571" i="3"/>
  <c r="K567" i="3"/>
  <c r="J567" i="3"/>
  <c r="K563" i="3"/>
  <c r="J563" i="3"/>
  <c r="K559" i="3"/>
  <c r="J559" i="3"/>
  <c r="K555" i="3"/>
  <c r="J555" i="3"/>
  <c r="K551" i="3"/>
  <c r="J551" i="3"/>
  <c r="K547" i="3"/>
  <c r="J547" i="3"/>
  <c r="K543" i="3"/>
  <c r="J543" i="3"/>
  <c r="K539" i="3"/>
  <c r="J539" i="3"/>
  <c r="K535" i="3"/>
  <c r="J535" i="3"/>
  <c r="K531" i="3"/>
  <c r="J531" i="3"/>
  <c r="K527" i="3"/>
  <c r="J527" i="3"/>
  <c r="K523" i="3"/>
  <c r="J523" i="3"/>
  <c r="K519" i="3"/>
  <c r="J519" i="3"/>
  <c r="K515" i="3"/>
  <c r="J515" i="3"/>
  <c r="K511" i="3"/>
  <c r="J511" i="3"/>
  <c r="K507" i="3"/>
  <c r="J507" i="3"/>
  <c r="K503" i="3"/>
  <c r="J503" i="3"/>
  <c r="K499" i="3"/>
  <c r="J499" i="3"/>
  <c r="K495" i="3"/>
  <c r="J495" i="3"/>
  <c r="K491" i="3"/>
  <c r="J491" i="3"/>
  <c r="K487" i="3"/>
  <c r="J487" i="3"/>
  <c r="K483" i="3"/>
  <c r="J483" i="3"/>
  <c r="K479" i="3"/>
  <c r="J479" i="3"/>
  <c r="K475" i="3"/>
  <c r="J475" i="3"/>
  <c r="K471" i="3"/>
  <c r="J471" i="3"/>
  <c r="K467" i="3"/>
  <c r="J467" i="3"/>
  <c r="K463" i="3"/>
  <c r="J463" i="3"/>
  <c r="K459" i="3"/>
  <c r="J459" i="3"/>
  <c r="K455" i="3"/>
  <c r="J455" i="3"/>
  <c r="K451" i="3"/>
  <c r="J451" i="3"/>
  <c r="K447" i="3"/>
  <c r="J447" i="3"/>
  <c r="K443" i="3"/>
  <c r="J443" i="3"/>
  <c r="K439" i="3"/>
  <c r="J439" i="3"/>
  <c r="K427" i="3"/>
  <c r="J427" i="3"/>
  <c r="K423" i="3"/>
  <c r="J423" i="3"/>
  <c r="K411" i="3"/>
  <c r="J411" i="3"/>
  <c r="K407" i="3"/>
  <c r="J407" i="3"/>
  <c r="K395" i="3"/>
  <c r="J395" i="3"/>
  <c r="K391" i="3"/>
  <c r="J391" i="3"/>
  <c r="K387" i="3"/>
  <c r="J387" i="3"/>
  <c r="K383" i="3"/>
  <c r="J383" i="3"/>
  <c r="K379" i="3"/>
  <c r="J379" i="3"/>
  <c r="K375" i="3"/>
  <c r="J375" i="3"/>
  <c r="K371" i="3"/>
  <c r="J371" i="3"/>
  <c r="K367" i="3"/>
  <c r="J367" i="3"/>
  <c r="K363" i="3"/>
  <c r="J363" i="3"/>
  <c r="K359" i="3"/>
  <c r="J359" i="3"/>
  <c r="K355" i="3"/>
  <c r="J355" i="3"/>
  <c r="K351" i="3"/>
  <c r="J351" i="3"/>
  <c r="K347" i="3"/>
  <c r="J347" i="3"/>
  <c r="K343" i="3"/>
  <c r="J343" i="3"/>
  <c r="K339" i="3"/>
  <c r="J339" i="3"/>
  <c r="K335" i="3"/>
  <c r="J335" i="3"/>
  <c r="K331" i="3"/>
  <c r="J331" i="3"/>
  <c r="K323" i="3"/>
  <c r="J323" i="3"/>
  <c r="K319" i="3"/>
  <c r="J319" i="3"/>
  <c r="K311" i="3"/>
  <c r="J311" i="3"/>
  <c r="K307" i="3"/>
  <c r="J307" i="3"/>
  <c r="K303" i="3"/>
  <c r="J303" i="3"/>
  <c r="K299" i="3"/>
  <c r="J299" i="3"/>
  <c r="K291" i="3"/>
  <c r="J291" i="3"/>
  <c r="K287" i="3"/>
  <c r="J287" i="3"/>
  <c r="K279" i="3"/>
  <c r="J279" i="3"/>
  <c r="K275" i="3"/>
  <c r="J275" i="3"/>
  <c r="K271" i="3"/>
  <c r="J271" i="3"/>
  <c r="K267" i="3"/>
  <c r="J267" i="3"/>
  <c r="K259" i="3"/>
  <c r="J259" i="3"/>
  <c r="K255" i="3"/>
  <c r="J255" i="3"/>
  <c r="K247" i="3"/>
  <c r="J247" i="3"/>
  <c r="K243" i="3"/>
  <c r="J243" i="3"/>
  <c r="K239" i="3"/>
  <c r="J239" i="3"/>
  <c r="K235" i="3"/>
  <c r="J235" i="3"/>
  <c r="K227" i="3"/>
  <c r="J227" i="3"/>
  <c r="K223" i="3"/>
  <c r="J223" i="3"/>
  <c r="K215" i="3"/>
  <c r="J215" i="3"/>
  <c r="K211" i="3"/>
  <c r="J211" i="3"/>
  <c r="K207" i="3"/>
  <c r="J207" i="3"/>
  <c r="K203" i="3"/>
  <c r="J203" i="3"/>
  <c r="K195" i="3"/>
  <c r="J195" i="3"/>
  <c r="K191" i="3"/>
  <c r="J191" i="3"/>
  <c r="K183" i="3"/>
  <c r="J183" i="3"/>
  <c r="K179" i="3"/>
  <c r="J179" i="3"/>
  <c r="K175" i="3"/>
  <c r="J175" i="3"/>
  <c r="K171" i="3"/>
  <c r="J171" i="3"/>
  <c r="K163" i="3"/>
  <c r="J163" i="3"/>
  <c r="K159" i="3"/>
  <c r="J159" i="3"/>
  <c r="K151" i="3"/>
  <c r="J151" i="3"/>
  <c r="K147" i="3"/>
  <c r="J147" i="3"/>
  <c r="K143" i="3"/>
  <c r="J143" i="3"/>
  <c r="K139" i="3"/>
  <c r="J139" i="3"/>
  <c r="K131" i="3"/>
  <c r="J131" i="3"/>
  <c r="K127" i="3"/>
  <c r="J127" i="3"/>
  <c r="K119" i="3"/>
  <c r="J119" i="3"/>
  <c r="K115" i="3"/>
  <c r="J115" i="3"/>
  <c r="K111" i="3"/>
  <c r="J111" i="3"/>
  <c r="K107" i="3"/>
  <c r="J107" i="3"/>
  <c r="K99" i="3"/>
  <c r="J99" i="3"/>
  <c r="K95" i="3"/>
  <c r="J95" i="3"/>
  <c r="K87" i="3"/>
  <c r="J87" i="3"/>
  <c r="K83" i="3"/>
  <c r="J83" i="3"/>
  <c r="K79" i="3"/>
  <c r="J79" i="3"/>
  <c r="K75" i="3"/>
  <c r="J75" i="3"/>
  <c r="K67" i="3"/>
  <c r="J67" i="3"/>
  <c r="K63" i="3"/>
  <c r="J63" i="3"/>
  <c r="K55" i="3"/>
  <c r="J55" i="3"/>
  <c r="K51" i="3"/>
  <c r="J51" i="3"/>
  <c r="K47" i="3"/>
  <c r="J47" i="3"/>
  <c r="K43" i="3"/>
  <c r="J43" i="3"/>
  <c r="K39" i="3"/>
  <c r="J39" i="3"/>
  <c r="K35" i="3"/>
  <c r="J35" i="3"/>
  <c r="K31" i="3"/>
  <c r="J31" i="3"/>
  <c r="K27" i="3"/>
  <c r="J27" i="3"/>
  <c r="K23" i="3"/>
  <c r="J23" i="3"/>
  <c r="K19" i="3"/>
  <c r="J19" i="3"/>
  <c r="K15" i="3"/>
  <c r="J15" i="3"/>
  <c r="K11" i="3"/>
  <c r="J11" i="3"/>
  <c r="K7" i="3"/>
  <c r="J7" i="3"/>
  <c r="K3" i="3"/>
  <c r="J3" i="3"/>
  <c r="J632" i="3"/>
  <c r="J628" i="3"/>
  <c r="J624" i="3"/>
  <c r="J620" i="3"/>
  <c r="J616" i="3"/>
  <c r="J612" i="3"/>
  <c r="J608" i="3"/>
  <c r="J604" i="3"/>
  <c r="J600" i="3"/>
  <c r="J593" i="3"/>
  <c r="J585" i="3"/>
  <c r="J577" i="3"/>
  <c r="J569" i="3"/>
  <c r="J561" i="3"/>
  <c r="J553" i="3"/>
  <c r="J545" i="3"/>
  <c r="J537" i="3"/>
  <c r="J529" i="3"/>
  <c r="J521" i="3"/>
  <c r="J513" i="3"/>
  <c r="J505" i="3"/>
  <c r="J497" i="3"/>
  <c r="J489" i="3"/>
  <c r="J481" i="3"/>
  <c r="J473" i="3"/>
  <c r="J465" i="3"/>
  <c r="J457" i="3"/>
  <c r="J449" i="3"/>
  <c r="J441" i="3"/>
  <c r="J431" i="3"/>
  <c r="J421" i="3"/>
  <c r="J410" i="3"/>
  <c r="J399" i="3"/>
  <c r="J386" i="3"/>
  <c r="J370" i="3"/>
  <c r="J354" i="3"/>
  <c r="J337" i="3"/>
  <c r="J316" i="3"/>
  <c r="J295" i="3"/>
  <c r="J273" i="3"/>
  <c r="J252" i="3"/>
  <c r="J231" i="3"/>
  <c r="J209" i="3"/>
  <c r="J188" i="3"/>
  <c r="J167" i="3"/>
  <c r="J145" i="3"/>
  <c r="J124" i="3"/>
  <c r="J103" i="3"/>
  <c r="J81" i="3"/>
  <c r="J60" i="3"/>
  <c r="J37" i="3"/>
  <c r="J5" i="3"/>
  <c r="K454" i="3"/>
  <c r="J454" i="3"/>
  <c r="K450" i="3"/>
  <c r="J450" i="3"/>
  <c r="K446" i="3"/>
  <c r="J446" i="3"/>
  <c r="K442" i="3"/>
  <c r="J442" i="3"/>
  <c r="K438" i="3"/>
  <c r="J438" i="3"/>
  <c r="K434" i="3"/>
  <c r="J434" i="3"/>
  <c r="K422" i="3"/>
  <c r="J422" i="3"/>
  <c r="K418" i="3"/>
  <c r="J418" i="3"/>
  <c r="K406" i="3"/>
  <c r="J406" i="3"/>
  <c r="K402" i="3"/>
  <c r="J402" i="3"/>
  <c r="K390" i="3"/>
  <c r="J390" i="3"/>
  <c r="K382" i="3"/>
  <c r="J382" i="3"/>
  <c r="K374" i="3"/>
  <c r="J374" i="3"/>
  <c r="K366" i="3"/>
  <c r="J366" i="3"/>
  <c r="K358" i="3"/>
  <c r="J358" i="3"/>
  <c r="K350" i="3"/>
  <c r="J350" i="3"/>
  <c r="K342" i="3"/>
  <c r="J342" i="3"/>
  <c r="K338" i="3"/>
  <c r="J338" i="3"/>
  <c r="K334" i="3"/>
  <c r="J334" i="3"/>
  <c r="K330" i="3"/>
  <c r="J330" i="3"/>
  <c r="K326" i="3"/>
  <c r="J326" i="3"/>
  <c r="K322" i="3"/>
  <c r="J322" i="3"/>
  <c r="K318" i="3"/>
  <c r="J318" i="3"/>
  <c r="K314" i="3"/>
  <c r="J314" i="3"/>
  <c r="K310" i="3"/>
  <c r="J310" i="3"/>
  <c r="K306" i="3"/>
  <c r="J306" i="3"/>
  <c r="K302" i="3"/>
  <c r="J302" i="3"/>
  <c r="K298" i="3"/>
  <c r="J298" i="3"/>
  <c r="K294" i="3"/>
  <c r="J294" i="3"/>
  <c r="K290" i="3"/>
  <c r="J290" i="3"/>
  <c r="K286" i="3"/>
  <c r="J286" i="3"/>
  <c r="K282" i="3"/>
  <c r="J282" i="3"/>
  <c r="K278" i="3"/>
  <c r="J278" i="3"/>
  <c r="K274" i="3"/>
  <c r="J274" i="3"/>
  <c r="K270" i="3"/>
  <c r="J270" i="3"/>
  <c r="K266" i="3"/>
  <c r="J266" i="3"/>
  <c r="K262" i="3"/>
  <c r="J262" i="3"/>
  <c r="K258" i="3"/>
  <c r="J258" i="3"/>
  <c r="K254" i="3"/>
  <c r="J254" i="3"/>
  <c r="K250" i="3"/>
  <c r="J250" i="3"/>
  <c r="K246" i="3"/>
  <c r="J246" i="3"/>
  <c r="K242" i="3"/>
  <c r="J242" i="3"/>
  <c r="K238" i="3"/>
  <c r="J238" i="3"/>
  <c r="K234" i="3"/>
  <c r="J234" i="3"/>
  <c r="K230" i="3"/>
  <c r="J230" i="3"/>
  <c r="K226" i="3"/>
  <c r="J226" i="3"/>
  <c r="K222" i="3"/>
  <c r="J222" i="3"/>
  <c r="K218" i="3"/>
  <c r="J218" i="3"/>
  <c r="K214" i="3"/>
  <c r="J214" i="3"/>
  <c r="K210" i="3"/>
  <c r="J210" i="3"/>
  <c r="K206" i="3"/>
  <c r="J206" i="3"/>
  <c r="K202" i="3"/>
  <c r="J202" i="3"/>
  <c r="K198" i="3"/>
  <c r="J198" i="3"/>
  <c r="K194" i="3"/>
  <c r="J194" i="3"/>
  <c r="K190" i="3"/>
  <c r="J190" i="3"/>
  <c r="K186" i="3"/>
  <c r="J186" i="3"/>
  <c r="K182" i="3"/>
  <c r="J182" i="3"/>
  <c r="K178" i="3"/>
  <c r="J178" i="3"/>
  <c r="K174" i="3"/>
  <c r="J174" i="3"/>
  <c r="K170" i="3"/>
  <c r="J170" i="3"/>
  <c r="K166" i="3"/>
  <c r="J166" i="3"/>
  <c r="K162" i="3"/>
  <c r="J162" i="3"/>
  <c r="K158" i="3"/>
  <c r="J158" i="3"/>
  <c r="K154" i="3"/>
  <c r="J154" i="3"/>
  <c r="K150" i="3"/>
  <c r="J150" i="3"/>
  <c r="K146" i="3"/>
  <c r="J146" i="3"/>
  <c r="K142" i="3"/>
  <c r="J142" i="3"/>
  <c r="K138" i="3"/>
  <c r="J138" i="3"/>
  <c r="K134" i="3"/>
  <c r="J134" i="3"/>
  <c r="K130" i="3"/>
  <c r="J130" i="3"/>
  <c r="K126" i="3"/>
  <c r="J126" i="3"/>
  <c r="K122" i="3"/>
  <c r="J122" i="3"/>
  <c r="K118" i="3"/>
  <c r="J118" i="3"/>
  <c r="K114" i="3"/>
  <c r="J114" i="3"/>
  <c r="K110" i="3"/>
  <c r="J110" i="3"/>
  <c r="K106" i="3"/>
  <c r="J106" i="3"/>
  <c r="K102" i="3"/>
  <c r="J102" i="3"/>
  <c r="K98" i="3"/>
  <c r="J98" i="3"/>
  <c r="K94" i="3"/>
  <c r="J94" i="3"/>
  <c r="K90" i="3"/>
  <c r="J90" i="3"/>
  <c r="K86" i="3"/>
  <c r="J86" i="3"/>
  <c r="K82" i="3"/>
  <c r="J82" i="3"/>
  <c r="K78" i="3"/>
  <c r="J78" i="3"/>
  <c r="K74" i="3"/>
  <c r="J74" i="3"/>
  <c r="K70" i="3"/>
  <c r="J70" i="3"/>
  <c r="K66" i="3"/>
  <c r="J66" i="3"/>
  <c r="K62" i="3"/>
  <c r="J62" i="3"/>
  <c r="K58" i="3"/>
  <c r="J58" i="3"/>
  <c r="K54" i="3"/>
  <c r="J54" i="3"/>
  <c r="K50" i="3"/>
  <c r="J50" i="3"/>
  <c r="K46" i="3"/>
  <c r="J46" i="3"/>
  <c r="K42" i="3"/>
  <c r="J42" i="3"/>
  <c r="K38" i="3"/>
  <c r="J38" i="3"/>
  <c r="K34" i="3"/>
  <c r="J34" i="3"/>
  <c r="K30" i="3"/>
  <c r="J30" i="3"/>
  <c r="K26" i="3"/>
  <c r="J26" i="3"/>
  <c r="K22" i="3"/>
  <c r="J22" i="3"/>
  <c r="K18" i="3"/>
  <c r="J18" i="3"/>
  <c r="K14" i="3"/>
  <c r="J14" i="3"/>
  <c r="K10" i="3"/>
  <c r="J10" i="3"/>
  <c r="K6" i="3"/>
  <c r="J6" i="3"/>
  <c r="J631" i="3"/>
  <c r="J627" i="3"/>
  <c r="J623" i="3"/>
  <c r="J619" i="3"/>
  <c r="J615" i="3"/>
  <c r="J611" i="3"/>
  <c r="J607" i="3"/>
  <c r="J603" i="3"/>
  <c r="J592" i="3"/>
  <c r="J584" i="3"/>
  <c r="J576" i="3"/>
  <c r="J568" i="3"/>
  <c r="J560" i="3"/>
  <c r="J552" i="3"/>
  <c r="J544" i="3"/>
  <c r="J536" i="3"/>
  <c r="J528" i="3"/>
  <c r="J520" i="3"/>
  <c r="J512" i="3"/>
  <c r="J504" i="3"/>
  <c r="J496" i="3"/>
  <c r="J488" i="3"/>
  <c r="J480" i="3"/>
  <c r="J472" i="3"/>
  <c r="J464" i="3"/>
  <c r="J456" i="3"/>
  <c r="J448" i="3"/>
  <c r="J440" i="3"/>
  <c r="J430" i="3"/>
  <c r="J419" i="3"/>
  <c r="J409" i="3"/>
  <c r="J398" i="3"/>
  <c r="J385" i="3"/>
  <c r="J369" i="3"/>
  <c r="J353" i="3"/>
  <c r="J336" i="3"/>
  <c r="J315" i="3"/>
  <c r="J293" i="3"/>
  <c r="J272" i="3"/>
  <c r="J251" i="3"/>
  <c r="J229" i="3"/>
  <c r="J208" i="3"/>
  <c r="J187" i="3"/>
  <c r="J165" i="3"/>
  <c r="J144" i="3"/>
  <c r="J123" i="3"/>
  <c r="J101" i="3"/>
  <c r="J80" i="3"/>
  <c r="J59" i="3"/>
  <c r="J36" i="3"/>
  <c r="K2" i="3"/>
  <c r="J2" i="3"/>
  <c r="K433" i="3"/>
  <c r="J433" i="3"/>
  <c r="K429" i="3"/>
  <c r="J429" i="3"/>
  <c r="K417" i="3"/>
  <c r="J417" i="3"/>
  <c r="K413" i="3"/>
  <c r="J413" i="3"/>
  <c r="K401" i="3"/>
  <c r="J401" i="3"/>
  <c r="K397" i="3"/>
  <c r="J397" i="3"/>
  <c r="K389" i="3"/>
  <c r="J389" i="3"/>
  <c r="K381" i="3"/>
  <c r="J381" i="3"/>
  <c r="K373" i="3"/>
  <c r="J373" i="3"/>
  <c r="K365" i="3"/>
  <c r="J365" i="3"/>
  <c r="K357" i="3"/>
  <c r="J357" i="3"/>
  <c r="K349" i="3"/>
  <c r="J349" i="3"/>
  <c r="K341" i="3"/>
  <c r="J341" i="3"/>
  <c r="K333" i="3"/>
  <c r="J333" i="3"/>
  <c r="K329" i="3"/>
  <c r="J329" i="3"/>
  <c r="K321" i="3"/>
  <c r="J321" i="3"/>
  <c r="K317" i="3"/>
  <c r="J317" i="3"/>
  <c r="K313" i="3"/>
  <c r="J313" i="3"/>
  <c r="K309" i="3"/>
  <c r="J309" i="3"/>
  <c r="K301" i="3"/>
  <c r="J301" i="3"/>
  <c r="K297" i="3"/>
  <c r="J297" i="3"/>
  <c r="K289" i="3"/>
  <c r="J289" i="3"/>
  <c r="K285" i="3"/>
  <c r="J285" i="3"/>
  <c r="K281" i="3"/>
  <c r="J281" i="3"/>
  <c r="K277" i="3"/>
  <c r="J277" i="3"/>
  <c r="K269" i="3"/>
  <c r="J269" i="3"/>
  <c r="K265" i="3"/>
  <c r="J265" i="3"/>
  <c r="K257" i="3"/>
  <c r="J257" i="3"/>
  <c r="K253" i="3"/>
  <c r="J253" i="3"/>
  <c r="K249" i="3"/>
  <c r="J249" i="3"/>
  <c r="K245" i="3"/>
  <c r="J245" i="3"/>
  <c r="K237" i="3"/>
  <c r="J237" i="3"/>
  <c r="K233" i="3"/>
  <c r="J233" i="3"/>
  <c r="K225" i="3"/>
  <c r="J225" i="3"/>
  <c r="K221" i="3"/>
  <c r="J221" i="3"/>
  <c r="K217" i="3"/>
  <c r="J217" i="3"/>
  <c r="K213" i="3"/>
  <c r="J213" i="3"/>
  <c r="K205" i="3"/>
  <c r="J205" i="3"/>
  <c r="K201" i="3"/>
  <c r="J201" i="3"/>
  <c r="K193" i="3"/>
  <c r="J193" i="3"/>
  <c r="K189" i="3"/>
  <c r="J189" i="3"/>
  <c r="K185" i="3"/>
  <c r="J185" i="3"/>
  <c r="K181" i="3"/>
  <c r="J181" i="3"/>
  <c r="K173" i="3"/>
  <c r="J173" i="3"/>
  <c r="K169" i="3"/>
  <c r="J169" i="3"/>
  <c r="K161" i="3"/>
  <c r="J161" i="3"/>
  <c r="K157" i="3"/>
  <c r="J157" i="3"/>
  <c r="K153" i="3"/>
  <c r="J153" i="3"/>
  <c r="K149" i="3"/>
  <c r="J149" i="3"/>
  <c r="K141" i="3"/>
  <c r="J141" i="3"/>
  <c r="K137" i="3"/>
  <c r="J137" i="3"/>
  <c r="K129" i="3"/>
  <c r="J129" i="3"/>
  <c r="K125" i="3"/>
  <c r="J125" i="3"/>
  <c r="K121" i="3"/>
  <c r="J121" i="3"/>
  <c r="K117" i="3"/>
  <c r="J117" i="3"/>
  <c r="K109" i="3"/>
  <c r="J109" i="3"/>
  <c r="K105" i="3"/>
  <c r="J105" i="3"/>
  <c r="K97" i="3"/>
  <c r="J97" i="3"/>
  <c r="K93" i="3"/>
  <c r="J93" i="3"/>
  <c r="K89" i="3"/>
  <c r="J89" i="3"/>
  <c r="K85" i="3"/>
  <c r="J85" i="3"/>
  <c r="K77" i="3"/>
  <c r="J77" i="3"/>
  <c r="K73" i="3"/>
  <c r="J73" i="3"/>
  <c r="K65" i="3"/>
  <c r="J65" i="3"/>
  <c r="K61" i="3"/>
  <c r="J61" i="3"/>
  <c r="K57" i="3"/>
  <c r="J57" i="3"/>
  <c r="K53" i="3"/>
  <c r="J53" i="3"/>
  <c r="K45" i="3"/>
  <c r="J45" i="3"/>
  <c r="K41" i="3"/>
  <c r="J41" i="3"/>
  <c r="K33" i="3"/>
  <c r="J33" i="3"/>
  <c r="K29" i="3"/>
  <c r="J29" i="3"/>
  <c r="K25" i="3"/>
  <c r="J25" i="3"/>
  <c r="K17" i="3"/>
  <c r="J17" i="3"/>
  <c r="K13" i="3"/>
  <c r="J13" i="3"/>
  <c r="K9" i="3"/>
  <c r="J9" i="3"/>
  <c r="J597" i="3"/>
  <c r="J589" i="3"/>
  <c r="J581" i="3"/>
  <c r="J573" i="3"/>
  <c r="J565" i="3"/>
  <c r="J557" i="3"/>
  <c r="J549" i="3"/>
  <c r="J541" i="3"/>
  <c r="J533" i="3"/>
  <c r="J525" i="3"/>
  <c r="J517" i="3"/>
  <c r="J509" i="3"/>
  <c r="J501" i="3"/>
  <c r="J493" i="3"/>
  <c r="J485" i="3"/>
  <c r="J477" i="3"/>
  <c r="J469" i="3"/>
  <c r="J461" i="3"/>
  <c r="J453" i="3"/>
  <c r="J445" i="3"/>
  <c r="J437" i="3"/>
  <c r="J426" i="3"/>
  <c r="J415" i="3"/>
  <c r="J405" i="3"/>
  <c r="J394" i="3"/>
  <c r="J378" i="3"/>
  <c r="J362" i="3"/>
  <c r="J346" i="3"/>
  <c r="J327" i="3"/>
  <c r="J305" i="3"/>
  <c r="J284" i="3"/>
  <c r="J263" i="3"/>
  <c r="J241" i="3"/>
  <c r="J220" i="3"/>
  <c r="J199" i="3"/>
  <c r="J177" i="3"/>
  <c r="J156" i="3"/>
  <c r="J135" i="3"/>
  <c r="J113" i="3"/>
  <c r="J92" i="3"/>
  <c r="J71" i="3"/>
  <c r="J49" i="3"/>
  <c r="J21" i="3"/>
  <c r="K436" i="3"/>
  <c r="J436" i="3"/>
  <c r="K432" i="3"/>
  <c r="J432" i="3"/>
  <c r="K428" i="3"/>
  <c r="J428" i="3"/>
  <c r="K424" i="3"/>
  <c r="J424" i="3"/>
  <c r="K420" i="3"/>
  <c r="J420" i="3"/>
  <c r="K416" i="3"/>
  <c r="J416" i="3"/>
  <c r="K412" i="3"/>
  <c r="J412" i="3"/>
  <c r="K408" i="3"/>
  <c r="J408" i="3"/>
  <c r="K404" i="3"/>
  <c r="J404" i="3"/>
  <c r="K400" i="3"/>
  <c r="J400" i="3"/>
  <c r="K396" i="3"/>
  <c r="J396" i="3"/>
  <c r="K392" i="3"/>
  <c r="J392" i="3"/>
  <c r="K388" i="3"/>
  <c r="J388" i="3"/>
  <c r="K384" i="3"/>
  <c r="J384" i="3"/>
  <c r="K380" i="3"/>
  <c r="J380" i="3"/>
  <c r="K376" i="3"/>
  <c r="J376" i="3"/>
  <c r="K372" i="3"/>
  <c r="J372" i="3"/>
  <c r="K368" i="3"/>
  <c r="J368" i="3"/>
  <c r="K364" i="3"/>
  <c r="J364" i="3"/>
  <c r="K360" i="3"/>
  <c r="J360" i="3"/>
  <c r="K356" i="3"/>
  <c r="J356" i="3"/>
  <c r="K352" i="3"/>
  <c r="J352" i="3"/>
  <c r="K348" i="3"/>
  <c r="J348" i="3"/>
  <c r="K344" i="3"/>
  <c r="J344" i="3"/>
  <c r="K340" i="3"/>
  <c r="J340" i="3"/>
  <c r="K332" i="3"/>
  <c r="J332" i="3"/>
  <c r="K328" i="3"/>
  <c r="J328" i="3"/>
  <c r="K324" i="3"/>
  <c r="J324" i="3"/>
  <c r="K320" i="3"/>
  <c r="J320" i="3"/>
  <c r="K312" i="3"/>
  <c r="J312" i="3"/>
  <c r="K308" i="3"/>
  <c r="J308" i="3"/>
  <c r="K300" i="3"/>
  <c r="J300" i="3"/>
  <c r="K296" i="3"/>
  <c r="J296" i="3"/>
  <c r="K292" i="3"/>
  <c r="J292" i="3"/>
  <c r="K288" i="3"/>
  <c r="J288" i="3"/>
  <c r="K280" i="3"/>
  <c r="J280" i="3"/>
  <c r="K276" i="3"/>
  <c r="J276" i="3"/>
  <c r="K268" i="3"/>
  <c r="J268" i="3"/>
  <c r="K264" i="3"/>
  <c r="J264" i="3"/>
  <c r="K260" i="3"/>
  <c r="J260" i="3"/>
  <c r="K256" i="3"/>
  <c r="J256" i="3"/>
  <c r="K248" i="3"/>
  <c r="J248" i="3"/>
  <c r="K244" i="3"/>
  <c r="J244" i="3"/>
  <c r="K236" i="3"/>
  <c r="J236" i="3"/>
  <c r="K232" i="3"/>
  <c r="J232" i="3"/>
  <c r="K228" i="3"/>
  <c r="J228" i="3"/>
  <c r="K224" i="3"/>
  <c r="J224" i="3"/>
  <c r="K216" i="3"/>
  <c r="J216" i="3"/>
  <c r="K212" i="3"/>
  <c r="J212" i="3"/>
  <c r="K204" i="3"/>
  <c r="J204" i="3"/>
  <c r="K200" i="3"/>
  <c r="J200" i="3"/>
  <c r="K196" i="3"/>
  <c r="J196" i="3"/>
  <c r="K192" i="3"/>
  <c r="J192" i="3"/>
  <c r="K184" i="3"/>
  <c r="J184" i="3"/>
  <c r="K180" i="3"/>
  <c r="J180" i="3"/>
  <c r="K172" i="3"/>
  <c r="J172" i="3"/>
  <c r="K168" i="3"/>
  <c r="J168" i="3"/>
  <c r="K164" i="3"/>
  <c r="J164" i="3"/>
  <c r="K160" i="3"/>
  <c r="J160" i="3"/>
  <c r="K152" i="3"/>
  <c r="J152" i="3"/>
  <c r="K148" i="3"/>
  <c r="J148" i="3"/>
  <c r="K140" i="3"/>
  <c r="J140" i="3"/>
  <c r="K136" i="3"/>
  <c r="J136" i="3"/>
  <c r="K132" i="3"/>
  <c r="J132" i="3"/>
  <c r="K128" i="3"/>
  <c r="J128" i="3"/>
  <c r="K120" i="3"/>
  <c r="J120" i="3"/>
  <c r="K116" i="3"/>
  <c r="J116" i="3"/>
  <c r="K108" i="3"/>
  <c r="J108" i="3"/>
  <c r="K104" i="3"/>
  <c r="J104" i="3"/>
  <c r="K100" i="3"/>
  <c r="J100" i="3"/>
  <c r="K96" i="3"/>
  <c r="J96" i="3"/>
  <c r="K88" i="3"/>
  <c r="J88" i="3"/>
  <c r="K84" i="3"/>
  <c r="J84" i="3"/>
  <c r="K76" i="3"/>
  <c r="J76" i="3"/>
  <c r="K72" i="3"/>
  <c r="J72" i="3"/>
  <c r="K68" i="3"/>
  <c r="J68" i="3"/>
  <c r="K64" i="3"/>
  <c r="J64" i="3"/>
  <c r="K56" i="3"/>
  <c r="J56" i="3"/>
  <c r="K52" i="3"/>
  <c r="J52" i="3"/>
  <c r="K44" i="3"/>
  <c r="J44" i="3"/>
  <c r="K40" i="3"/>
  <c r="J40" i="3"/>
  <c r="K32" i="3"/>
  <c r="J32" i="3"/>
  <c r="K28" i="3"/>
  <c r="J28" i="3"/>
  <c r="K24" i="3"/>
  <c r="J24" i="3"/>
  <c r="K16" i="3"/>
  <c r="J16" i="3"/>
  <c r="K12" i="3"/>
  <c r="J12" i="3"/>
  <c r="K8" i="3"/>
  <c r="J8" i="3"/>
  <c r="K4" i="3"/>
  <c r="J4" i="3"/>
  <c r="J629" i="3"/>
  <c r="J625" i="3"/>
  <c r="J621" i="3"/>
  <c r="J617" i="3"/>
  <c r="J613" i="3"/>
  <c r="J609" i="3"/>
  <c r="J605" i="3"/>
  <c r="J601" i="3"/>
  <c r="J596" i="3"/>
  <c r="J588" i="3"/>
  <c r="J580" i="3"/>
  <c r="J572" i="3"/>
  <c r="J564" i="3"/>
  <c r="J556" i="3"/>
  <c r="J548" i="3"/>
  <c r="J540" i="3"/>
  <c r="J532" i="3"/>
  <c r="J524" i="3"/>
  <c r="J516" i="3"/>
  <c r="J508" i="3"/>
  <c r="J500" i="3"/>
  <c r="J492" i="3"/>
  <c r="J484" i="3"/>
  <c r="J476" i="3"/>
  <c r="J468" i="3"/>
  <c r="J460" i="3"/>
  <c r="J452" i="3"/>
  <c r="J444" i="3"/>
  <c r="J435" i="3"/>
  <c r="J425" i="3"/>
  <c r="J414" i="3"/>
  <c r="J403" i="3"/>
  <c r="J393" i="3"/>
  <c r="J377" i="3"/>
  <c r="J361" i="3"/>
  <c r="J345" i="3"/>
  <c r="J325" i="3"/>
  <c r="J304" i="3"/>
  <c r="J283" i="3"/>
  <c r="J261" i="3"/>
  <c r="J240" i="3"/>
  <c r="J219" i="3"/>
  <c r="J197" i="3"/>
  <c r="J176" i="3"/>
  <c r="J155" i="3"/>
  <c r="J133" i="3"/>
  <c r="J112" i="3"/>
  <c r="J91" i="3"/>
  <c r="J69" i="3"/>
  <c r="J48" i="3"/>
  <c r="J20" i="3"/>
  <c r="E60" i="7"/>
  <c r="H26" i="6" s="1"/>
  <c r="E66" i="7"/>
  <c r="J26" i="6" s="1"/>
  <c r="AB613" i="3"/>
  <c r="AC613" i="3" s="1"/>
  <c r="AB213" i="3"/>
  <c r="AC213" i="3" s="1"/>
  <c r="AB205" i="3"/>
  <c r="AC205" i="3" s="1"/>
  <c r="AB197" i="3"/>
  <c r="AC197" i="3" s="1"/>
  <c r="AB189" i="3"/>
  <c r="AC189" i="3" s="1"/>
  <c r="AB181" i="3"/>
  <c r="AC181" i="3" s="1"/>
  <c r="AB173" i="3"/>
  <c r="AC173" i="3" s="1"/>
  <c r="AB165" i="3"/>
  <c r="AC165" i="3" s="1"/>
  <c r="AB157" i="3"/>
  <c r="AC157" i="3" s="1"/>
  <c r="AB149" i="3"/>
  <c r="AC149" i="3" s="1"/>
  <c r="AB141" i="3"/>
  <c r="AC141" i="3" s="1"/>
  <c r="AB125" i="3"/>
  <c r="AC125" i="3" s="1"/>
  <c r="AB117" i="3"/>
  <c r="AC117" i="3" s="1"/>
  <c r="AB109" i="3"/>
  <c r="AC109" i="3" s="1"/>
  <c r="AB101" i="3"/>
  <c r="AC101" i="3" s="1"/>
  <c r="AB93" i="3"/>
  <c r="AC93" i="3" s="1"/>
  <c r="AB85" i="3"/>
  <c r="AC85" i="3" s="1"/>
  <c r="AB77" i="3"/>
  <c r="AC77" i="3" s="1"/>
  <c r="AB69" i="3"/>
  <c r="AC69" i="3" s="1"/>
  <c r="AB61" i="3"/>
  <c r="AC61" i="3" s="1"/>
  <c r="AB53" i="3"/>
  <c r="AC53" i="3" s="1"/>
  <c r="AB45" i="3"/>
  <c r="AC45" i="3" s="1"/>
  <c r="AB37" i="3"/>
  <c r="AC37" i="3" s="1"/>
  <c r="AB33" i="3"/>
  <c r="AC33" i="3" s="1"/>
  <c r="AB25" i="3"/>
  <c r="AC25" i="3" s="1"/>
  <c r="AB17" i="3"/>
  <c r="AC17" i="3" s="1"/>
  <c r="AB9" i="3"/>
  <c r="AC9" i="3" s="1"/>
  <c r="AB209" i="3"/>
  <c r="AC209" i="3" s="1"/>
  <c r="AB201" i="3"/>
  <c r="AC201" i="3" s="1"/>
  <c r="AB193" i="3"/>
  <c r="AC193" i="3" s="1"/>
  <c r="AB185" i="3"/>
  <c r="AC185" i="3" s="1"/>
  <c r="AB177" i="3"/>
  <c r="AC177" i="3" s="1"/>
  <c r="AB169" i="3"/>
  <c r="AC169" i="3" s="1"/>
  <c r="AB161" i="3"/>
  <c r="AC161" i="3" s="1"/>
  <c r="AB153" i="3"/>
  <c r="AC153" i="3" s="1"/>
  <c r="AB145" i="3"/>
  <c r="AC145" i="3" s="1"/>
  <c r="AB137" i="3"/>
  <c r="AC137" i="3" s="1"/>
  <c r="AB129" i="3"/>
  <c r="AC129" i="3" s="1"/>
  <c r="AB121" i="3"/>
  <c r="AC121" i="3" s="1"/>
  <c r="AB113" i="3"/>
  <c r="AC113" i="3" s="1"/>
  <c r="AB105" i="3"/>
  <c r="AC105" i="3" s="1"/>
  <c r="AB97" i="3"/>
  <c r="AC97" i="3" s="1"/>
  <c r="AB89" i="3"/>
  <c r="AC89" i="3" s="1"/>
  <c r="AB81" i="3"/>
  <c r="AC81" i="3" s="1"/>
  <c r="AB73" i="3"/>
  <c r="AC73" i="3" s="1"/>
  <c r="AB65" i="3"/>
  <c r="AC65" i="3" s="1"/>
  <c r="AB57" i="3"/>
  <c r="AC57" i="3" s="1"/>
  <c r="AB49" i="3"/>
  <c r="AC49" i="3" s="1"/>
  <c r="AB41" i="3"/>
  <c r="AB29" i="3"/>
  <c r="AC29" i="3" s="1"/>
  <c r="AB21" i="3"/>
  <c r="AC21" i="3" s="1"/>
  <c r="AB13" i="3"/>
  <c r="AC13" i="3" s="1"/>
  <c r="AB5" i="3"/>
  <c r="AC5" i="3" s="1"/>
  <c r="AB632" i="3"/>
  <c r="AC632" i="3" s="1"/>
  <c r="AB628" i="3"/>
  <c r="AC628" i="3" s="1"/>
  <c r="AB624" i="3"/>
  <c r="AC624" i="3" s="1"/>
  <c r="AB620" i="3"/>
  <c r="AC620" i="3" s="1"/>
  <c r="AB616" i="3"/>
  <c r="AC616" i="3" s="1"/>
  <c r="AB612" i="3"/>
  <c r="AC612" i="3" s="1"/>
  <c r="AB608" i="3"/>
  <c r="AC608" i="3" s="1"/>
  <c r="AB604" i="3"/>
  <c r="AC604" i="3" s="1"/>
  <c r="AB600" i="3"/>
  <c r="AC600" i="3" s="1"/>
  <c r="AB596" i="3"/>
  <c r="AC596" i="3" s="1"/>
  <c r="AB592" i="3"/>
  <c r="AC592" i="3" s="1"/>
  <c r="AB588" i="3"/>
  <c r="AC588" i="3" s="1"/>
  <c r="AB584" i="3"/>
  <c r="AC584" i="3" s="1"/>
  <c r="AB580" i="3"/>
  <c r="AC580" i="3" s="1"/>
  <c r="AB576" i="3"/>
  <c r="AB572" i="3"/>
  <c r="AC572" i="3" s="1"/>
  <c r="AB568" i="3"/>
  <c r="AC568" i="3" s="1"/>
  <c r="AB564" i="3"/>
  <c r="AC564" i="3" s="1"/>
  <c r="AB560" i="3"/>
  <c r="AC560" i="3" s="1"/>
  <c r="AB556" i="3"/>
  <c r="AB552" i="3"/>
  <c r="AC552" i="3" s="1"/>
  <c r="AB548" i="3"/>
  <c r="AC548" i="3" s="1"/>
  <c r="AB544" i="3"/>
  <c r="AC544" i="3" s="1"/>
  <c r="AB540" i="3"/>
  <c r="AC540" i="3" s="1"/>
  <c r="AB536" i="3"/>
  <c r="AC536" i="3" s="1"/>
  <c r="AB532" i="3"/>
  <c r="AC532" i="3" s="1"/>
  <c r="AB528" i="3"/>
  <c r="AC528" i="3" s="1"/>
  <c r="AB524" i="3"/>
  <c r="AC524" i="3" s="1"/>
  <c r="AB520" i="3"/>
  <c r="AC520" i="3" s="1"/>
  <c r="AB516" i="3"/>
  <c r="AC516" i="3" s="1"/>
  <c r="AB512" i="3"/>
  <c r="AC512" i="3" s="1"/>
  <c r="AB508" i="3"/>
  <c r="AC508" i="3" s="1"/>
  <c r="AB504" i="3"/>
  <c r="AC504" i="3" s="1"/>
  <c r="AB500" i="3"/>
  <c r="AC500" i="3" s="1"/>
  <c r="AB496" i="3"/>
  <c r="AC496" i="3" s="1"/>
  <c r="AB492" i="3"/>
  <c r="AB488" i="3"/>
  <c r="AC488" i="3" s="1"/>
  <c r="AB484" i="3"/>
  <c r="AC484" i="3" s="1"/>
  <c r="AB480" i="3"/>
  <c r="AC480" i="3" s="1"/>
  <c r="AB476" i="3"/>
  <c r="AC476" i="3" s="1"/>
  <c r="AB472" i="3"/>
  <c r="AC472" i="3" s="1"/>
  <c r="AB468" i="3"/>
  <c r="AC468" i="3" s="1"/>
  <c r="AB464" i="3"/>
  <c r="AC464" i="3" s="1"/>
  <c r="AB460" i="3"/>
  <c r="AC460" i="3" s="1"/>
  <c r="AB456" i="3"/>
  <c r="AC456" i="3" s="1"/>
  <c r="AB452" i="3"/>
  <c r="AC452" i="3" s="1"/>
  <c r="AB448" i="3"/>
  <c r="AC448" i="3" s="1"/>
  <c r="AB444" i="3"/>
  <c r="AC444" i="3" s="1"/>
  <c r="AB440" i="3"/>
  <c r="AC440" i="3" s="1"/>
  <c r="AB436" i="3"/>
  <c r="AC436" i="3" s="1"/>
  <c r="AB432" i="3"/>
  <c r="AC432" i="3" s="1"/>
  <c r="AB428" i="3"/>
  <c r="AB424" i="3"/>
  <c r="AC424" i="3" s="1"/>
  <c r="AB420" i="3"/>
  <c r="AC420" i="3" s="1"/>
  <c r="AB416" i="3"/>
  <c r="AC416" i="3" s="1"/>
  <c r="AB412" i="3"/>
  <c r="AC412" i="3" s="1"/>
  <c r="AB408" i="3"/>
  <c r="AC408" i="3" s="1"/>
  <c r="AB404" i="3"/>
  <c r="AC404" i="3" s="1"/>
  <c r="AB400" i="3"/>
  <c r="AC400" i="3" s="1"/>
  <c r="AB396" i="3"/>
  <c r="AC396" i="3" s="1"/>
  <c r="AB392" i="3"/>
  <c r="AC392" i="3" s="1"/>
  <c r="AB388" i="3"/>
  <c r="AC388" i="3" s="1"/>
  <c r="AB384" i="3"/>
  <c r="AC384" i="3" s="1"/>
  <c r="AB380" i="3"/>
  <c r="AC380" i="3" s="1"/>
  <c r="AB376" i="3"/>
  <c r="AC376" i="3" s="1"/>
  <c r="AB372" i="3"/>
  <c r="AC372" i="3" s="1"/>
  <c r="AB368" i="3"/>
  <c r="AC368" i="3" s="1"/>
  <c r="AB364" i="3"/>
  <c r="AC364" i="3" s="1"/>
  <c r="AB360" i="3"/>
  <c r="AC360" i="3" s="1"/>
  <c r="AB356" i="3"/>
  <c r="AC356" i="3" s="1"/>
  <c r="AB352" i="3"/>
  <c r="AB348" i="3"/>
  <c r="AC348" i="3" s="1"/>
  <c r="AB344" i="3"/>
  <c r="AB340" i="3"/>
  <c r="AC340" i="3" s="1"/>
  <c r="AB336" i="3"/>
  <c r="AC336" i="3" s="1"/>
  <c r="AB332" i="3"/>
  <c r="AC332" i="3" s="1"/>
  <c r="AB328" i="3"/>
  <c r="AC328" i="3" s="1"/>
  <c r="AB38" i="3"/>
  <c r="AC38" i="3" s="1"/>
  <c r="AB324" i="3"/>
  <c r="AC324" i="3" s="1"/>
  <c r="AB320" i="3"/>
  <c r="AC320" i="3" s="1"/>
  <c r="AB316" i="3"/>
  <c r="AC316" i="3" s="1"/>
  <c r="AB312" i="3"/>
  <c r="AC312" i="3" s="1"/>
  <c r="AB308" i="3"/>
  <c r="AC308" i="3" s="1"/>
  <c r="AB304" i="3"/>
  <c r="AC304" i="3" s="1"/>
  <c r="AB300" i="3"/>
  <c r="AC300" i="3" s="1"/>
  <c r="AB296" i="3"/>
  <c r="AC296" i="3" s="1"/>
  <c r="AB292" i="3"/>
  <c r="AC292" i="3" s="1"/>
  <c r="AB288" i="3"/>
  <c r="AC288" i="3" s="1"/>
  <c r="AB284" i="3"/>
  <c r="AC284" i="3" s="1"/>
  <c r="AB280" i="3"/>
  <c r="AC280" i="3" s="1"/>
  <c r="AB276" i="3"/>
  <c r="AC276" i="3" s="1"/>
  <c r="AB272" i="3"/>
  <c r="AC272" i="3" s="1"/>
  <c r="AB268" i="3"/>
  <c r="AC268" i="3" s="1"/>
  <c r="AB264" i="3"/>
  <c r="AC264" i="3" s="1"/>
  <c r="AB260" i="3"/>
  <c r="AC260" i="3" s="1"/>
  <c r="AB256" i="3"/>
  <c r="AC256" i="3" s="1"/>
  <c r="AB252" i="3"/>
  <c r="AC252" i="3" s="1"/>
  <c r="AB248" i="3"/>
  <c r="AC248" i="3" s="1"/>
  <c r="AB244" i="3"/>
  <c r="AC244" i="3" s="1"/>
  <c r="AB240" i="3"/>
  <c r="AC240" i="3" s="1"/>
  <c r="AB236" i="3"/>
  <c r="AC236" i="3" s="1"/>
  <c r="AB232" i="3"/>
  <c r="AC232" i="3" s="1"/>
  <c r="AB228" i="3"/>
  <c r="AC228" i="3" s="1"/>
  <c r="AB224" i="3"/>
  <c r="AC224" i="3" s="1"/>
  <c r="AB220" i="3"/>
  <c r="AC220" i="3" s="1"/>
  <c r="AB216" i="3"/>
  <c r="AC216" i="3" s="1"/>
  <c r="AB212" i="3"/>
  <c r="AC212" i="3" s="1"/>
  <c r="AB208" i="3"/>
  <c r="AC208" i="3" s="1"/>
  <c r="AB204" i="3"/>
  <c r="AC204" i="3" s="1"/>
  <c r="AB200" i="3"/>
  <c r="AC200" i="3" s="1"/>
  <c r="AB196" i="3"/>
  <c r="AC196" i="3" s="1"/>
  <c r="AB192" i="3"/>
  <c r="AC192" i="3" s="1"/>
  <c r="AB188" i="3"/>
  <c r="AC188" i="3" s="1"/>
  <c r="AB184" i="3"/>
  <c r="AC184" i="3" s="1"/>
  <c r="AB180" i="3"/>
  <c r="AC180" i="3" s="1"/>
  <c r="AB176" i="3"/>
  <c r="AC176" i="3" s="1"/>
  <c r="AB172" i="3"/>
  <c r="AC172" i="3" s="1"/>
  <c r="AB168" i="3"/>
  <c r="AC168" i="3" s="1"/>
  <c r="AB164" i="3"/>
  <c r="AC164" i="3" s="1"/>
  <c r="AB160" i="3"/>
  <c r="AC160" i="3" s="1"/>
  <c r="AB156" i="3"/>
  <c r="AC156" i="3" s="1"/>
  <c r="AB152" i="3"/>
  <c r="AC152" i="3" s="1"/>
  <c r="AB148" i="3"/>
  <c r="AC148" i="3" s="1"/>
  <c r="AB144" i="3"/>
  <c r="AC144" i="3" s="1"/>
  <c r="AB140" i="3"/>
  <c r="AB136" i="3"/>
  <c r="AC136" i="3" s="1"/>
  <c r="AB132" i="3"/>
  <c r="AC132" i="3" s="1"/>
  <c r="AB128" i="3"/>
  <c r="AC128" i="3" s="1"/>
  <c r="AB124" i="3"/>
  <c r="AC124" i="3" s="1"/>
  <c r="AB120" i="3"/>
  <c r="AC120" i="3" s="1"/>
  <c r="AB116" i="3"/>
  <c r="AC116" i="3" s="1"/>
  <c r="AB112" i="3"/>
  <c r="AC112" i="3" s="1"/>
  <c r="AB108" i="3"/>
  <c r="AC108" i="3" s="1"/>
  <c r="AB104" i="3"/>
  <c r="AC104" i="3" s="1"/>
  <c r="AB100" i="3"/>
  <c r="AC100" i="3" s="1"/>
  <c r="AB96" i="3"/>
  <c r="AC96" i="3" s="1"/>
  <c r="AB92" i="3"/>
  <c r="AC92" i="3" s="1"/>
  <c r="AB88" i="3"/>
  <c r="AC88" i="3" s="1"/>
  <c r="AB84" i="3"/>
  <c r="AC84" i="3" s="1"/>
  <c r="AB80" i="3"/>
  <c r="AC80" i="3" s="1"/>
  <c r="AB76" i="3"/>
  <c r="AC76" i="3" s="1"/>
  <c r="AB72" i="3"/>
  <c r="AC72" i="3" s="1"/>
  <c r="AB68" i="3"/>
  <c r="AC68" i="3" s="1"/>
  <c r="AB64" i="3"/>
  <c r="AC64" i="3" s="1"/>
  <c r="AB56" i="3"/>
  <c r="AC56" i="3" s="1"/>
  <c r="AB48" i="3"/>
  <c r="AC48" i="3" s="1"/>
  <c r="AB16" i="3"/>
  <c r="AC16" i="3" s="1"/>
  <c r="AB631" i="3"/>
  <c r="AC631" i="3" s="1"/>
  <c r="AB623" i="3"/>
  <c r="AC623" i="3" s="1"/>
  <c r="AB615" i="3"/>
  <c r="AB607" i="3"/>
  <c r="AC607" i="3" s="1"/>
  <c r="AB599" i="3"/>
  <c r="AC599" i="3" s="1"/>
  <c r="AB591" i="3"/>
  <c r="AC591" i="3" s="1"/>
  <c r="AB583" i="3"/>
  <c r="AC583" i="3" s="1"/>
  <c r="AB575" i="3"/>
  <c r="AC575" i="3" s="1"/>
  <c r="AB567" i="3"/>
  <c r="AC567" i="3" s="1"/>
  <c r="AB559" i="3"/>
  <c r="AC559" i="3" s="1"/>
  <c r="AB551" i="3"/>
  <c r="AB543" i="3"/>
  <c r="AC543" i="3" s="1"/>
  <c r="AB535" i="3"/>
  <c r="AC535" i="3" s="1"/>
  <c r="AB519" i="3"/>
  <c r="AC519" i="3" s="1"/>
  <c r="AB511" i="3"/>
  <c r="AC511" i="3" s="1"/>
  <c r="AB503" i="3"/>
  <c r="AC503" i="3" s="1"/>
  <c r="AB495" i="3"/>
  <c r="AC495" i="3" s="1"/>
  <c r="AB487" i="3"/>
  <c r="AC487" i="3" s="1"/>
  <c r="AB479" i="3"/>
  <c r="AC479" i="3" s="1"/>
  <c r="AB471" i="3"/>
  <c r="AC471" i="3" s="1"/>
  <c r="AB463" i="3"/>
  <c r="AC463" i="3" s="1"/>
  <c r="AB455" i="3"/>
  <c r="AC455" i="3" s="1"/>
  <c r="AB447" i="3"/>
  <c r="AC447" i="3" s="1"/>
  <c r="AB439" i="3"/>
  <c r="AC439" i="3" s="1"/>
  <c r="AB431" i="3"/>
  <c r="AC431" i="3" s="1"/>
  <c r="AB423" i="3"/>
  <c r="AC423" i="3" s="1"/>
  <c r="AB415" i="3"/>
  <c r="AC415" i="3" s="1"/>
  <c r="AB411" i="3"/>
  <c r="AC411" i="3" s="1"/>
  <c r="AB403" i="3"/>
  <c r="AC403" i="3" s="1"/>
  <c r="AB395" i="3"/>
  <c r="AC395" i="3" s="1"/>
  <c r="AB387" i="3"/>
  <c r="AC387" i="3" s="1"/>
  <c r="AB379" i="3"/>
  <c r="AC379" i="3" s="1"/>
  <c r="AB371" i="3"/>
  <c r="AC371" i="3" s="1"/>
  <c r="AB363" i="3"/>
  <c r="AC363" i="3" s="1"/>
  <c r="AB355" i="3"/>
  <c r="AC355" i="3" s="1"/>
  <c r="AB347" i="3"/>
  <c r="AC347" i="3" s="1"/>
  <c r="AB339" i="3"/>
  <c r="AC339" i="3" s="1"/>
  <c r="AB323" i="3"/>
  <c r="AC323" i="3" s="1"/>
  <c r="AB315" i="3"/>
  <c r="AC315" i="3" s="1"/>
  <c r="AB307" i="3"/>
  <c r="AB291" i="3"/>
  <c r="AC291" i="3" s="1"/>
  <c r="AB283" i="3"/>
  <c r="AC283" i="3" s="1"/>
  <c r="AB275" i="3"/>
  <c r="AB267" i="3"/>
  <c r="AC267" i="3" s="1"/>
  <c r="AB259" i="3"/>
  <c r="AC259" i="3" s="1"/>
  <c r="AB251" i="3"/>
  <c r="AC251" i="3" s="1"/>
  <c r="AB243" i="3"/>
  <c r="AC243" i="3" s="1"/>
  <c r="AB235" i="3"/>
  <c r="AB227" i="3"/>
  <c r="AC227" i="3" s="1"/>
  <c r="AB219" i="3"/>
  <c r="AC219" i="3" s="1"/>
  <c r="AB211" i="3"/>
  <c r="AC211" i="3" s="1"/>
  <c r="AB203" i="3"/>
  <c r="AC203" i="3" s="1"/>
  <c r="AB195" i="3"/>
  <c r="AC195" i="3" s="1"/>
  <c r="AB187" i="3"/>
  <c r="AC187" i="3" s="1"/>
  <c r="AB179" i="3"/>
  <c r="AC179" i="3" s="1"/>
  <c r="AB163" i="3"/>
  <c r="AC163" i="3" s="1"/>
  <c r="AB155" i="3"/>
  <c r="AC155" i="3" s="1"/>
  <c r="AB147" i="3"/>
  <c r="AC147" i="3" s="1"/>
  <c r="AB139" i="3"/>
  <c r="AC139" i="3" s="1"/>
  <c r="AB131" i="3"/>
  <c r="AC131" i="3" s="1"/>
  <c r="AB123" i="3"/>
  <c r="AC123" i="3" s="1"/>
  <c r="AB115" i="3"/>
  <c r="AC115" i="3" s="1"/>
  <c r="AB107" i="3"/>
  <c r="AC107" i="3" s="1"/>
  <c r="AB99" i="3"/>
  <c r="AC99" i="3" s="1"/>
  <c r="AB91" i="3"/>
  <c r="AC91" i="3" s="1"/>
  <c r="AB83" i="3"/>
  <c r="AC83" i="3" s="1"/>
  <c r="AB627" i="3"/>
  <c r="AC627" i="3" s="1"/>
  <c r="AB619" i="3"/>
  <c r="AC619" i="3" s="1"/>
  <c r="AB611" i="3"/>
  <c r="AC611" i="3" s="1"/>
  <c r="AB595" i="3"/>
  <c r="AC595" i="3" s="1"/>
  <c r="AB587" i="3"/>
  <c r="AC587" i="3" s="1"/>
  <c r="AB579" i="3"/>
  <c r="AC579" i="3" s="1"/>
  <c r="AB563" i="3"/>
  <c r="AC563" i="3" s="1"/>
  <c r="AB555" i="3"/>
  <c r="AC555" i="3" s="1"/>
  <c r="AB547" i="3"/>
  <c r="AC547" i="3" s="1"/>
  <c r="AB539" i="3"/>
  <c r="AC539" i="3" s="1"/>
  <c r="AB531" i="3"/>
  <c r="AC531" i="3" s="1"/>
  <c r="AB523" i="3"/>
  <c r="AC523" i="3" s="1"/>
  <c r="AB515" i="3"/>
  <c r="AC515" i="3" s="1"/>
  <c r="AB507" i="3"/>
  <c r="AC507" i="3" s="1"/>
  <c r="AB491" i="3"/>
  <c r="AC491" i="3" s="1"/>
  <c r="AB483" i="3"/>
  <c r="AC483" i="3" s="1"/>
  <c r="AB475" i="3"/>
  <c r="AC475" i="3" s="1"/>
  <c r="AB467" i="3"/>
  <c r="AB459" i="3"/>
  <c r="AC459" i="3" s="1"/>
  <c r="AB451" i="3"/>
  <c r="AC451" i="3" s="1"/>
  <c r="AB443" i="3"/>
  <c r="AC443" i="3" s="1"/>
  <c r="AB427" i="3"/>
  <c r="AC427" i="3" s="1"/>
  <c r="AB419" i="3"/>
  <c r="AC419" i="3" s="1"/>
  <c r="AB399" i="3"/>
  <c r="AC399" i="3" s="1"/>
  <c r="AB391" i="3"/>
  <c r="AC391" i="3" s="1"/>
  <c r="AB383" i="3"/>
  <c r="AC383" i="3" s="1"/>
  <c r="AB375" i="3"/>
  <c r="AC375" i="3" s="1"/>
  <c r="AB367" i="3"/>
  <c r="AC367" i="3" s="1"/>
  <c r="AB359" i="3"/>
  <c r="AC359" i="3" s="1"/>
  <c r="AB351" i="3"/>
  <c r="AC351" i="3" s="1"/>
  <c r="AB343" i="3"/>
  <c r="AC343" i="3" s="1"/>
  <c r="AB335" i="3"/>
  <c r="AC335" i="3" s="1"/>
  <c r="AB327" i="3"/>
  <c r="AC327" i="3" s="1"/>
  <c r="AB319" i="3"/>
  <c r="AC319" i="3" s="1"/>
  <c r="AB311" i="3"/>
  <c r="AC311" i="3" s="1"/>
  <c r="AB295" i="3"/>
  <c r="AC295" i="3" s="1"/>
  <c r="AB287" i="3"/>
  <c r="AC287" i="3" s="1"/>
  <c r="AB279" i="3"/>
  <c r="AC279" i="3" s="1"/>
  <c r="AB271" i="3"/>
  <c r="AC271" i="3" s="1"/>
  <c r="AB263" i="3"/>
  <c r="AC263" i="3" s="1"/>
  <c r="AB255" i="3"/>
  <c r="AC255" i="3" s="1"/>
  <c r="AB247" i="3"/>
  <c r="AC247" i="3" s="1"/>
  <c r="AB239" i="3"/>
  <c r="AC239" i="3" s="1"/>
  <c r="AB231" i="3"/>
  <c r="AC231" i="3" s="1"/>
  <c r="AB223" i="3"/>
  <c r="AC223" i="3" s="1"/>
  <c r="AB215" i="3"/>
  <c r="AC215" i="3" s="1"/>
  <c r="AB207" i="3"/>
  <c r="AB199" i="3"/>
  <c r="AC199" i="3" s="1"/>
  <c r="AB191" i="3"/>
  <c r="AC191" i="3" s="1"/>
  <c r="AB183" i="3"/>
  <c r="AC183" i="3" s="1"/>
  <c r="AB175" i="3"/>
  <c r="AC175" i="3" s="1"/>
  <c r="AB167" i="3"/>
  <c r="AC167" i="3" s="1"/>
  <c r="AB159" i="3"/>
  <c r="AC159" i="3" s="1"/>
  <c r="AB151" i="3"/>
  <c r="AC151" i="3" s="1"/>
  <c r="AB143" i="3"/>
  <c r="AB135" i="3"/>
  <c r="AC135" i="3" s="1"/>
  <c r="AB127" i="3"/>
  <c r="AC127" i="3" s="1"/>
  <c r="AB119" i="3"/>
  <c r="AC119" i="3" s="1"/>
  <c r="AB111" i="3"/>
  <c r="AC111" i="3" s="1"/>
  <c r="AB103" i="3"/>
  <c r="AC103" i="3" s="1"/>
  <c r="AB95" i="3"/>
  <c r="AC95" i="3" s="1"/>
  <c r="AB87" i="3"/>
  <c r="AC87" i="3" s="1"/>
  <c r="AB79" i="3"/>
  <c r="AB629" i="3"/>
  <c r="AC629" i="3" s="1"/>
  <c r="AB625" i="3"/>
  <c r="AC625" i="3" s="1"/>
  <c r="AB609" i="3"/>
  <c r="AC609" i="3" s="1"/>
  <c r="AB597" i="3"/>
  <c r="AB593" i="3"/>
  <c r="AC593" i="3" s="1"/>
  <c r="AB581" i="3"/>
  <c r="AC581" i="3" s="1"/>
  <c r="AB577" i="3"/>
  <c r="AB513" i="3"/>
  <c r="AC513" i="3" s="1"/>
  <c r="AB509" i="3"/>
  <c r="AC509" i="3" s="1"/>
  <c r="AB505" i="3"/>
  <c r="AC505" i="3" s="1"/>
  <c r="AB501" i="3"/>
  <c r="AC501" i="3" s="1"/>
  <c r="AB493" i="3"/>
  <c r="AC493" i="3" s="1"/>
  <c r="AB489" i="3"/>
  <c r="AC489" i="3" s="1"/>
  <c r="AB485" i="3"/>
  <c r="AC485" i="3" s="1"/>
  <c r="AB481" i="3"/>
  <c r="AC481" i="3" s="1"/>
  <c r="AB477" i="3"/>
  <c r="AC477" i="3" s="1"/>
  <c r="AB473" i="3"/>
  <c r="AC473" i="3" s="1"/>
  <c r="AB469" i="3"/>
  <c r="AC469" i="3" s="1"/>
  <c r="AB465" i="3"/>
  <c r="AB461" i="3"/>
  <c r="AC461" i="3" s="1"/>
  <c r="AB457" i="3"/>
  <c r="AC457" i="3" s="1"/>
  <c r="AB453" i="3"/>
  <c r="AC453" i="3" s="1"/>
  <c r="AB449" i="3"/>
  <c r="AC449" i="3" s="1"/>
  <c r="AB445" i="3"/>
  <c r="AC445" i="3" s="1"/>
  <c r="AB441" i="3"/>
  <c r="AC441" i="3" s="1"/>
  <c r="AB437" i="3"/>
  <c r="AC437" i="3" s="1"/>
  <c r="AB433" i="3"/>
  <c r="AC433" i="3" s="1"/>
  <c r="AB429" i="3"/>
  <c r="AC429" i="3" s="1"/>
  <c r="AB425" i="3"/>
  <c r="AC425" i="3" s="1"/>
  <c r="AB421" i="3"/>
  <c r="AC421" i="3" s="1"/>
  <c r="AB417" i="3"/>
  <c r="AC417" i="3" s="1"/>
  <c r="AB413" i="3"/>
  <c r="AC413" i="3" s="1"/>
  <c r="AB409" i="3"/>
  <c r="AC409" i="3" s="1"/>
  <c r="AB405" i="3"/>
  <c r="AC405" i="3" s="1"/>
  <c r="AB401" i="3"/>
  <c r="AB397" i="3"/>
  <c r="AC397" i="3" s="1"/>
  <c r="AB393" i="3"/>
  <c r="AC393" i="3" s="1"/>
  <c r="AB389" i="3"/>
  <c r="AC389" i="3" s="1"/>
  <c r="AB385" i="3"/>
  <c r="AC385" i="3" s="1"/>
  <c r="AB381" i="3"/>
  <c r="AC381" i="3" s="1"/>
  <c r="AB377" i="3"/>
  <c r="AC377" i="3" s="1"/>
  <c r="AB373" i="3"/>
  <c r="AC373" i="3" s="1"/>
  <c r="AB369" i="3"/>
  <c r="AC369" i="3" s="1"/>
  <c r="AB365" i="3"/>
  <c r="AC365" i="3" s="1"/>
  <c r="AB361" i="3"/>
  <c r="AC361" i="3" s="1"/>
  <c r="AB357" i="3"/>
  <c r="AC357" i="3" s="1"/>
  <c r="AB353" i="3"/>
  <c r="AC353" i="3" s="1"/>
  <c r="AB349" i="3"/>
  <c r="AC349" i="3" s="1"/>
  <c r="AB345" i="3"/>
  <c r="AC345" i="3" s="1"/>
  <c r="AB341" i="3"/>
  <c r="AC341" i="3" s="1"/>
  <c r="AB337" i="3"/>
  <c r="AB333" i="3"/>
  <c r="AC333" i="3" s="1"/>
  <c r="AB329" i="3"/>
  <c r="AC329" i="3" s="1"/>
  <c r="AB325" i="3"/>
  <c r="AC325" i="3" s="1"/>
  <c r="AB317" i="3"/>
  <c r="AC317" i="3" s="1"/>
  <c r="AB313" i="3"/>
  <c r="AC313" i="3" s="1"/>
  <c r="AB309" i="3"/>
  <c r="AC309" i="3" s="1"/>
  <c r="AB305" i="3"/>
  <c r="AC305" i="3" s="1"/>
  <c r="AB301" i="3"/>
  <c r="AC301" i="3" s="1"/>
  <c r="AB297" i="3"/>
  <c r="AC297" i="3" s="1"/>
  <c r="AB293" i="3"/>
  <c r="AC293" i="3" s="1"/>
  <c r="AB289" i="3"/>
  <c r="AC289" i="3" s="1"/>
  <c r="AB285" i="3"/>
  <c r="AC285" i="3" s="1"/>
  <c r="AB281" i="3"/>
  <c r="AC281" i="3" s="1"/>
  <c r="AB277" i="3"/>
  <c r="AC277" i="3" s="1"/>
  <c r="AB273" i="3"/>
  <c r="AC273" i="3" s="1"/>
  <c r="AB269" i="3"/>
  <c r="AC269" i="3" s="1"/>
  <c r="AB265" i="3"/>
  <c r="AC265" i="3" s="1"/>
  <c r="AB261" i="3"/>
  <c r="AC261" i="3" s="1"/>
  <c r="AB257" i="3"/>
  <c r="AB253" i="3"/>
  <c r="AC253" i="3" s="1"/>
  <c r="AB249" i="3"/>
  <c r="AC249" i="3" s="1"/>
  <c r="AB245" i="3"/>
  <c r="AC245" i="3" s="1"/>
  <c r="AB237" i="3"/>
  <c r="AC237" i="3" s="1"/>
  <c r="AB233" i="3"/>
  <c r="AC233" i="3" s="1"/>
  <c r="AB229" i="3"/>
  <c r="AB225" i="3"/>
  <c r="AB221" i="3"/>
  <c r="AC221" i="3" s="1"/>
  <c r="AB217" i="3"/>
  <c r="AC217" i="3" s="1"/>
  <c r="AB75" i="3"/>
  <c r="AC75" i="3" s="1"/>
  <c r="AB71" i="3"/>
  <c r="AC71" i="3" s="1"/>
  <c r="AB67" i="3"/>
  <c r="AC67" i="3" s="1"/>
  <c r="AB63" i="3"/>
  <c r="AC63" i="3" s="1"/>
  <c r="AB59" i="3"/>
  <c r="AC59" i="3" s="1"/>
  <c r="AB55" i="3"/>
  <c r="AC55" i="3" s="1"/>
  <c r="AB51" i="3"/>
  <c r="AC51" i="3" s="1"/>
  <c r="AB47" i="3"/>
  <c r="AB43" i="3"/>
  <c r="AC43" i="3" s="1"/>
  <c r="AB39" i="3"/>
  <c r="AC39" i="3" s="1"/>
  <c r="AB35" i="3"/>
  <c r="AC35" i="3" s="1"/>
  <c r="AB31" i="3"/>
  <c r="AC31" i="3" s="1"/>
  <c r="AB27" i="3"/>
  <c r="AC27" i="3" s="1"/>
  <c r="AB23" i="3"/>
  <c r="AC23" i="3" s="1"/>
  <c r="AB19" i="3"/>
  <c r="AC19" i="3" s="1"/>
  <c r="AB15" i="3"/>
  <c r="AB11" i="3"/>
  <c r="AC11" i="3" s="1"/>
  <c r="AB7" i="3"/>
  <c r="AC7" i="3" s="1"/>
  <c r="AB3" i="3"/>
  <c r="AC3" i="3" s="1"/>
  <c r="AB6" i="3"/>
  <c r="AC6" i="3" s="1"/>
  <c r="AB527" i="3"/>
  <c r="AC527" i="3" s="1"/>
  <c r="AC47" i="3" l="1"/>
  <c r="AC428" i="3"/>
  <c r="AC41" i="3"/>
  <c r="AC15" i="3"/>
  <c r="AC140" i="3"/>
  <c r="AC344" i="3"/>
  <c r="AB133" i="3"/>
  <c r="AC133" i="3" s="1"/>
  <c r="AC275" i="3"/>
  <c r="AC492" i="3"/>
  <c r="AC577" i="3"/>
  <c r="AC307" i="3"/>
  <c r="AC556" i="3"/>
  <c r="AB603" i="3"/>
  <c r="AC603" i="3" s="1"/>
  <c r="AC229" i="3"/>
  <c r="AC576" i="3"/>
  <c r="AC225" i="3"/>
  <c r="AC337" i="3"/>
  <c r="AC401" i="3"/>
  <c r="AC467" i="3"/>
  <c r="AC235" i="3"/>
  <c r="AC551" i="3"/>
  <c r="AC615" i="3"/>
  <c r="AB407" i="3"/>
  <c r="AC407" i="3" s="1"/>
  <c r="AB571" i="3"/>
  <c r="AC571" i="3" s="1"/>
  <c r="AC352" i="3"/>
  <c r="AB241" i="3"/>
  <c r="AC241" i="3" s="1"/>
  <c r="AC465" i="3"/>
  <c r="AC143" i="3"/>
  <c r="AC257" i="3"/>
  <c r="AC79" i="3"/>
  <c r="AC597" i="3"/>
  <c r="AB321" i="3"/>
  <c r="AC321" i="3" s="1"/>
  <c r="AB497" i="3"/>
  <c r="AC497" i="3" s="1"/>
  <c r="AB171" i="3"/>
  <c r="AC171" i="3" s="1"/>
  <c r="AB331" i="3"/>
  <c r="AC331" i="3" s="1"/>
  <c r="AB303" i="3"/>
  <c r="AC303" i="3" s="1"/>
  <c r="AB299" i="3"/>
  <c r="AC299" i="3" s="1"/>
  <c r="AB499" i="3"/>
  <c r="AC499" i="3" s="1"/>
  <c r="AB435" i="3"/>
  <c r="AC435" i="3" s="1"/>
  <c r="AC207" i="3"/>
  <c r="AB545" i="3"/>
  <c r="AC545" i="3" s="1"/>
  <c r="AB585" i="3"/>
  <c r="AC585" i="3" s="1"/>
  <c r="AB10" i="3"/>
  <c r="AC10" i="3" s="1"/>
  <c r="AB46" i="3"/>
  <c r="AC46" i="3" s="1"/>
  <c r="AB78" i="3"/>
  <c r="AC78" i="3" s="1"/>
  <c r="AB110" i="3"/>
  <c r="AC110" i="3" s="1"/>
  <c r="AB126" i="3"/>
  <c r="AC126" i="3" s="1"/>
  <c r="AB174" i="3"/>
  <c r="AC174" i="3" s="1"/>
  <c r="AB206" i="3"/>
  <c r="AC206" i="3" s="1"/>
  <c r="AB238" i="3"/>
  <c r="AC238" i="3" s="1"/>
  <c r="AB270" i="3"/>
  <c r="AC270" i="3" s="1"/>
  <c r="AB318" i="3"/>
  <c r="AC318" i="3" s="1"/>
  <c r="AB350" i="3"/>
  <c r="AC350" i="3" s="1"/>
  <c r="AB382" i="3"/>
  <c r="AC382" i="3" s="1"/>
  <c r="AB414" i="3"/>
  <c r="AC414" i="3" s="1"/>
  <c r="AB446" i="3"/>
  <c r="AC446" i="3" s="1"/>
  <c r="AB478" i="3"/>
  <c r="AC478" i="3" s="1"/>
  <c r="AB510" i="3"/>
  <c r="AC510" i="3" s="1"/>
  <c r="AB542" i="3"/>
  <c r="AC542" i="3" s="1"/>
  <c r="AB590" i="3"/>
  <c r="AC590" i="3" s="1"/>
  <c r="AB622" i="3"/>
  <c r="AC622" i="3" s="1"/>
  <c r="AB24" i="3"/>
  <c r="AC24" i="3" s="1"/>
  <c r="AB533" i="3"/>
  <c r="AC533" i="3" s="1"/>
  <c r="AB565" i="3"/>
  <c r="AC565" i="3" s="1"/>
  <c r="AB621" i="3"/>
  <c r="AC621" i="3" s="1"/>
  <c r="AB30" i="3"/>
  <c r="AC30" i="3" s="1"/>
  <c r="AB82" i="3"/>
  <c r="AC82" i="3" s="1"/>
  <c r="AB114" i="3"/>
  <c r="AC114" i="3" s="1"/>
  <c r="AB146" i="3"/>
  <c r="AC146" i="3" s="1"/>
  <c r="AB162" i="3"/>
  <c r="AC162" i="3" s="1"/>
  <c r="AB194" i="3"/>
  <c r="AC194" i="3" s="1"/>
  <c r="AB226" i="3"/>
  <c r="AC226" i="3" s="1"/>
  <c r="AB258" i="3"/>
  <c r="AC258" i="3" s="1"/>
  <c r="AB306" i="3"/>
  <c r="AC306" i="3" s="1"/>
  <c r="AB322" i="3"/>
  <c r="AC322" i="3" s="1"/>
  <c r="AB354" i="3"/>
  <c r="AC354" i="3" s="1"/>
  <c r="AB386" i="3"/>
  <c r="AC386" i="3" s="1"/>
  <c r="AB418" i="3"/>
  <c r="AC418" i="3" s="1"/>
  <c r="AB450" i="3"/>
  <c r="AC450" i="3" s="1"/>
  <c r="AB482" i="3"/>
  <c r="AC482" i="3" s="1"/>
  <c r="AB514" i="3"/>
  <c r="AC514" i="3" s="1"/>
  <c r="AB562" i="3"/>
  <c r="AC562" i="3" s="1"/>
  <c r="AB594" i="3"/>
  <c r="AC594" i="3" s="1"/>
  <c r="AB626" i="3"/>
  <c r="AC626" i="3" s="1"/>
  <c r="AB8" i="3"/>
  <c r="AC8" i="3" s="1"/>
  <c r="AB44" i="3"/>
  <c r="AC44" i="3" s="1"/>
  <c r="AB521" i="3"/>
  <c r="AC521" i="3" s="1"/>
  <c r="AB537" i="3"/>
  <c r="AC537" i="3" s="1"/>
  <c r="AB553" i="3"/>
  <c r="AC553" i="3" s="1"/>
  <c r="AB569" i="3"/>
  <c r="AC569" i="3" s="1"/>
  <c r="AB601" i="3"/>
  <c r="AC601" i="3" s="1"/>
  <c r="AB2" i="3"/>
  <c r="AC2" i="3" s="1"/>
  <c r="AB18" i="3"/>
  <c r="AC18" i="3" s="1"/>
  <c r="AB34" i="3"/>
  <c r="AC34" i="3" s="1"/>
  <c r="AB54" i="3"/>
  <c r="AC54" i="3" s="1"/>
  <c r="AB70" i="3"/>
  <c r="AC70" i="3" s="1"/>
  <c r="AB86" i="3"/>
  <c r="AC86" i="3" s="1"/>
  <c r="AB102" i="3"/>
  <c r="AC102" i="3" s="1"/>
  <c r="AB118" i="3"/>
  <c r="AC118" i="3" s="1"/>
  <c r="AB134" i="3"/>
  <c r="AC134" i="3" s="1"/>
  <c r="AB150" i="3"/>
  <c r="AC150" i="3" s="1"/>
  <c r="AB166" i="3"/>
  <c r="AC166" i="3" s="1"/>
  <c r="AB182" i="3"/>
  <c r="AC182" i="3" s="1"/>
  <c r="AB198" i="3"/>
  <c r="AC198" i="3" s="1"/>
  <c r="AB214" i="3"/>
  <c r="AC214" i="3" s="1"/>
  <c r="AB230" i="3"/>
  <c r="AC230" i="3" s="1"/>
  <c r="AB246" i="3"/>
  <c r="AC246" i="3" s="1"/>
  <c r="AB262" i="3"/>
  <c r="AC262" i="3" s="1"/>
  <c r="AB278" i="3"/>
  <c r="AC278" i="3" s="1"/>
  <c r="AB294" i="3"/>
  <c r="AC294" i="3" s="1"/>
  <c r="AB310" i="3"/>
  <c r="AC310" i="3" s="1"/>
  <c r="AB326" i="3"/>
  <c r="AC326" i="3" s="1"/>
  <c r="AB342" i="3"/>
  <c r="AC342" i="3" s="1"/>
  <c r="AB358" i="3"/>
  <c r="AC358" i="3" s="1"/>
  <c r="AB374" i="3"/>
  <c r="AC374" i="3" s="1"/>
  <c r="AB390" i="3"/>
  <c r="AC390" i="3" s="1"/>
  <c r="AB406" i="3"/>
  <c r="AC406" i="3" s="1"/>
  <c r="AB422" i="3"/>
  <c r="AC422" i="3" s="1"/>
  <c r="AB438" i="3"/>
  <c r="AC438" i="3" s="1"/>
  <c r="AB454" i="3"/>
  <c r="AC454" i="3" s="1"/>
  <c r="AB470" i="3"/>
  <c r="AC470" i="3" s="1"/>
  <c r="AB486" i="3"/>
  <c r="AC486" i="3" s="1"/>
  <c r="AB502" i="3"/>
  <c r="AC502" i="3" s="1"/>
  <c r="AB518" i="3"/>
  <c r="AC518" i="3" s="1"/>
  <c r="AB534" i="3"/>
  <c r="AC534" i="3" s="1"/>
  <c r="AB550" i="3"/>
  <c r="AC550" i="3" s="1"/>
  <c r="AB566" i="3"/>
  <c r="AC566" i="3" s="1"/>
  <c r="AB582" i="3"/>
  <c r="AC582" i="3" s="1"/>
  <c r="AB598" i="3"/>
  <c r="AC598" i="3" s="1"/>
  <c r="AB614" i="3"/>
  <c r="AC614" i="3" s="1"/>
  <c r="AB630" i="3"/>
  <c r="AC630" i="3" s="1"/>
  <c r="AB12" i="3"/>
  <c r="AC12" i="3" s="1"/>
  <c r="AB32" i="3"/>
  <c r="AC32" i="3" s="1"/>
  <c r="AB52" i="3"/>
  <c r="AC52" i="3" s="1"/>
  <c r="AB529" i="3"/>
  <c r="AC529" i="3" s="1"/>
  <c r="AB561" i="3"/>
  <c r="AC561" i="3" s="1"/>
  <c r="AB617" i="3"/>
  <c r="AC617" i="3" s="1"/>
  <c r="AB26" i="3"/>
  <c r="AC26" i="3" s="1"/>
  <c r="AB62" i="3"/>
  <c r="AC62" i="3" s="1"/>
  <c r="AB94" i="3"/>
  <c r="AC94" i="3" s="1"/>
  <c r="AB142" i="3"/>
  <c r="AC142" i="3" s="1"/>
  <c r="AB158" i="3"/>
  <c r="AC158" i="3" s="1"/>
  <c r="AB190" i="3"/>
  <c r="AC190" i="3" s="1"/>
  <c r="AB222" i="3"/>
  <c r="AC222" i="3" s="1"/>
  <c r="AB254" i="3"/>
  <c r="AC254" i="3" s="1"/>
  <c r="AB286" i="3"/>
  <c r="AC286" i="3" s="1"/>
  <c r="AB302" i="3"/>
  <c r="AC302" i="3" s="1"/>
  <c r="AB334" i="3"/>
  <c r="AC334" i="3" s="1"/>
  <c r="AB366" i="3"/>
  <c r="AC366" i="3" s="1"/>
  <c r="AB398" i="3"/>
  <c r="AC398" i="3" s="1"/>
  <c r="AB430" i="3"/>
  <c r="AC430" i="3" s="1"/>
  <c r="AB462" i="3"/>
  <c r="AC462" i="3" s="1"/>
  <c r="AB494" i="3"/>
  <c r="AC494" i="3" s="1"/>
  <c r="AB526" i="3"/>
  <c r="AC526" i="3" s="1"/>
  <c r="AB558" i="3"/>
  <c r="AC558" i="3" s="1"/>
  <c r="AB574" i="3"/>
  <c r="AC574" i="3" s="1"/>
  <c r="AB606" i="3"/>
  <c r="AC606" i="3" s="1"/>
  <c r="AB40" i="3"/>
  <c r="AC40" i="3" s="1"/>
  <c r="AB517" i="3"/>
  <c r="AC517" i="3" s="1"/>
  <c r="AB549" i="3"/>
  <c r="AC549" i="3" s="1"/>
  <c r="AB589" i="3"/>
  <c r="AC589" i="3" s="1"/>
  <c r="AB14" i="3"/>
  <c r="AC14" i="3" s="1"/>
  <c r="AB50" i="3"/>
  <c r="AC50" i="3" s="1"/>
  <c r="AB66" i="3"/>
  <c r="AC66" i="3" s="1"/>
  <c r="AB98" i="3"/>
  <c r="AC98" i="3" s="1"/>
  <c r="AB130" i="3"/>
  <c r="AC130" i="3" s="1"/>
  <c r="AB178" i="3"/>
  <c r="AC178" i="3" s="1"/>
  <c r="AB210" i="3"/>
  <c r="AC210" i="3" s="1"/>
  <c r="AB242" i="3"/>
  <c r="AC242" i="3" s="1"/>
  <c r="AB274" i="3"/>
  <c r="AC274" i="3" s="1"/>
  <c r="AB290" i="3"/>
  <c r="AC290" i="3" s="1"/>
  <c r="AB338" i="3"/>
  <c r="AC338" i="3" s="1"/>
  <c r="AB370" i="3"/>
  <c r="AC370" i="3" s="1"/>
  <c r="AB402" i="3"/>
  <c r="AC402" i="3" s="1"/>
  <c r="AB434" i="3"/>
  <c r="AC434" i="3" s="1"/>
  <c r="AB466" i="3"/>
  <c r="AC466" i="3" s="1"/>
  <c r="AB498" i="3"/>
  <c r="AC498" i="3" s="1"/>
  <c r="AB530" i="3"/>
  <c r="AC530" i="3" s="1"/>
  <c r="AB546" i="3"/>
  <c r="AC546" i="3" s="1"/>
  <c r="AB578" i="3"/>
  <c r="AC578" i="3" s="1"/>
  <c r="AB610" i="3"/>
  <c r="AC610" i="3" s="1"/>
  <c r="AB28" i="3"/>
  <c r="AC28" i="3" s="1"/>
  <c r="AB525" i="3"/>
  <c r="AC525" i="3" s="1"/>
  <c r="AB541" i="3"/>
  <c r="AC541" i="3" s="1"/>
  <c r="AB557" i="3"/>
  <c r="AC557" i="3" s="1"/>
  <c r="AB573" i="3"/>
  <c r="AC573" i="3" s="1"/>
  <c r="AB605" i="3"/>
  <c r="AC605" i="3" s="1"/>
  <c r="AB22" i="3"/>
  <c r="AC22" i="3" s="1"/>
  <c r="AB42" i="3"/>
  <c r="AC42" i="3" s="1"/>
  <c r="AB58" i="3"/>
  <c r="AC58" i="3" s="1"/>
  <c r="AB74" i="3"/>
  <c r="AC74" i="3" s="1"/>
  <c r="AB90" i="3"/>
  <c r="AC90" i="3" s="1"/>
  <c r="AB106" i="3"/>
  <c r="AC106" i="3" s="1"/>
  <c r="AB122" i="3"/>
  <c r="AC122" i="3" s="1"/>
  <c r="AB138" i="3"/>
  <c r="AC138" i="3" s="1"/>
  <c r="AB154" i="3"/>
  <c r="AC154" i="3" s="1"/>
  <c r="AB170" i="3"/>
  <c r="AC170" i="3" s="1"/>
  <c r="AB186" i="3"/>
  <c r="AC186" i="3" s="1"/>
  <c r="AB202" i="3"/>
  <c r="AC202" i="3" s="1"/>
  <c r="AB218" i="3"/>
  <c r="AC218" i="3" s="1"/>
  <c r="AB234" i="3"/>
  <c r="AC234" i="3" s="1"/>
  <c r="AB250" i="3"/>
  <c r="AC250" i="3" s="1"/>
  <c r="AB266" i="3"/>
  <c r="AC266" i="3" s="1"/>
  <c r="AB282" i="3"/>
  <c r="AC282" i="3" s="1"/>
  <c r="AB298" i="3"/>
  <c r="AC298" i="3" s="1"/>
  <c r="AB314" i="3"/>
  <c r="AC314" i="3" s="1"/>
  <c r="AB330" i="3"/>
  <c r="AC330" i="3" s="1"/>
  <c r="AB346" i="3"/>
  <c r="AC346" i="3" s="1"/>
  <c r="AB362" i="3"/>
  <c r="AC362" i="3" s="1"/>
  <c r="AB378" i="3"/>
  <c r="AC378" i="3" s="1"/>
  <c r="AB394" i="3"/>
  <c r="AC394" i="3" s="1"/>
  <c r="AB410" i="3"/>
  <c r="AC410" i="3" s="1"/>
  <c r="AB426" i="3"/>
  <c r="AC426" i="3" s="1"/>
  <c r="AB442" i="3"/>
  <c r="AC442" i="3" s="1"/>
  <c r="AB458" i="3"/>
  <c r="AC458" i="3" s="1"/>
  <c r="AB474" i="3"/>
  <c r="AC474" i="3" s="1"/>
  <c r="AB490" i="3"/>
  <c r="AC490" i="3" s="1"/>
  <c r="AB506" i="3"/>
  <c r="AC506" i="3" s="1"/>
  <c r="AB522" i="3"/>
  <c r="AC522" i="3" s="1"/>
  <c r="AB538" i="3"/>
  <c r="AC538" i="3" s="1"/>
  <c r="AB554" i="3"/>
  <c r="AC554" i="3" s="1"/>
  <c r="AB570" i="3"/>
  <c r="AC570" i="3" s="1"/>
  <c r="AB586" i="3"/>
  <c r="AC586" i="3" s="1"/>
  <c r="AB602" i="3"/>
  <c r="AC602" i="3" s="1"/>
  <c r="AB20" i="3"/>
  <c r="AC20" i="3" s="1"/>
  <c r="AB36" i="3"/>
  <c r="AC36" i="3" s="1"/>
  <c r="AD570" i="3" l="1"/>
  <c r="AD431" i="3"/>
  <c r="AD282" i="3"/>
  <c r="AE575" i="3"/>
  <c r="AD627" i="3"/>
  <c r="AD585" i="3"/>
  <c r="AD542" i="3"/>
  <c r="AD499" i="3"/>
  <c r="AD457" i="3"/>
  <c r="AD414" i="3"/>
  <c r="AD371" i="3"/>
  <c r="AD329" i="3"/>
  <c r="AD286" i="3"/>
  <c r="AD217" i="3"/>
  <c r="AD105" i="3"/>
  <c r="AE623" i="3"/>
  <c r="AE458" i="3"/>
  <c r="AE256" i="3"/>
  <c r="AD591" i="3"/>
  <c r="AD442" i="3"/>
  <c r="AD293" i="3"/>
  <c r="AD13" i="3"/>
  <c r="AD622" i="3"/>
  <c r="AD579" i="3"/>
  <c r="AD537" i="3"/>
  <c r="AD494" i="3"/>
  <c r="AF494" i="3" s="1"/>
  <c r="AD451" i="3"/>
  <c r="AD409" i="3"/>
  <c r="AD366" i="3"/>
  <c r="AD323" i="3"/>
  <c r="AD281" i="3"/>
  <c r="AD205" i="3"/>
  <c r="AD92" i="3"/>
  <c r="AE607" i="3"/>
  <c r="AE436" i="3"/>
  <c r="AE213" i="3"/>
  <c r="AD549" i="3"/>
  <c r="AD453" i="3"/>
  <c r="AD346" i="3"/>
  <c r="AD211" i="3"/>
  <c r="AE532" i="3"/>
  <c r="AE10" i="3"/>
  <c r="AE26" i="3"/>
  <c r="AE42" i="3"/>
  <c r="AE58" i="3"/>
  <c r="AE41" i="3"/>
  <c r="AD538" i="3"/>
  <c r="AD389" i="3"/>
  <c r="AD233" i="3"/>
  <c r="AE447" i="3"/>
  <c r="AD617" i="3"/>
  <c r="AD574" i="3"/>
  <c r="AD531" i="3"/>
  <c r="AD489" i="3"/>
  <c r="AD446" i="3"/>
  <c r="AD403" i="3"/>
  <c r="AD361" i="3"/>
  <c r="AD318" i="3"/>
  <c r="AD275" i="3"/>
  <c r="AD191" i="3"/>
  <c r="AD77" i="3"/>
  <c r="AE586" i="3"/>
  <c r="AE415" i="3"/>
  <c r="AE169" i="3"/>
  <c r="AD559" i="3"/>
  <c r="AD399" i="3"/>
  <c r="AD254" i="3"/>
  <c r="AE490" i="3"/>
  <c r="AD611" i="3"/>
  <c r="AD569" i="3"/>
  <c r="AD526" i="3"/>
  <c r="AD483" i="3"/>
  <c r="AD441" i="3"/>
  <c r="AD398" i="3"/>
  <c r="AD355" i="3"/>
  <c r="AD313" i="3"/>
  <c r="AD270" i="3"/>
  <c r="AD177" i="3"/>
  <c r="AD63" i="3"/>
  <c r="AE564" i="3"/>
  <c r="AE394" i="3"/>
  <c r="AE128" i="3"/>
  <c r="AD527" i="3"/>
  <c r="AD421" i="3"/>
  <c r="AD335" i="3"/>
  <c r="AD127" i="3"/>
  <c r="AE404" i="3"/>
  <c r="AE14" i="3"/>
  <c r="AE30" i="3"/>
  <c r="AE46" i="3"/>
  <c r="AE62" i="3"/>
  <c r="AE78" i="3"/>
  <c r="AE94" i="3"/>
  <c r="AE110" i="3"/>
  <c r="AE126" i="3"/>
  <c r="AE142" i="3"/>
  <c r="AE158" i="3"/>
  <c r="AE174" i="3"/>
  <c r="AE190" i="3"/>
  <c r="AE206" i="3"/>
  <c r="AE222" i="3"/>
  <c r="AE238" i="3"/>
  <c r="AE254" i="3"/>
  <c r="AE270" i="3"/>
  <c r="AE286" i="3"/>
  <c r="AE302" i="3"/>
  <c r="AE318" i="3"/>
  <c r="AE334" i="3"/>
  <c r="AE11" i="3"/>
  <c r="AE27" i="3"/>
  <c r="AE43" i="3"/>
  <c r="AE59" i="3"/>
  <c r="AE75" i="3"/>
  <c r="AE91" i="3"/>
  <c r="AE107" i="3"/>
  <c r="AE123" i="3"/>
  <c r="AE139" i="3"/>
  <c r="AE155" i="3"/>
  <c r="AE171" i="3"/>
  <c r="AE187" i="3"/>
  <c r="AE203" i="3"/>
  <c r="AE219" i="3"/>
  <c r="AE235" i="3"/>
  <c r="AE251" i="3"/>
  <c r="AE267" i="3"/>
  <c r="AE283" i="3"/>
  <c r="AE4" i="3"/>
  <c r="AE36" i="3"/>
  <c r="AE68" i="3"/>
  <c r="AE100" i="3"/>
  <c r="AD602" i="3"/>
  <c r="AD463" i="3"/>
  <c r="AD314" i="3"/>
  <c r="AD41" i="3"/>
  <c r="AF41" i="3" s="1"/>
  <c r="AE64" i="3"/>
  <c r="AD595" i="3"/>
  <c r="AD553" i="3"/>
  <c r="AD510" i="3"/>
  <c r="AD467" i="3"/>
  <c r="AD425" i="3"/>
  <c r="AD382" i="3"/>
  <c r="AD339" i="3"/>
  <c r="AD297" i="3"/>
  <c r="AD238" i="3"/>
  <c r="AF238" i="3" s="1"/>
  <c r="AD135" i="3"/>
  <c r="AD20" i="3"/>
  <c r="AE500" i="3"/>
  <c r="AE327" i="3"/>
  <c r="AD623" i="3"/>
  <c r="AD474" i="3"/>
  <c r="AD325" i="3"/>
  <c r="AD99" i="3"/>
  <c r="AE149" i="3"/>
  <c r="AD590" i="3"/>
  <c r="AD547" i="3"/>
  <c r="AD505" i="3"/>
  <c r="AD462" i="3"/>
  <c r="AD419" i="3"/>
  <c r="AD377" i="3"/>
  <c r="AD334" i="3"/>
  <c r="AF334" i="3" s="1"/>
  <c r="AD291" i="3"/>
  <c r="AD227" i="3"/>
  <c r="AD120" i="3"/>
  <c r="AE233" i="3"/>
  <c r="AE312" i="3"/>
  <c r="AD478" i="3"/>
  <c r="AD307" i="3"/>
  <c r="AE543" i="3"/>
  <c r="AD367" i="3"/>
  <c r="AD558" i="3"/>
  <c r="AD387" i="3"/>
  <c r="AD148" i="3"/>
  <c r="AE479" i="3"/>
  <c r="AD581" i="3"/>
  <c r="AD378" i="3"/>
  <c r="AE616" i="3"/>
  <c r="AE22" i="3"/>
  <c r="AE54" i="3"/>
  <c r="AE82" i="3"/>
  <c r="AE102" i="3"/>
  <c r="AE122" i="3"/>
  <c r="AE146" i="3"/>
  <c r="AE166" i="3"/>
  <c r="AE186" i="3"/>
  <c r="AE210" i="3"/>
  <c r="AE230" i="3"/>
  <c r="AE250" i="3"/>
  <c r="AE274" i="3"/>
  <c r="AE294" i="3"/>
  <c r="AE314" i="3"/>
  <c r="AE338" i="3"/>
  <c r="AE19" i="3"/>
  <c r="AE39" i="3"/>
  <c r="AE63" i="3"/>
  <c r="AE83" i="3"/>
  <c r="AE103" i="3"/>
  <c r="AE127" i="3"/>
  <c r="AE147" i="3"/>
  <c r="AE167" i="3"/>
  <c r="AE191" i="3"/>
  <c r="AE211" i="3"/>
  <c r="AE231" i="3"/>
  <c r="AE255" i="3"/>
  <c r="AE275" i="3"/>
  <c r="AE295" i="3"/>
  <c r="AE44" i="3"/>
  <c r="AE84" i="3"/>
  <c r="AE124" i="3"/>
  <c r="AE156" i="3"/>
  <c r="AE188" i="3"/>
  <c r="AE220" i="3"/>
  <c r="AE252" i="3"/>
  <c r="AE284" i="3"/>
  <c r="AE309" i="3"/>
  <c r="AE331" i="3"/>
  <c r="AE349" i="3"/>
  <c r="AE365" i="3"/>
  <c r="AE381" i="3"/>
  <c r="AE397" i="3"/>
  <c r="AE413" i="3"/>
  <c r="AE429" i="3"/>
  <c r="AE445" i="3"/>
  <c r="AE461" i="3"/>
  <c r="AE477" i="3"/>
  <c r="AE493" i="3"/>
  <c r="AE509" i="3"/>
  <c r="AE525" i="3"/>
  <c r="AE541" i="3"/>
  <c r="AE557" i="3"/>
  <c r="AE573" i="3"/>
  <c r="AE589" i="3"/>
  <c r="AE605" i="3"/>
  <c r="AE621" i="3"/>
  <c r="AD6" i="3"/>
  <c r="AD22" i="3"/>
  <c r="AF22" i="3" s="1"/>
  <c r="AD38" i="3"/>
  <c r="AD54" i="3"/>
  <c r="AD70" i="3"/>
  <c r="AD86" i="3"/>
  <c r="AD102" i="3"/>
  <c r="AF102" i="3" s="1"/>
  <c r="AD118" i="3"/>
  <c r="AD134" i="3"/>
  <c r="AD150" i="3"/>
  <c r="AD166" i="3"/>
  <c r="AF166" i="3" s="1"/>
  <c r="AD182" i="3"/>
  <c r="AF182" i="3" s="1"/>
  <c r="AD198" i="3"/>
  <c r="AE16" i="3"/>
  <c r="AE57" i="3"/>
  <c r="AD506" i="3"/>
  <c r="AD606" i="3"/>
  <c r="AD435" i="3"/>
  <c r="AD259" i="3"/>
  <c r="AE372" i="3"/>
  <c r="AD184" i="3"/>
  <c r="AD515" i="3"/>
  <c r="AD345" i="3"/>
  <c r="AD35" i="3"/>
  <c r="AE351" i="3"/>
  <c r="AD495" i="3"/>
  <c r="AD303" i="3"/>
  <c r="AE2" i="3"/>
  <c r="AE34" i="3"/>
  <c r="AE66" i="3"/>
  <c r="AE86" i="3"/>
  <c r="AE106" i="3"/>
  <c r="AE130" i="3"/>
  <c r="AE150" i="3"/>
  <c r="AE170" i="3"/>
  <c r="AE194" i="3"/>
  <c r="AE214" i="3"/>
  <c r="AE234" i="3"/>
  <c r="AE258" i="3"/>
  <c r="AE278" i="3"/>
  <c r="AE298" i="3"/>
  <c r="AE322" i="3"/>
  <c r="AE3" i="3"/>
  <c r="AE23" i="3"/>
  <c r="AE47" i="3"/>
  <c r="AE67" i="3"/>
  <c r="AE87" i="3"/>
  <c r="AE111" i="3"/>
  <c r="AE131" i="3"/>
  <c r="AE151" i="3"/>
  <c r="AE175" i="3"/>
  <c r="AE195" i="3"/>
  <c r="AE215" i="3"/>
  <c r="AE239" i="3"/>
  <c r="AE259" i="3"/>
  <c r="AE279" i="3"/>
  <c r="AE12" i="3"/>
  <c r="AE52" i="3"/>
  <c r="AE92" i="3"/>
  <c r="AE132" i="3"/>
  <c r="AE164" i="3"/>
  <c r="AE196" i="3"/>
  <c r="AE228" i="3"/>
  <c r="AE260" i="3"/>
  <c r="AE292" i="3"/>
  <c r="AE315" i="3"/>
  <c r="AE336" i="3"/>
  <c r="AE353" i="3"/>
  <c r="AE369" i="3"/>
  <c r="AE385" i="3"/>
  <c r="AE401" i="3"/>
  <c r="AE417" i="3"/>
  <c r="AE433" i="3"/>
  <c r="AE449" i="3"/>
  <c r="AE465" i="3"/>
  <c r="AE481" i="3"/>
  <c r="AE497" i="3"/>
  <c r="AE513" i="3"/>
  <c r="AE529" i="3"/>
  <c r="AE545" i="3"/>
  <c r="AE561" i="3"/>
  <c r="AE577" i="3"/>
  <c r="AE593" i="3"/>
  <c r="AE609" i="3"/>
  <c r="AE625" i="3"/>
  <c r="AD10" i="3"/>
  <c r="AF10" i="3" s="1"/>
  <c r="AD26" i="3"/>
  <c r="AF26" i="3" s="1"/>
  <c r="AD42" i="3"/>
  <c r="AD58" i="3"/>
  <c r="AF58" i="3" s="1"/>
  <c r="AD74" i="3"/>
  <c r="AD90" i="3"/>
  <c r="AD106" i="3"/>
  <c r="AF106" i="3" s="1"/>
  <c r="AD122" i="3"/>
  <c r="AF122" i="3" s="1"/>
  <c r="AD138" i="3"/>
  <c r="AD154" i="3"/>
  <c r="AD170" i="3"/>
  <c r="AD186" i="3"/>
  <c r="AD202" i="3"/>
  <c r="AD156" i="3"/>
  <c r="AF156" i="3" s="1"/>
  <c r="AD521" i="3"/>
  <c r="AD350" i="3"/>
  <c r="AD49" i="3"/>
  <c r="AD517" i="3"/>
  <c r="AD601" i="3"/>
  <c r="AD430" i="3"/>
  <c r="AD249" i="3"/>
  <c r="AE522" i="3"/>
  <c r="AD613" i="3"/>
  <c r="AD410" i="3"/>
  <c r="AD71" i="3"/>
  <c r="AE18" i="3"/>
  <c r="AE50" i="3"/>
  <c r="AE74" i="3"/>
  <c r="AE98" i="3"/>
  <c r="AE118" i="3"/>
  <c r="AE138" i="3"/>
  <c r="AE162" i="3"/>
  <c r="AE182" i="3"/>
  <c r="AE202" i="3"/>
  <c r="AE226" i="3"/>
  <c r="AE246" i="3"/>
  <c r="AE266" i="3"/>
  <c r="AE290" i="3"/>
  <c r="AE310" i="3"/>
  <c r="AE330" i="3"/>
  <c r="AE15" i="3"/>
  <c r="AE35" i="3"/>
  <c r="AE55" i="3"/>
  <c r="AE79" i="3"/>
  <c r="AE99" i="3"/>
  <c r="AE119" i="3"/>
  <c r="AE143" i="3"/>
  <c r="AE163" i="3"/>
  <c r="AE183" i="3"/>
  <c r="AE207" i="3"/>
  <c r="AE227" i="3"/>
  <c r="AE247" i="3"/>
  <c r="AE271" i="3"/>
  <c r="AE291" i="3"/>
  <c r="AE28" i="3"/>
  <c r="AE76" i="3"/>
  <c r="AE116" i="3"/>
  <c r="AE148" i="3"/>
  <c r="AE180" i="3"/>
  <c r="AE212" i="3"/>
  <c r="AE244" i="3"/>
  <c r="AE276" i="3"/>
  <c r="AE304" i="3"/>
  <c r="AE325" i="3"/>
  <c r="AE345" i="3"/>
  <c r="AE361" i="3"/>
  <c r="AE377" i="3"/>
  <c r="AE393" i="3"/>
  <c r="AE409" i="3"/>
  <c r="AE425" i="3"/>
  <c r="AE441" i="3"/>
  <c r="AE457" i="3"/>
  <c r="AE473" i="3"/>
  <c r="AE489" i="3"/>
  <c r="AE505" i="3"/>
  <c r="AE521" i="3"/>
  <c r="AE537" i="3"/>
  <c r="AE553" i="3"/>
  <c r="AE569" i="3"/>
  <c r="AE585" i="3"/>
  <c r="AE601" i="3"/>
  <c r="AE617" i="3"/>
  <c r="AD2" i="3"/>
  <c r="AF2" i="3" s="1"/>
  <c r="AD18" i="3"/>
  <c r="AD34" i="3"/>
  <c r="AD50" i="3"/>
  <c r="AF50" i="3" s="1"/>
  <c r="AD66" i="3"/>
  <c r="AF66" i="3" s="1"/>
  <c r="AD82" i="3"/>
  <c r="AF82" i="3" s="1"/>
  <c r="AD98" i="3"/>
  <c r="AF98" i="3" s="1"/>
  <c r="AD114" i="3"/>
  <c r="AF114" i="3" s="1"/>
  <c r="AD130" i="3"/>
  <c r="AD146" i="3"/>
  <c r="AF146" i="3" s="1"/>
  <c r="AD162" i="3"/>
  <c r="AD178" i="3"/>
  <c r="AD194" i="3"/>
  <c r="AF194" i="3" s="1"/>
  <c r="AE5" i="3"/>
  <c r="AE48" i="3"/>
  <c r="AE89" i="3"/>
  <c r="AD357" i="3"/>
  <c r="AE85" i="3"/>
  <c r="AD7" i="3"/>
  <c r="AE6" i="3"/>
  <c r="AE114" i="3"/>
  <c r="AE198" i="3"/>
  <c r="AE282" i="3"/>
  <c r="AE31" i="3"/>
  <c r="AE115" i="3"/>
  <c r="AE199" i="3"/>
  <c r="AE287" i="3"/>
  <c r="AE140" i="3"/>
  <c r="AE268" i="3"/>
  <c r="AE357" i="3"/>
  <c r="AE421" i="3"/>
  <c r="AE485" i="3"/>
  <c r="AE549" i="3"/>
  <c r="AE613" i="3"/>
  <c r="AD46" i="3"/>
  <c r="AF46" i="3" s="1"/>
  <c r="AD110" i="3"/>
  <c r="AF110" i="3" s="1"/>
  <c r="AD174" i="3"/>
  <c r="AF174" i="3" s="1"/>
  <c r="AE37" i="3"/>
  <c r="AE112" i="3"/>
  <c r="AE153" i="3"/>
  <c r="AE197" i="3"/>
  <c r="AE240" i="3"/>
  <c r="AE281" i="3"/>
  <c r="AE316" i="3"/>
  <c r="AE343" i="3"/>
  <c r="AE364" i="3"/>
  <c r="AE386" i="3"/>
  <c r="AE407" i="3"/>
  <c r="AE428" i="3"/>
  <c r="AE450" i="3"/>
  <c r="AE471" i="3"/>
  <c r="AE492" i="3"/>
  <c r="AE514" i="3"/>
  <c r="AE535" i="3"/>
  <c r="AE556" i="3"/>
  <c r="AE578" i="3"/>
  <c r="AE599" i="3"/>
  <c r="AE620" i="3"/>
  <c r="AD11" i="3"/>
  <c r="AF11" i="3" s="1"/>
  <c r="AD32" i="3"/>
  <c r="AD53" i="3"/>
  <c r="AD75" i="3"/>
  <c r="AF75" i="3" s="1"/>
  <c r="AD96" i="3"/>
  <c r="AD117" i="3"/>
  <c r="AD139" i="3"/>
  <c r="AF139" i="3" s="1"/>
  <c r="AD160" i="3"/>
  <c r="AD181" i="3"/>
  <c r="AD203" i="3"/>
  <c r="AF203" i="3" s="1"/>
  <c r="AD220" i="3"/>
  <c r="AF220" i="3" s="1"/>
  <c r="AD236" i="3"/>
  <c r="AD252" i="3"/>
  <c r="AD268" i="3"/>
  <c r="AF268" i="3" s="1"/>
  <c r="AD284" i="3"/>
  <c r="AF284" i="3" s="1"/>
  <c r="AD300" i="3"/>
  <c r="AD316" i="3"/>
  <c r="AD332" i="3"/>
  <c r="AD348" i="3"/>
  <c r="AD364" i="3"/>
  <c r="AF364" i="3" s="1"/>
  <c r="AD380" i="3"/>
  <c r="AD396" i="3"/>
  <c r="AD412" i="3"/>
  <c r="AD428" i="3"/>
  <c r="AD444" i="3"/>
  <c r="AD460" i="3"/>
  <c r="AD476" i="3"/>
  <c r="AD492" i="3"/>
  <c r="AD508" i="3"/>
  <c r="AD524" i="3"/>
  <c r="AD540" i="3"/>
  <c r="AD556" i="3"/>
  <c r="AD572" i="3"/>
  <c r="AD588" i="3"/>
  <c r="AD604" i="3"/>
  <c r="AD620" i="3"/>
  <c r="AF620" i="3" s="1"/>
  <c r="AE8" i="3"/>
  <c r="AE49" i="3"/>
  <c r="AE93" i="3"/>
  <c r="AE136" i="3"/>
  <c r="AE177" i="3"/>
  <c r="AE221" i="3"/>
  <c r="AE264" i="3"/>
  <c r="AE303" i="3"/>
  <c r="AD563" i="3"/>
  <c r="AE362" i="3"/>
  <c r="AE297" i="3"/>
  <c r="AE38" i="3"/>
  <c r="AE134" i="3"/>
  <c r="AE218" i="3"/>
  <c r="AE306" i="3"/>
  <c r="AE51" i="3"/>
  <c r="AE135" i="3"/>
  <c r="AE223" i="3"/>
  <c r="AE20" i="3"/>
  <c r="AE172" i="3"/>
  <c r="AE299" i="3"/>
  <c r="AE373" i="3"/>
  <c r="AE437" i="3"/>
  <c r="AE501" i="3"/>
  <c r="AE565" i="3"/>
  <c r="AE629" i="3"/>
  <c r="AD62" i="3"/>
  <c r="AF62" i="3" s="1"/>
  <c r="AD126" i="3"/>
  <c r="AF126" i="3" s="1"/>
  <c r="AD190" i="3"/>
  <c r="AF190" i="3" s="1"/>
  <c r="AE69" i="3"/>
  <c r="AE121" i="3"/>
  <c r="AE165" i="3"/>
  <c r="AE208" i="3"/>
  <c r="AE249" i="3"/>
  <c r="AE293" i="3"/>
  <c r="AE323" i="3"/>
  <c r="AE348" i="3"/>
  <c r="AE370" i="3"/>
  <c r="AE391" i="3"/>
  <c r="AE412" i="3"/>
  <c r="AE434" i="3"/>
  <c r="AE455" i="3"/>
  <c r="AE476" i="3"/>
  <c r="AE498" i="3"/>
  <c r="AE519" i="3"/>
  <c r="AE540" i="3"/>
  <c r="AE562" i="3"/>
  <c r="AE583" i="3"/>
  <c r="AE604" i="3"/>
  <c r="AE626" i="3"/>
  <c r="AD16" i="3"/>
  <c r="AF16" i="3" s="1"/>
  <c r="AD37" i="3"/>
  <c r="AF37" i="3" s="1"/>
  <c r="AD59" i="3"/>
  <c r="AD80" i="3"/>
  <c r="AD101" i="3"/>
  <c r="AD123" i="3"/>
  <c r="AD144" i="3"/>
  <c r="AD165" i="3"/>
  <c r="AD187" i="3"/>
  <c r="AD208" i="3"/>
  <c r="AD224" i="3"/>
  <c r="AD240" i="3"/>
  <c r="AF240" i="3" s="1"/>
  <c r="AD256" i="3"/>
  <c r="AF256" i="3" s="1"/>
  <c r="AD272" i="3"/>
  <c r="AD288" i="3"/>
  <c r="AD304" i="3"/>
  <c r="AF304" i="3" s="1"/>
  <c r="AD320" i="3"/>
  <c r="AD336" i="3"/>
  <c r="AD352" i="3"/>
  <c r="AD368" i="3"/>
  <c r="AD384" i="3"/>
  <c r="AD400" i="3"/>
  <c r="AD416" i="3"/>
  <c r="AD432" i="3"/>
  <c r="AD448" i="3"/>
  <c r="AD464" i="3"/>
  <c r="AD480" i="3"/>
  <c r="AD496" i="3"/>
  <c r="AD512" i="3"/>
  <c r="AD528" i="3"/>
  <c r="AD544" i="3"/>
  <c r="AD560" i="3"/>
  <c r="AD576" i="3"/>
  <c r="AF576" i="3" s="1"/>
  <c r="AD592" i="3"/>
  <c r="AD608" i="3"/>
  <c r="AD624" i="3"/>
  <c r="AE17" i="3"/>
  <c r="AE61" i="3"/>
  <c r="AE104" i="3"/>
  <c r="AE145" i="3"/>
  <c r="AE189" i="3"/>
  <c r="AE232" i="3"/>
  <c r="AE273" i="3"/>
  <c r="AE311" i="3"/>
  <c r="AE339" i="3"/>
  <c r="AE360" i="3"/>
  <c r="AE382" i="3"/>
  <c r="AE403" i="3"/>
  <c r="AE424" i="3"/>
  <c r="AE446" i="3"/>
  <c r="AE467" i="3"/>
  <c r="AD163" i="3"/>
  <c r="AF163" i="3" s="1"/>
  <c r="AD302" i="3"/>
  <c r="AF302" i="3" s="1"/>
  <c r="AD271" i="3"/>
  <c r="AF271" i="3" s="1"/>
  <c r="AE90" i="3"/>
  <c r="AE178" i="3"/>
  <c r="AE262" i="3"/>
  <c r="AE7" i="3"/>
  <c r="AE95" i="3"/>
  <c r="AE179" i="3"/>
  <c r="AE263" i="3"/>
  <c r="AE108" i="3"/>
  <c r="AE236" i="3"/>
  <c r="AE341" i="3"/>
  <c r="AE405" i="3"/>
  <c r="AE469" i="3"/>
  <c r="AE533" i="3"/>
  <c r="AE597" i="3"/>
  <c r="AD30" i="3"/>
  <c r="AF30" i="3" s="1"/>
  <c r="AD94" i="3"/>
  <c r="AF94" i="3" s="1"/>
  <c r="AD158" i="3"/>
  <c r="AF158" i="3" s="1"/>
  <c r="AE25" i="3"/>
  <c r="AE101" i="3"/>
  <c r="AE144" i="3"/>
  <c r="AE185" i="3"/>
  <c r="AE229" i="3"/>
  <c r="AE272" i="3"/>
  <c r="AE308" i="3"/>
  <c r="AE337" i="3"/>
  <c r="AE359" i="3"/>
  <c r="AE380" i="3"/>
  <c r="AE402" i="3"/>
  <c r="AE423" i="3"/>
  <c r="AE444" i="3"/>
  <c r="AE466" i="3"/>
  <c r="AE487" i="3"/>
  <c r="AE508" i="3"/>
  <c r="AE530" i="3"/>
  <c r="AE551" i="3"/>
  <c r="AE572" i="3"/>
  <c r="AE594" i="3"/>
  <c r="AE615" i="3"/>
  <c r="AD5" i="3"/>
  <c r="AD27" i="3"/>
  <c r="AF27" i="3" s="1"/>
  <c r="AD48" i="3"/>
  <c r="AF48" i="3" s="1"/>
  <c r="AD69" i="3"/>
  <c r="AF69" i="3" s="1"/>
  <c r="AD91" i="3"/>
  <c r="AF91" i="3" s="1"/>
  <c r="AD112" i="3"/>
  <c r="AF112" i="3" s="1"/>
  <c r="AD133" i="3"/>
  <c r="AD155" i="3"/>
  <c r="AF155" i="3" s="1"/>
  <c r="AD176" i="3"/>
  <c r="AD197" i="3"/>
  <c r="AD216" i="3"/>
  <c r="AD232" i="3"/>
  <c r="AD248" i="3"/>
  <c r="AD264" i="3"/>
  <c r="AD280" i="3"/>
  <c r="AD296" i="3"/>
  <c r="AD312" i="3"/>
  <c r="AF312" i="3" s="1"/>
  <c r="AD328" i="3"/>
  <c r="AD344" i="3"/>
  <c r="AD360" i="3"/>
  <c r="AD376" i="3"/>
  <c r="AD392" i="3"/>
  <c r="AD408" i="3"/>
  <c r="AD424" i="3"/>
  <c r="AD440" i="3"/>
  <c r="AD456" i="3"/>
  <c r="AD472" i="3"/>
  <c r="AD488" i="3"/>
  <c r="AD504" i="3"/>
  <c r="AD520" i="3"/>
  <c r="AD536" i="3"/>
  <c r="AD552" i="3"/>
  <c r="AD568" i="3"/>
  <c r="AD584" i="3"/>
  <c r="AD600" i="3"/>
  <c r="AD616" i="3"/>
  <c r="AF616" i="3" s="1"/>
  <c r="AD632" i="3"/>
  <c r="AF632" i="3" s="1"/>
  <c r="AE40" i="3"/>
  <c r="AE81" i="3"/>
  <c r="AE125" i="3"/>
  <c r="AE168" i="3"/>
  <c r="AE209" i="3"/>
  <c r="AE253" i="3"/>
  <c r="AE296" i="3"/>
  <c r="AD393" i="3"/>
  <c r="AF393" i="3" s="1"/>
  <c r="AE154" i="3"/>
  <c r="AE159" i="3"/>
  <c r="AE320" i="3"/>
  <c r="AE581" i="3"/>
  <c r="AD206" i="3"/>
  <c r="AF206" i="3" s="1"/>
  <c r="AE217" i="3"/>
  <c r="AE354" i="3"/>
  <c r="AE439" i="3"/>
  <c r="AE524" i="3"/>
  <c r="AE610" i="3"/>
  <c r="AD64" i="3"/>
  <c r="AF64" i="3" s="1"/>
  <c r="AD149" i="3"/>
  <c r="AF149" i="3" s="1"/>
  <c r="AD228" i="3"/>
  <c r="AD292" i="3"/>
  <c r="AF292" i="3" s="1"/>
  <c r="AD356" i="3"/>
  <c r="AD420" i="3"/>
  <c r="AD484" i="3"/>
  <c r="AD548" i="3"/>
  <c r="AD612" i="3"/>
  <c r="AE113" i="3"/>
  <c r="AE285" i="3"/>
  <c r="AE344" i="3"/>
  <c r="AE371" i="3"/>
  <c r="AE398" i="3"/>
  <c r="AE430" i="3"/>
  <c r="AE456" i="3"/>
  <c r="AE483" i="3"/>
  <c r="AE504" i="3"/>
  <c r="AE526" i="3"/>
  <c r="AE547" i="3"/>
  <c r="AE568" i="3"/>
  <c r="AE590" i="3"/>
  <c r="AE611" i="3"/>
  <c r="AE73" i="3"/>
  <c r="AE160" i="3"/>
  <c r="AE245" i="3"/>
  <c r="AE319" i="3"/>
  <c r="AE367" i="3"/>
  <c r="AE410" i="3"/>
  <c r="AE452" i="3"/>
  <c r="AE495" i="3"/>
  <c r="AE538" i="3"/>
  <c r="AE580" i="3"/>
  <c r="AE619" i="3"/>
  <c r="AD17" i="3"/>
  <c r="AD45" i="3"/>
  <c r="AD73" i="3"/>
  <c r="AD103" i="3"/>
  <c r="AD131" i="3"/>
  <c r="AF131" i="3" s="1"/>
  <c r="AD159" i="3"/>
  <c r="AF159" i="3" s="1"/>
  <c r="AD188" i="3"/>
  <c r="AF188" i="3" s="1"/>
  <c r="AD214" i="3"/>
  <c r="AF214" i="3" s="1"/>
  <c r="AD235" i="3"/>
  <c r="AF235" i="3" s="1"/>
  <c r="AD257" i="3"/>
  <c r="AD278" i="3"/>
  <c r="AF278" i="3" s="1"/>
  <c r="AD299" i="3"/>
  <c r="AF299" i="3" s="1"/>
  <c r="AD321" i="3"/>
  <c r="AD342" i="3"/>
  <c r="AD363" i="3"/>
  <c r="AD385" i="3"/>
  <c r="AF385" i="3" s="1"/>
  <c r="AD406" i="3"/>
  <c r="AD427" i="3"/>
  <c r="AD449" i="3"/>
  <c r="AF449" i="3" s="1"/>
  <c r="AD470" i="3"/>
  <c r="AD491" i="3"/>
  <c r="AD513" i="3"/>
  <c r="AF513" i="3" s="1"/>
  <c r="AD534" i="3"/>
  <c r="AD555" i="3"/>
  <c r="AD577" i="3"/>
  <c r="AF577" i="3" s="1"/>
  <c r="AD598" i="3"/>
  <c r="AD619" i="3"/>
  <c r="AE33" i="3"/>
  <c r="AE120" i="3"/>
  <c r="AE205" i="3"/>
  <c r="AE289" i="3"/>
  <c r="AE347" i="3"/>
  <c r="AE390" i="3"/>
  <c r="AE432" i="3"/>
  <c r="AE475" i="3"/>
  <c r="AE518" i="3"/>
  <c r="AE560" i="3"/>
  <c r="AE603" i="3"/>
  <c r="AD4" i="3"/>
  <c r="AF4" i="3" s="1"/>
  <c r="AD33" i="3"/>
  <c r="AF33" i="3" s="1"/>
  <c r="AD61" i="3"/>
  <c r="AF61" i="3" s="1"/>
  <c r="AD89" i="3"/>
  <c r="AD119" i="3"/>
  <c r="AF119" i="3" s="1"/>
  <c r="AD147" i="3"/>
  <c r="AF147" i="3" s="1"/>
  <c r="AD175" i="3"/>
  <c r="AD204" i="3"/>
  <c r="AD226" i="3"/>
  <c r="AF226" i="3" s="1"/>
  <c r="AD247" i="3"/>
  <c r="AF247" i="3" s="1"/>
  <c r="AD269" i="3"/>
  <c r="AD290" i="3"/>
  <c r="AD311" i="3"/>
  <c r="AF311" i="3" s="1"/>
  <c r="AD333" i="3"/>
  <c r="AD354" i="3"/>
  <c r="AD375" i="3"/>
  <c r="AD397" i="3"/>
  <c r="AF397" i="3" s="1"/>
  <c r="AD418" i="3"/>
  <c r="AD439" i="3"/>
  <c r="AD461" i="3"/>
  <c r="AF461" i="3" s="1"/>
  <c r="AD482" i="3"/>
  <c r="AD503" i="3"/>
  <c r="AD525" i="3"/>
  <c r="AF525" i="3" s="1"/>
  <c r="AD546" i="3"/>
  <c r="AD567" i="3"/>
  <c r="AD589" i="3"/>
  <c r="AF589" i="3" s="1"/>
  <c r="AD610" i="3"/>
  <c r="AD631" i="3"/>
  <c r="AE88" i="3"/>
  <c r="AE173" i="3"/>
  <c r="AE257" i="3"/>
  <c r="AE328" i="3"/>
  <c r="AE374" i="3"/>
  <c r="AE416" i="3"/>
  <c r="AE459" i="3"/>
  <c r="AE502" i="3"/>
  <c r="AE544" i="3"/>
  <c r="AE587" i="3"/>
  <c r="AE624" i="3"/>
  <c r="AD23" i="3"/>
  <c r="AF23" i="3" s="1"/>
  <c r="AD51" i="3"/>
  <c r="AF51" i="3" s="1"/>
  <c r="AD79" i="3"/>
  <c r="AF79" i="3" s="1"/>
  <c r="AD108" i="3"/>
  <c r="AF108" i="3" s="1"/>
  <c r="AD136" i="3"/>
  <c r="AD164" i="3"/>
  <c r="AF164" i="3" s="1"/>
  <c r="AD193" i="3"/>
  <c r="AD218" i="3"/>
  <c r="AD239" i="3"/>
  <c r="AF239" i="3" s="1"/>
  <c r="AD261" i="3"/>
  <c r="AD607" i="3"/>
  <c r="AF607" i="3" s="1"/>
  <c r="AD565" i="3"/>
  <c r="AF565" i="3" s="1"/>
  <c r="AD522" i="3"/>
  <c r="AD479" i="3"/>
  <c r="AF479" i="3" s="1"/>
  <c r="AD437" i="3"/>
  <c r="AF437" i="3" s="1"/>
  <c r="AD394" i="3"/>
  <c r="AF394" i="3" s="1"/>
  <c r="AD351" i="3"/>
  <c r="AF351" i="3" s="1"/>
  <c r="AD309" i="3"/>
  <c r="AF309" i="3" s="1"/>
  <c r="AD265" i="3"/>
  <c r="AD169" i="3"/>
  <c r="AF169" i="3" s="1"/>
  <c r="AD56" i="3"/>
  <c r="AF56" i="3" s="1"/>
  <c r="AE554" i="3"/>
  <c r="AE383" i="3"/>
  <c r="AE105" i="3"/>
  <c r="AD485" i="3"/>
  <c r="AD78" i="3"/>
  <c r="AF78" i="3" s="1"/>
  <c r="AE133" i="3"/>
  <c r="AE396" i="3"/>
  <c r="AE567" i="3"/>
  <c r="AD107" i="3"/>
  <c r="AF107" i="3" s="1"/>
  <c r="AD260" i="3"/>
  <c r="AF260" i="3" s="1"/>
  <c r="AD388" i="3"/>
  <c r="AD516" i="3"/>
  <c r="AE29" i="3"/>
  <c r="AE324" i="3"/>
  <c r="AE414" i="3"/>
  <c r="AE536" i="3"/>
  <c r="AE600" i="3"/>
  <c r="AE117" i="3"/>
  <c r="AE346" i="3"/>
  <c r="AE559" i="3"/>
  <c r="AD60" i="3"/>
  <c r="AF60" i="3" s="1"/>
  <c r="AD116" i="3"/>
  <c r="AF116" i="3" s="1"/>
  <c r="AD201" i="3"/>
  <c r="AD267" i="3"/>
  <c r="AF267" i="3" s="1"/>
  <c r="AD353" i="3"/>
  <c r="AF353" i="3" s="1"/>
  <c r="AD417" i="3"/>
  <c r="AF417" i="3" s="1"/>
  <c r="AD502" i="3"/>
  <c r="AD473" i="3"/>
  <c r="AF473" i="3" s="1"/>
  <c r="AE242" i="3"/>
  <c r="AE243" i="3"/>
  <c r="AE389" i="3"/>
  <c r="AD14" i="3"/>
  <c r="AF14" i="3" s="1"/>
  <c r="AE80" i="3"/>
  <c r="AE261" i="3"/>
  <c r="AE375" i="3"/>
  <c r="AE460" i="3"/>
  <c r="AE546" i="3"/>
  <c r="AE631" i="3"/>
  <c r="AD85" i="3"/>
  <c r="AF85" i="3" s="1"/>
  <c r="AD171" i="3"/>
  <c r="AF171" i="3" s="1"/>
  <c r="AD244" i="3"/>
  <c r="AF244" i="3" s="1"/>
  <c r="AD308" i="3"/>
  <c r="AD372" i="3"/>
  <c r="AF372" i="3" s="1"/>
  <c r="AD436" i="3"/>
  <c r="AF436" i="3" s="1"/>
  <c r="AD500" i="3"/>
  <c r="AF500" i="3" s="1"/>
  <c r="AD564" i="3"/>
  <c r="AF564" i="3" s="1"/>
  <c r="AD628" i="3"/>
  <c r="AE157" i="3"/>
  <c r="AE317" i="3"/>
  <c r="AE350" i="3"/>
  <c r="AE376" i="3"/>
  <c r="AE408" i="3"/>
  <c r="AE435" i="3"/>
  <c r="AE462" i="3"/>
  <c r="AE488" i="3"/>
  <c r="AE510" i="3"/>
  <c r="AE531" i="3"/>
  <c r="AE552" i="3"/>
  <c r="AE574" i="3"/>
  <c r="AE595" i="3"/>
  <c r="AE9" i="3"/>
  <c r="AE96" i="3"/>
  <c r="AE181" i="3"/>
  <c r="AE265" i="3"/>
  <c r="AE333" i="3"/>
  <c r="AE378" i="3"/>
  <c r="AE420" i="3"/>
  <c r="AE463" i="3"/>
  <c r="AE506" i="3"/>
  <c r="AE548" i="3"/>
  <c r="AE591" i="3"/>
  <c r="AE627" i="3"/>
  <c r="AD24" i="3"/>
  <c r="AD52" i="3"/>
  <c r="AF52" i="3" s="1"/>
  <c r="AD81" i="3"/>
  <c r="AF81" i="3" s="1"/>
  <c r="AD109" i="3"/>
  <c r="AD137" i="3"/>
  <c r="AD167" i="3"/>
  <c r="AF167" i="3" s="1"/>
  <c r="AD195" i="3"/>
  <c r="AF195" i="3" s="1"/>
  <c r="AD219" i="3"/>
  <c r="AF219" i="3" s="1"/>
  <c r="AD241" i="3"/>
  <c r="AD262" i="3"/>
  <c r="AF262" i="3" s="1"/>
  <c r="AD283" i="3"/>
  <c r="AF283" i="3" s="1"/>
  <c r="AD305" i="3"/>
  <c r="AD326" i="3"/>
  <c r="AD347" i="3"/>
  <c r="AF347" i="3" s="1"/>
  <c r="AD369" i="3"/>
  <c r="AF369" i="3" s="1"/>
  <c r="AD390" i="3"/>
  <c r="AF390" i="3" s="1"/>
  <c r="AD411" i="3"/>
  <c r="AD433" i="3"/>
  <c r="AF433" i="3" s="1"/>
  <c r="AD454" i="3"/>
  <c r="AD475" i="3"/>
  <c r="AD497" i="3"/>
  <c r="AF497" i="3" s="1"/>
  <c r="AD518" i="3"/>
  <c r="AF518" i="3" s="1"/>
  <c r="AD539" i="3"/>
  <c r="AD561" i="3"/>
  <c r="AF561" i="3" s="1"/>
  <c r="AD582" i="3"/>
  <c r="AD603" i="3"/>
  <c r="AF603" i="3" s="1"/>
  <c r="AD625" i="3"/>
  <c r="AF625" i="3" s="1"/>
  <c r="AE56" i="3"/>
  <c r="AE141" i="3"/>
  <c r="AE225" i="3"/>
  <c r="AE307" i="3"/>
  <c r="AE358" i="3"/>
  <c r="AE400" i="3"/>
  <c r="AE443" i="3"/>
  <c r="AE486" i="3"/>
  <c r="AE528" i="3"/>
  <c r="AE571" i="3"/>
  <c r="AE614" i="3"/>
  <c r="AD12" i="3"/>
  <c r="AF12" i="3" s="1"/>
  <c r="AD40" i="3"/>
  <c r="AD68" i="3"/>
  <c r="AF68" i="3" s="1"/>
  <c r="AD97" i="3"/>
  <c r="AD125" i="3"/>
  <c r="AD153" i="3"/>
  <c r="AD183" i="3"/>
  <c r="AF183" i="3" s="1"/>
  <c r="AD210" i="3"/>
  <c r="AF210" i="3" s="1"/>
  <c r="AD231" i="3"/>
  <c r="AF231" i="3" s="1"/>
  <c r="AD253" i="3"/>
  <c r="AF253" i="3" s="1"/>
  <c r="AD274" i="3"/>
  <c r="AF274" i="3" s="1"/>
  <c r="AD295" i="3"/>
  <c r="AF295" i="3" s="1"/>
  <c r="AD317" i="3"/>
  <c r="AD338" i="3"/>
  <c r="AF338" i="3" s="1"/>
  <c r="AD359" i="3"/>
  <c r="AF359" i="3" s="1"/>
  <c r="AD381" i="3"/>
  <c r="AF381" i="3" s="1"/>
  <c r="AD402" i="3"/>
  <c r="AF402" i="3" s="1"/>
  <c r="AD423" i="3"/>
  <c r="AF423" i="3" s="1"/>
  <c r="AD445" i="3"/>
  <c r="AF445" i="3" s="1"/>
  <c r="AD466" i="3"/>
  <c r="AF466" i="3" s="1"/>
  <c r="AD487" i="3"/>
  <c r="AF487" i="3" s="1"/>
  <c r="AD509" i="3"/>
  <c r="AF509" i="3" s="1"/>
  <c r="AD530" i="3"/>
  <c r="AF530" i="3" s="1"/>
  <c r="AD551" i="3"/>
  <c r="AF551" i="3" s="1"/>
  <c r="AD573" i="3"/>
  <c r="AF573" i="3" s="1"/>
  <c r="AD594" i="3"/>
  <c r="AF594" i="3" s="1"/>
  <c r="AD615" i="3"/>
  <c r="AF615" i="3" s="1"/>
  <c r="AE24" i="3"/>
  <c r="AE109" i="3"/>
  <c r="AE193" i="3"/>
  <c r="AE280" i="3"/>
  <c r="AE342" i="3"/>
  <c r="AE384" i="3"/>
  <c r="AE427" i="3"/>
  <c r="AE470" i="3"/>
  <c r="AE512" i="3"/>
  <c r="AE555" i="3"/>
  <c r="AE598" i="3"/>
  <c r="AE632" i="3"/>
  <c r="AD29" i="3"/>
  <c r="AD57" i="3"/>
  <c r="AF57" i="3" s="1"/>
  <c r="AD87" i="3"/>
  <c r="AF87" i="3" s="1"/>
  <c r="AD115" i="3"/>
  <c r="AF115" i="3" s="1"/>
  <c r="AD143" i="3"/>
  <c r="AF143" i="3" s="1"/>
  <c r="AD172" i="3"/>
  <c r="AF172" i="3" s="1"/>
  <c r="AD200" i="3"/>
  <c r="AD223" i="3"/>
  <c r="AF223" i="3" s="1"/>
  <c r="AD245" i="3"/>
  <c r="AF245" i="3" s="1"/>
  <c r="AD266" i="3"/>
  <c r="AF266" i="3" s="1"/>
  <c r="AD597" i="3"/>
  <c r="AD554" i="3"/>
  <c r="AF554" i="3" s="1"/>
  <c r="AD511" i="3"/>
  <c r="AD469" i="3"/>
  <c r="AF469" i="3" s="1"/>
  <c r="AD426" i="3"/>
  <c r="AD383" i="3"/>
  <c r="AD341" i="3"/>
  <c r="AD298" i="3"/>
  <c r="AF298" i="3" s="1"/>
  <c r="AD243" i="3"/>
  <c r="AF243" i="3" s="1"/>
  <c r="AD141" i="3"/>
  <c r="AF141" i="3" s="1"/>
  <c r="AD28" i="3"/>
  <c r="AF28" i="3" s="1"/>
  <c r="AE511" i="3"/>
  <c r="AE340" i="3"/>
  <c r="AE21" i="3"/>
  <c r="AE60" i="3"/>
  <c r="AE355" i="3"/>
  <c r="AE472" i="3"/>
  <c r="AE515" i="3"/>
  <c r="AE558" i="3"/>
  <c r="AE32" i="3"/>
  <c r="AE288" i="3"/>
  <c r="AE431" i="3"/>
  <c r="AE516" i="3"/>
  <c r="AE602" i="3"/>
  <c r="AD3" i="3"/>
  <c r="AF3" i="3" s="1"/>
  <c r="AD88" i="3"/>
  <c r="AF88" i="3" s="1"/>
  <c r="AD173" i="3"/>
  <c r="AF173" i="3" s="1"/>
  <c r="AD246" i="3"/>
  <c r="AF246" i="3" s="1"/>
  <c r="AD310" i="3"/>
  <c r="AF310" i="3" s="1"/>
  <c r="AD374" i="3"/>
  <c r="AF374" i="3" s="1"/>
  <c r="AD438" i="3"/>
  <c r="AD481" i="3"/>
  <c r="AF481" i="3" s="1"/>
  <c r="AE70" i="3"/>
  <c r="AE71" i="3"/>
  <c r="AE204" i="3"/>
  <c r="AE517" i="3"/>
  <c r="AD142" i="3"/>
  <c r="AF142" i="3" s="1"/>
  <c r="AE176" i="3"/>
  <c r="AE329" i="3"/>
  <c r="AE418" i="3"/>
  <c r="AE503" i="3"/>
  <c r="AE588" i="3"/>
  <c r="AD43" i="3"/>
  <c r="AF43" i="3" s="1"/>
  <c r="AD128" i="3"/>
  <c r="AF128" i="3" s="1"/>
  <c r="AD212" i="3"/>
  <c r="AF212" i="3" s="1"/>
  <c r="AD276" i="3"/>
  <c r="AF276" i="3" s="1"/>
  <c r="AD340" i="3"/>
  <c r="AD404" i="3"/>
  <c r="AF404" i="3" s="1"/>
  <c r="AD468" i="3"/>
  <c r="AD532" i="3"/>
  <c r="AF532" i="3" s="1"/>
  <c r="AD596" i="3"/>
  <c r="AE72" i="3"/>
  <c r="AE241" i="3"/>
  <c r="AE332" i="3"/>
  <c r="AE366" i="3"/>
  <c r="AE392" i="3"/>
  <c r="AE419" i="3"/>
  <c r="AE451" i="3"/>
  <c r="AE478" i="3"/>
  <c r="AE499" i="3"/>
  <c r="AE520" i="3"/>
  <c r="AE542" i="3"/>
  <c r="AE563" i="3"/>
  <c r="AE584" i="3"/>
  <c r="AE606" i="3"/>
  <c r="AE53" i="3"/>
  <c r="AE137" i="3"/>
  <c r="AE224" i="3"/>
  <c r="AE305" i="3"/>
  <c r="AE356" i="3"/>
  <c r="AE399" i="3"/>
  <c r="AE442" i="3"/>
  <c r="AE484" i="3"/>
  <c r="AE527" i="3"/>
  <c r="AE570" i="3"/>
  <c r="AE612" i="3"/>
  <c r="AD9" i="3"/>
  <c r="AD39" i="3"/>
  <c r="AF39" i="3" s="1"/>
  <c r="AD67" i="3"/>
  <c r="AF67" i="3" s="1"/>
  <c r="AD95" i="3"/>
  <c r="AF95" i="3" s="1"/>
  <c r="AD124" i="3"/>
  <c r="AF124" i="3" s="1"/>
  <c r="AD152" i="3"/>
  <c r="AD180" i="3"/>
  <c r="AF180" i="3" s="1"/>
  <c r="AD209" i="3"/>
  <c r="AF209" i="3" s="1"/>
  <c r="AD230" i="3"/>
  <c r="AF230" i="3" s="1"/>
  <c r="AD251" i="3"/>
  <c r="AF251" i="3" s="1"/>
  <c r="AD273" i="3"/>
  <c r="AF273" i="3" s="1"/>
  <c r="AD294" i="3"/>
  <c r="AF294" i="3" s="1"/>
  <c r="AD315" i="3"/>
  <c r="AF315" i="3" s="1"/>
  <c r="AD337" i="3"/>
  <c r="AF337" i="3" s="1"/>
  <c r="AD358" i="3"/>
  <c r="AD379" i="3"/>
  <c r="AD401" i="3"/>
  <c r="AF401" i="3" s="1"/>
  <c r="AD422" i="3"/>
  <c r="AD443" i="3"/>
  <c r="AF443" i="3" s="1"/>
  <c r="AD465" i="3"/>
  <c r="AF465" i="3" s="1"/>
  <c r="AD486" i="3"/>
  <c r="AD507" i="3"/>
  <c r="AD529" i="3"/>
  <c r="AF529" i="3" s="1"/>
  <c r="AD550" i="3"/>
  <c r="AD571" i="3"/>
  <c r="AD593" i="3"/>
  <c r="AF593" i="3" s="1"/>
  <c r="AD614" i="3"/>
  <c r="AF614" i="3" s="1"/>
  <c r="AE13" i="3"/>
  <c r="AE97" i="3"/>
  <c r="AE184" i="3"/>
  <c r="AE269" i="3"/>
  <c r="AE335" i="3"/>
  <c r="AE379" i="3"/>
  <c r="AE422" i="3"/>
  <c r="AE464" i="3"/>
  <c r="AE507" i="3"/>
  <c r="AE550" i="3"/>
  <c r="AE592" i="3"/>
  <c r="AE628" i="3"/>
  <c r="AD25" i="3"/>
  <c r="AD55" i="3"/>
  <c r="AF55" i="3" s="1"/>
  <c r="AD83" i="3"/>
  <c r="AF83" i="3" s="1"/>
  <c r="AD111" i="3"/>
  <c r="AF111" i="3" s="1"/>
  <c r="AD140" i="3"/>
  <c r="AF140" i="3" s="1"/>
  <c r="AD168" i="3"/>
  <c r="AF168" i="3" s="1"/>
  <c r="AD196" i="3"/>
  <c r="AF196" i="3" s="1"/>
  <c r="AD221" i="3"/>
  <c r="AD242" i="3"/>
  <c r="AD263" i="3"/>
  <c r="AF263" i="3" s="1"/>
  <c r="AD285" i="3"/>
  <c r="AF285" i="3" s="1"/>
  <c r="AD306" i="3"/>
  <c r="AF306" i="3" s="1"/>
  <c r="AD327" i="3"/>
  <c r="AF327" i="3" s="1"/>
  <c r="AD349" i="3"/>
  <c r="AF349" i="3" s="1"/>
  <c r="AD370" i="3"/>
  <c r="AF370" i="3" s="1"/>
  <c r="AD391" i="3"/>
  <c r="AF391" i="3" s="1"/>
  <c r="AD413" i="3"/>
  <c r="AF413" i="3" s="1"/>
  <c r="AD434" i="3"/>
  <c r="AF434" i="3" s="1"/>
  <c r="AD455" i="3"/>
  <c r="AF455" i="3" s="1"/>
  <c r="AD477" i="3"/>
  <c r="AF477" i="3" s="1"/>
  <c r="AD498" i="3"/>
  <c r="AF498" i="3" s="1"/>
  <c r="AD519" i="3"/>
  <c r="AF519" i="3" s="1"/>
  <c r="AD541" i="3"/>
  <c r="AF541" i="3" s="1"/>
  <c r="AD562" i="3"/>
  <c r="AF562" i="3" s="1"/>
  <c r="AD583" i="3"/>
  <c r="AF583" i="3" s="1"/>
  <c r="AD605" i="3"/>
  <c r="AF605" i="3" s="1"/>
  <c r="AD626" i="3"/>
  <c r="AF626" i="3" s="1"/>
  <c r="AE65" i="3"/>
  <c r="AE152" i="3"/>
  <c r="AE237" i="3"/>
  <c r="AE313" i="3"/>
  <c r="AE363" i="3"/>
  <c r="AE406" i="3"/>
  <c r="AE448" i="3"/>
  <c r="AE491" i="3"/>
  <c r="AE534" i="3"/>
  <c r="AE576" i="3"/>
  <c r="AE618" i="3"/>
  <c r="AD15" i="3"/>
  <c r="AF15" i="3" s="1"/>
  <c r="AD44" i="3"/>
  <c r="AF44" i="3" s="1"/>
  <c r="AD72" i="3"/>
  <c r="AF72" i="3" s="1"/>
  <c r="AD100" i="3"/>
  <c r="AF100" i="3" s="1"/>
  <c r="AD129" i="3"/>
  <c r="AD157" i="3"/>
  <c r="AF157" i="3" s="1"/>
  <c r="AD185" i="3"/>
  <c r="AF185" i="3" s="1"/>
  <c r="AD213" i="3"/>
  <c r="AF213" i="3" s="1"/>
  <c r="AD234" i="3"/>
  <c r="AF234" i="3" s="1"/>
  <c r="AD255" i="3"/>
  <c r="AF255" i="3" s="1"/>
  <c r="AD618" i="3"/>
  <c r="AD575" i="3"/>
  <c r="AF575" i="3" s="1"/>
  <c r="AD533" i="3"/>
  <c r="AF533" i="3" s="1"/>
  <c r="AD490" i="3"/>
  <c r="AF490" i="3" s="1"/>
  <c r="AD447" i="3"/>
  <c r="AF447" i="3" s="1"/>
  <c r="AD405" i="3"/>
  <c r="AF405" i="3" s="1"/>
  <c r="AD362" i="3"/>
  <c r="AF362" i="3" s="1"/>
  <c r="AD319" i="3"/>
  <c r="AD277" i="3"/>
  <c r="AD199" i="3"/>
  <c r="AF199" i="3" s="1"/>
  <c r="AD84" i="3"/>
  <c r="AF84" i="3" s="1"/>
  <c r="AE596" i="3"/>
  <c r="AE426" i="3"/>
  <c r="AE192" i="3"/>
  <c r="AE326" i="3"/>
  <c r="AE453" i="3"/>
  <c r="AE301" i="3"/>
  <c r="AE482" i="3"/>
  <c r="AD21" i="3"/>
  <c r="AF21" i="3" s="1"/>
  <c r="AD192" i="3"/>
  <c r="AD324" i="3"/>
  <c r="AF324" i="3" s="1"/>
  <c r="AD452" i="3"/>
  <c r="AF452" i="3" s="1"/>
  <c r="AD580" i="3"/>
  <c r="AF580" i="3" s="1"/>
  <c r="AE200" i="3"/>
  <c r="AE387" i="3"/>
  <c r="AE440" i="3"/>
  <c r="AE494" i="3"/>
  <c r="AE579" i="3"/>
  <c r="AE201" i="3"/>
  <c r="AE388" i="3"/>
  <c r="AE474" i="3"/>
  <c r="AD31" i="3"/>
  <c r="AF31" i="3" s="1"/>
  <c r="AD145" i="3"/>
  <c r="AD225" i="3"/>
  <c r="AF225" i="3" s="1"/>
  <c r="AD289" i="3"/>
  <c r="AF289" i="3" s="1"/>
  <c r="AD331" i="3"/>
  <c r="AF331" i="3" s="1"/>
  <c r="AD395" i="3"/>
  <c r="AD459" i="3"/>
  <c r="AF459" i="3" s="1"/>
  <c r="AD523" i="3"/>
  <c r="AD609" i="3"/>
  <c r="AF609" i="3" s="1"/>
  <c r="AE248" i="3"/>
  <c r="AE454" i="3"/>
  <c r="AE622" i="3"/>
  <c r="AD104" i="3"/>
  <c r="AF104" i="3" s="1"/>
  <c r="AD215" i="3"/>
  <c r="AF215" i="3" s="1"/>
  <c r="AD301" i="3"/>
  <c r="AD386" i="3"/>
  <c r="AF386" i="3" s="1"/>
  <c r="AD471" i="3"/>
  <c r="AF471" i="3" s="1"/>
  <c r="AD557" i="3"/>
  <c r="AF557" i="3" s="1"/>
  <c r="AE45" i="3"/>
  <c r="AE352" i="3"/>
  <c r="AE523" i="3"/>
  <c r="AD36" i="3"/>
  <c r="AF36" i="3" s="1"/>
  <c r="AD151" i="3"/>
  <c r="AF151" i="3" s="1"/>
  <c r="AD250" i="3"/>
  <c r="AF250" i="3" s="1"/>
  <c r="AD501" i="3"/>
  <c r="AF501" i="3" s="1"/>
  <c r="AD330" i="3"/>
  <c r="AF330" i="3" s="1"/>
  <c r="AE630" i="3"/>
  <c r="AE77" i="3"/>
  <c r="AE539" i="3"/>
  <c r="AD47" i="3"/>
  <c r="AF47" i="3" s="1"/>
  <c r="AD258" i="3"/>
  <c r="AF258" i="3" s="1"/>
  <c r="AD429" i="3"/>
  <c r="AF429" i="3" s="1"/>
  <c r="AD599" i="3"/>
  <c r="AF599" i="3" s="1"/>
  <c r="AE438" i="3"/>
  <c r="AD93" i="3"/>
  <c r="AF93" i="3" s="1"/>
  <c r="AD586" i="3"/>
  <c r="AF586" i="3" s="1"/>
  <c r="AD222" i="3"/>
  <c r="AF222" i="3" s="1"/>
  <c r="AD545" i="3"/>
  <c r="AF545" i="3" s="1"/>
  <c r="AD630" i="3"/>
  <c r="AF630" i="3" s="1"/>
  <c r="AE321" i="3"/>
  <c r="AE496" i="3"/>
  <c r="AD19" i="3"/>
  <c r="AF19" i="3" s="1"/>
  <c r="AD132" i="3"/>
  <c r="AF132" i="3" s="1"/>
  <c r="AD237" i="3"/>
  <c r="AD322" i="3"/>
  <c r="AF322" i="3" s="1"/>
  <c r="AD407" i="3"/>
  <c r="AF407" i="3" s="1"/>
  <c r="AD493" i="3"/>
  <c r="AF493" i="3" s="1"/>
  <c r="AD578" i="3"/>
  <c r="AF578" i="3" s="1"/>
  <c r="AE129" i="3"/>
  <c r="AE395" i="3"/>
  <c r="AE566" i="3"/>
  <c r="AD65" i="3"/>
  <c r="AD179" i="3"/>
  <c r="AF179" i="3" s="1"/>
  <c r="AD629" i="3"/>
  <c r="AF629" i="3" s="1"/>
  <c r="AD458" i="3"/>
  <c r="AF458" i="3" s="1"/>
  <c r="AD287" i="3"/>
  <c r="AF287" i="3" s="1"/>
  <c r="AE468" i="3"/>
  <c r="AD566" i="3"/>
  <c r="AE368" i="3"/>
  <c r="AD161" i="3"/>
  <c r="AD343" i="3"/>
  <c r="AF343" i="3" s="1"/>
  <c r="AD514" i="3"/>
  <c r="AF514" i="3" s="1"/>
  <c r="AE216" i="3"/>
  <c r="AE608" i="3"/>
  <c r="AD207" i="3"/>
  <c r="AF207" i="3" s="1"/>
  <c r="AD415" i="3"/>
  <c r="AF415" i="3" s="1"/>
  <c r="AE277" i="3"/>
  <c r="AD587" i="3"/>
  <c r="AF587" i="3" s="1"/>
  <c r="AE161" i="3"/>
  <c r="AE411" i="3"/>
  <c r="AE582" i="3"/>
  <c r="AD76" i="3"/>
  <c r="AF76" i="3" s="1"/>
  <c r="AD189" i="3"/>
  <c r="AF189" i="3" s="1"/>
  <c r="AD279" i="3"/>
  <c r="AF279" i="3" s="1"/>
  <c r="AD365" i="3"/>
  <c r="AF365" i="3" s="1"/>
  <c r="AD450" i="3"/>
  <c r="AF450" i="3" s="1"/>
  <c r="AD535" i="3"/>
  <c r="AF535" i="3" s="1"/>
  <c r="AD621" i="3"/>
  <c r="AF621" i="3" s="1"/>
  <c r="AE300" i="3"/>
  <c r="AE480" i="3"/>
  <c r="AD8" i="3"/>
  <c r="AF8" i="3" s="1"/>
  <c r="AD121" i="3"/>
  <c r="AF121" i="3" s="1"/>
  <c r="AD229" i="3"/>
  <c r="AF229" i="3" s="1"/>
  <c r="AD543" i="3"/>
  <c r="AF543" i="3" s="1"/>
  <c r="AD373" i="3"/>
  <c r="AF373" i="3" s="1"/>
  <c r="AD113" i="3"/>
  <c r="AF113" i="3" s="1"/>
  <c r="AF383" i="3" l="1"/>
  <c r="AF619" i="3"/>
  <c r="AF424" i="3"/>
  <c r="AF197" i="3"/>
  <c r="AF610" i="3"/>
  <c r="AF502" i="3"/>
  <c r="AF17" i="3"/>
  <c r="AF264" i="3"/>
  <c r="AF428" i="3"/>
  <c r="AF237" i="3"/>
  <c r="AF358" i="3"/>
  <c r="AF65" i="3"/>
  <c r="AF24" i="3"/>
  <c r="AF261" i="3"/>
  <c r="AF567" i="3"/>
  <c r="AF73" i="3"/>
  <c r="AF618" i="3"/>
  <c r="AF208" i="3"/>
  <c r="AF211" i="3"/>
  <c r="AF145" i="3"/>
  <c r="AF360" i="3"/>
  <c r="AF232" i="3"/>
  <c r="AF165" i="3"/>
  <c r="AF486" i="3"/>
  <c r="AF40" i="3"/>
  <c r="AF136" i="3"/>
  <c r="AF34" i="3"/>
  <c r="AF319" i="3"/>
  <c r="AF308" i="3"/>
  <c r="AF5" i="3"/>
  <c r="AF130" i="3"/>
  <c r="AF507" i="3"/>
  <c r="AF152" i="3"/>
  <c r="AF241" i="3"/>
  <c r="AF560" i="3"/>
  <c r="AF432" i="3"/>
  <c r="AF524" i="3"/>
  <c r="AF345" i="3"/>
  <c r="AF556" i="3"/>
  <c r="AF340" i="3"/>
  <c r="AF161" i="3"/>
  <c r="AF523" i="3"/>
  <c r="AF582" i="3"/>
  <c r="AF411" i="3"/>
  <c r="AF137" i="3"/>
  <c r="AF482" i="3"/>
  <c r="AF534" i="3"/>
  <c r="AF363" i="3"/>
  <c r="AF612" i="3"/>
  <c r="AF552" i="3"/>
  <c r="AF488" i="3"/>
  <c r="AF624" i="3"/>
  <c r="AF460" i="3"/>
  <c r="AF396" i="3"/>
  <c r="AF117" i="3"/>
  <c r="AF154" i="3"/>
  <c r="AF90" i="3"/>
  <c r="AF303" i="3"/>
  <c r="AF38" i="3"/>
  <c r="AF505" i="3"/>
  <c r="AF99" i="3"/>
  <c r="AF421" i="3"/>
  <c r="AF409" i="3"/>
  <c r="AF129" i="3"/>
  <c r="AF138" i="3"/>
  <c r="AF550" i="3"/>
  <c r="AF379" i="3"/>
  <c r="AF439" i="3"/>
  <c r="AF456" i="3"/>
  <c r="AF272" i="3"/>
  <c r="AF356" i="3"/>
  <c r="AF296" i="3"/>
  <c r="AF496" i="3"/>
  <c r="AF368" i="3"/>
  <c r="AF80" i="3"/>
  <c r="AF588" i="3"/>
  <c r="AF332" i="3"/>
  <c r="AF32" i="3"/>
  <c r="AF178" i="3"/>
  <c r="AF517" i="3"/>
  <c r="AF259" i="3"/>
  <c r="AF148" i="3"/>
  <c r="AF425" i="3"/>
  <c r="AF595" i="3"/>
  <c r="AF463" i="3"/>
  <c r="AF313" i="3"/>
  <c r="AF483" i="3"/>
  <c r="AF191" i="3"/>
  <c r="AF403" i="3"/>
  <c r="AF574" i="3"/>
  <c r="AF389" i="3"/>
  <c r="AF205" i="3"/>
  <c r="AF579" i="3"/>
  <c r="AF442" i="3"/>
  <c r="AF329" i="3"/>
  <c r="AF499" i="3"/>
  <c r="AF422" i="3"/>
  <c r="AF326" i="3"/>
  <c r="AF301" i="3"/>
  <c r="AF571" i="3"/>
  <c r="AF9" i="3"/>
  <c r="AF468" i="3"/>
  <c r="AF426" i="3"/>
  <c r="AF597" i="3"/>
  <c r="AF200" i="3"/>
  <c r="AF153" i="3"/>
  <c r="AF475" i="3"/>
  <c r="AF305" i="3"/>
  <c r="AF109" i="3"/>
  <c r="AF516" i="3"/>
  <c r="AF485" i="3"/>
  <c r="AF522" i="3"/>
  <c r="AF631" i="3"/>
  <c r="AF546" i="3"/>
  <c r="AF375" i="3"/>
  <c r="AF290" i="3"/>
  <c r="AF204" i="3"/>
  <c r="AF89" i="3"/>
  <c r="AF598" i="3"/>
  <c r="AF427" i="3"/>
  <c r="AF342" i="3"/>
  <c r="AF257" i="3"/>
  <c r="AF45" i="3"/>
  <c r="AF548" i="3"/>
  <c r="AF600" i="3"/>
  <c r="AF536" i="3"/>
  <c r="AF472" i="3"/>
  <c r="AF408" i="3"/>
  <c r="AF344" i="3"/>
  <c r="AF280" i="3"/>
  <c r="AF216" i="3"/>
  <c r="AF133" i="3"/>
  <c r="AF608" i="3"/>
  <c r="AF544" i="3"/>
  <c r="AF480" i="3"/>
  <c r="AF416" i="3"/>
  <c r="AF352" i="3"/>
  <c r="AF288" i="3"/>
  <c r="AF224" i="3"/>
  <c r="AF144" i="3"/>
  <c r="AF59" i="3"/>
  <c r="AF563" i="3"/>
  <c r="AF572" i="3"/>
  <c r="AF508" i="3"/>
  <c r="AF444" i="3"/>
  <c r="AF380" i="3"/>
  <c r="AF316" i="3"/>
  <c r="AF252" i="3"/>
  <c r="AF181" i="3"/>
  <c r="AF96" i="3"/>
  <c r="AF7" i="3"/>
  <c r="AF162" i="3"/>
  <c r="AF71" i="3"/>
  <c r="AF249" i="3"/>
  <c r="AF49" i="3"/>
  <c r="AF202" i="3"/>
  <c r="AF74" i="3"/>
  <c r="AF495" i="3"/>
  <c r="AF515" i="3"/>
  <c r="AF435" i="3"/>
  <c r="AF150" i="3"/>
  <c r="AF86" i="3"/>
  <c r="AF378" i="3"/>
  <c r="AF387" i="3"/>
  <c r="AF307" i="3"/>
  <c r="AF120" i="3"/>
  <c r="AF377" i="3"/>
  <c r="AF547" i="3"/>
  <c r="AF325" i="3"/>
  <c r="AF297" i="3"/>
  <c r="AF467" i="3"/>
  <c r="AF602" i="3"/>
  <c r="AF527" i="3"/>
  <c r="AF63" i="3"/>
  <c r="AF355" i="3"/>
  <c r="AF526" i="3"/>
  <c r="AF254" i="3"/>
  <c r="AF275" i="3"/>
  <c r="AF446" i="3"/>
  <c r="AF617" i="3"/>
  <c r="AF538" i="3"/>
  <c r="AF346" i="3"/>
  <c r="AF281" i="3"/>
  <c r="AF451" i="3"/>
  <c r="AF622" i="3"/>
  <c r="AF591" i="3"/>
  <c r="AF105" i="3"/>
  <c r="AF371" i="3"/>
  <c r="AF542" i="3"/>
  <c r="AF282" i="3"/>
  <c r="AF566" i="3"/>
  <c r="AF395" i="3"/>
  <c r="AF277" i="3"/>
  <c r="AF242" i="3"/>
  <c r="AF25" i="3"/>
  <c r="AF317" i="3"/>
  <c r="AF125" i="3"/>
  <c r="AF539" i="3"/>
  <c r="AF454" i="3"/>
  <c r="AF628" i="3"/>
  <c r="AF201" i="3"/>
  <c r="AF388" i="3"/>
  <c r="AF218" i="3"/>
  <c r="AF354" i="3"/>
  <c r="AF269" i="3"/>
  <c r="AF175" i="3"/>
  <c r="AF491" i="3"/>
  <c r="AF406" i="3"/>
  <c r="AF321" i="3"/>
  <c r="AF484" i="3"/>
  <c r="AF228" i="3"/>
  <c r="AF584" i="3"/>
  <c r="AF520" i="3"/>
  <c r="AF392" i="3"/>
  <c r="AF328" i="3"/>
  <c r="AF592" i="3"/>
  <c r="AF528" i="3"/>
  <c r="AF464" i="3"/>
  <c r="AF400" i="3"/>
  <c r="AF336" i="3"/>
  <c r="AF123" i="3"/>
  <c r="AF492" i="3"/>
  <c r="AF300" i="3"/>
  <c r="AF236" i="3"/>
  <c r="AF160" i="3"/>
  <c r="AF18" i="3"/>
  <c r="AF410" i="3"/>
  <c r="AF430" i="3"/>
  <c r="AF350" i="3"/>
  <c r="AF186" i="3"/>
  <c r="AF184" i="3"/>
  <c r="AF606" i="3"/>
  <c r="AF198" i="3"/>
  <c r="AF134" i="3"/>
  <c r="AF70" i="3"/>
  <c r="AF6" i="3"/>
  <c r="AF581" i="3"/>
  <c r="AF558" i="3"/>
  <c r="AF478" i="3"/>
  <c r="AF227" i="3"/>
  <c r="AF419" i="3"/>
  <c r="AF590" i="3"/>
  <c r="AF474" i="3"/>
  <c r="AF20" i="3"/>
  <c r="AF339" i="3"/>
  <c r="AF510" i="3"/>
  <c r="AF127" i="3"/>
  <c r="AF177" i="3"/>
  <c r="AF398" i="3"/>
  <c r="AF569" i="3"/>
  <c r="AF399" i="3"/>
  <c r="AF318" i="3"/>
  <c r="AF489" i="3"/>
  <c r="AF453" i="3"/>
  <c r="AF323" i="3"/>
  <c r="AF13" i="3"/>
  <c r="AF217" i="3"/>
  <c r="AF414" i="3"/>
  <c r="AF585" i="3"/>
  <c r="AF431" i="3"/>
  <c r="AF192" i="3"/>
  <c r="AF221" i="3"/>
  <c r="AF596" i="3"/>
  <c r="AF438" i="3"/>
  <c r="AF341" i="3"/>
  <c r="AF511" i="3"/>
  <c r="AF29" i="3"/>
  <c r="AF97" i="3"/>
  <c r="AF265" i="3"/>
  <c r="AF193" i="3"/>
  <c r="AF503" i="3"/>
  <c r="AF418" i="3"/>
  <c r="AF333" i="3"/>
  <c r="AF555" i="3"/>
  <c r="AF470" i="3"/>
  <c r="AF103" i="3"/>
  <c r="AF420" i="3"/>
  <c r="AF568" i="3"/>
  <c r="AF504" i="3"/>
  <c r="AF440" i="3"/>
  <c r="AF376" i="3"/>
  <c r="AF248" i="3"/>
  <c r="AF176" i="3"/>
  <c r="AF512" i="3"/>
  <c r="AF448" i="3"/>
  <c r="AF384" i="3"/>
  <c r="AF320" i="3"/>
  <c r="AF187" i="3"/>
  <c r="AF101" i="3"/>
  <c r="AF604" i="3"/>
  <c r="AF540" i="3"/>
  <c r="AF476" i="3"/>
  <c r="AF412" i="3"/>
  <c r="AF348" i="3"/>
  <c r="AF53" i="3"/>
  <c r="AF357" i="3"/>
  <c r="AF613" i="3"/>
  <c r="AF601" i="3"/>
  <c r="AF521" i="3"/>
  <c r="AF170" i="3"/>
  <c r="AF42" i="3"/>
  <c r="AF35" i="3"/>
  <c r="AF506" i="3"/>
  <c r="AF118" i="3"/>
  <c r="AF54" i="3"/>
  <c r="AF367" i="3"/>
  <c r="AF291" i="3"/>
  <c r="AF462" i="3"/>
  <c r="AF623" i="3"/>
  <c r="AF135" i="3"/>
  <c r="AF382" i="3"/>
  <c r="AF553" i="3"/>
  <c r="AF314" i="3"/>
  <c r="AF335" i="3"/>
  <c r="AF270" i="3"/>
  <c r="AF441" i="3"/>
  <c r="AF611" i="3"/>
  <c r="AF559" i="3"/>
  <c r="AF77" i="3"/>
  <c r="AF361" i="3"/>
  <c r="AF531" i="3"/>
  <c r="AF233" i="3"/>
  <c r="AF549" i="3"/>
  <c r="AF92" i="3"/>
  <c r="AF366" i="3"/>
  <c r="AF537" i="3"/>
  <c r="AF293" i="3"/>
  <c r="AF286" i="3"/>
  <c r="AF457" i="3"/>
  <c r="AF627" i="3"/>
  <c r="AF570" i="3"/>
  <c r="AB618" i="3"/>
  <c r="AB4" i="3"/>
  <c r="AC4" i="3" s="1"/>
  <c r="AC618" i="3" l="1"/>
  <c r="AB60" i="3"/>
  <c r="AC60" i="3" s="1"/>
</calcChain>
</file>

<file path=xl/sharedStrings.xml><?xml version="1.0" encoding="utf-8"?>
<sst xmlns="http://schemas.openxmlformats.org/spreadsheetml/2006/main" count="14947" uniqueCount="1499">
  <si>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</si>
  <si>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</si>
  <si>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</si>
  <si>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</si>
  <si>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</si>
  <si>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</si>
  <si>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</si>
  <si>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</si>
  <si>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</si>
  <si>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</si>
  <si>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</si>
  <si>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</si>
  <si>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</si>
  <si>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</si>
  <si>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</si>
  <si>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</si>
  <si>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</si>
  <si>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</si>
  <si>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</si>
  <si>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</si>
  <si>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</si>
  <si>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</si>
  <si>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</si>
  <si>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</si>
  <si>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</si>
  <si>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</si>
  <si>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</si>
  <si>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</si>
  <si>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</si>
  <si>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</si>
  <si>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</si>
  <si>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</si>
  <si>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</si>
  <si>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</si>
  <si>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</si>
  <si>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</si>
  <si>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</si>
  <si>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</si>
  <si>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</si>
  <si>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</si>
  <si>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</si>
  <si>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</si>
  <si>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</si>
  <si>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</si>
  <si>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</si>
  <si>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</si>
  <si>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</si>
  <si>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</si>
  <si>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</si>
  <si>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</si>
  <si>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</si>
  <si>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</si>
  <si>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</si>
  <si>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</si>
  <si>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</si>
  <si>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</si>
  <si>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</si>
  <si>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</si>
  <si>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</si>
  <si>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</si>
  <si>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</si>
  <si>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</si>
  <si>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</si>
  <si>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</si>
  <si>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</si>
  <si>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</si>
  <si>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</si>
  <si>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</si>
  <si>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</si>
  <si>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</si>
  <si>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</si>
  <si>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</si>
  <si>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</si>
  <si>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</si>
  <si>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</si>
  <si>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</si>
  <si>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</si>
  <si>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</si>
  <si>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</si>
  <si>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</si>
  <si>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</si>
  <si>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</si>
  <si>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</si>
  <si>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</si>
  <si>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</si>
  <si>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</si>
  <si>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</si>
  <si>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</si>
  <si>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</si>
  <si>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</si>
  <si>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</si>
  <si>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</si>
  <si>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</si>
  <si>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</si>
  <si>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</si>
  <si>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</si>
  <si>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</si>
  <si>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</si>
  <si>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</si>
  <si>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</si>
  <si>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</si>
  <si>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</si>
  <si>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</si>
  <si>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</si>
  <si>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</si>
  <si>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</si>
  <si>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</si>
  <si>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</si>
  <si>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</si>
  <si>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</si>
  <si>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</si>
  <si>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</si>
  <si>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</si>
  <si>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</si>
  <si>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</si>
  <si>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</si>
  <si>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</si>
  <si>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</si>
  <si>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</si>
  <si>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</si>
  <si>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</si>
  <si>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</si>
  <si>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</si>
  <si>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</si>
  <si>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</si>
  <si>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</si>
  <si>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</si>
  <si>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</si>
  <si>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</si>
  <si>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</si>
  <si>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</si>
  <si>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</si>
  <si>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</si>
  <si>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</si>
  <si>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</si>
  <si>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</si>
  <si>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</si>
  <si>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</si>
  <si>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</si>
  <si>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</si>
  <si>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</si>
  <si>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</si>
  <si>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</si>
  <si>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</si>
  <si>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</si>
  <si>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</si>
  <si>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</si>
  <si>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</si>
  <si>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</si>
  <si>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</si>
  <si>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</si>
  <si>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</si>
  <si>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</si>
  <si>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</si>
  <si>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</si>
  <si>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</si>
  <si>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</si>
  <si>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</si>
  <si>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</si>
  <si>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</si>
  <si>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</si>
  <si>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</si>
  <si>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</si>
  <si>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</si>
  <si>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</si>
  <si>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</si>
  <si>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</si>
  <si>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</si>
  <si>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</si>
  <si>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</si>
  <si>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</si>
  <si>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</si>
  <si>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</si>
  <si>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</si>
  <si>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</si>
  <si>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</si>
  <si>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</si>
  <si>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</si>
  <si>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</si>
  <si>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</si>
  <si>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</si>
  <si>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</si>
  <si>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</si>
  <si>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</si>
  <si>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</si>
  <si>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</si>
  <si>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</si>
  <si>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</si>
  <si>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</si>
  <si>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</si>
  <si>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</si>
  <si>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</si>
  <si>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</si>
  <si>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</si>
  <si>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</si>
  <si>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</si>
  <si>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</si>
  <si>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</si>
  <si>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</si>
  <si>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</si>
  <si>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</si>
  <si>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</si>
  <si>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</si>
  <si>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</si>
  <si>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</si>
  <si>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</si>
  <si>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</si>
  <si>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</si>
  <si>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</si>
  <si>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</si>
  <si>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</si>
  <si>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</si>
  <si>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</si>
  <si>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</si>
  <si>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</si>
  <si>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</si>
  <si>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</si>
  <si>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</si>
  <si>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</si>
  <si>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</si>
  <si>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</si>
  <si>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</si>
  <si>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</si>
  <si>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</si>
  <si>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</si>
  <si>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</si>
  <si>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</si>
  <si>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</si>
  <si>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</si>
  <si>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</si>
  <si>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</si>
  <si>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</si>
  <si>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</si>
  <si>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</si>
  <si>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</si>
  <si>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</si>
  <si>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</si>
  <si>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</si>
  <si>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</si>
  <si>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</si>
  <si>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</si>
  <si>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</si>
  <si>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</si>
  <si>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</si>
  <si>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</si>
  <si>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</si>
  <si>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</si>
  <si>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</si>
  <si>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</si>
  <si>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</si>
  <si>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</si>
  <si>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</si>
  <si>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</si>
  <si>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</si>
  <si>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</si>
  <si>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</si>
  <si>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</si>
  <si>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</si>
  <si>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</si>
  <si>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</si>
  <si>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</si>
  <si>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</si>
  <si>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</si>
  <si>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</si>
  <si>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</si>
  <si>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</si>
  <si>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</si>
  <si>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</si>
  <si>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</si>
  <si>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</si>
  <si>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</si>
  <si>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</si>
  <si>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</si>
  <si>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</si>
  <si>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</si>
  <si>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</si>
  <si>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</si>
  <si>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</si>
  <si>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</si>
  <si>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</si>
  <si>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</si>
  <si>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</si>
  <si>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</si>
  <si>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</si>
  <si>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</si>
  <si>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</si>
  <si>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</si>
  <si>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</si>
  <si>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</si>
  <si>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</si>
  <si>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</si>
  <si>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</si>
  <si>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</si>
  <si>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</si>
  <si>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</si>
  <si>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</si>
  <si>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</si>
  <si>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</si>
  <si>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</si>
  <si>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</si>
  <si>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</si>
  <si>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</si>
  <si>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</si>
  <si>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</si>
  <si>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</si>
  <si>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</si>
  <si>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</si>
  <si>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</si>
  <si>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</si>
  <si>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</si>
  <si>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</si>
  <si>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</si>
  <si>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</si>
  <si>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</si>
  <si>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</si>
  <si>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</si>
  <si>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</si>
  <si>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</si>
  <si>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</si>
  <si>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</si>
  <si>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</si>
  <si>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</si>
  <si>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</si>
  <si>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</si>
  <si>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</si>
  <si>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</si>
  <si>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</si>
  <si>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</si>
  <si>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</si>
  <si>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</si>
  <si>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</si>
  <si>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</si>
  <si>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</si>
  <si>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</si>
  <si>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</si>
  <si>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</si>
  <si>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</si>
  <si>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</si>
  <si>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</si>
  <si>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</si>
  <si>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</si>
  <si>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</si>
  <si>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</si>
  <si>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</si>
  <si>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</si>
  <si>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</si>
  <si>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</si>
  <si>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</si>
  <si>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</si>
  <si>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</si>
  <si>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</si>
  <si>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</si>
  <si>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</si>
  <si>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</si>
  <si>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</si>
  <si>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</si>
  <si>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</si>
  <si>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</si>
  <si>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</si>
  <si>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</si>
  <si>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</si>
  <si>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</si>
  <si>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</si>
  <si>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</si>
  <si>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</si>
  <si>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</si>
  <si>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</si>
  <si>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</si>
  <si>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</si>
  <si>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</si>
  <si>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</si>
  <si>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</si>
  <si>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</si>
  <si>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</si>
  <si>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</si>
  <si>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</si>
  <si>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</si>
  <si>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</si>
  <si>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</si>
  <si>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</si>
  <si>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</si>
  <si>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</si>
  <si>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</si>
  <si>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</si>
  <si>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</si>
  <si>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</si>
  <si>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</si>
  <si>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</si>
  <si>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</si>
  <si>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</si>
  <si>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</si>
  <si>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</si>
  <si>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</si>
  <si>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</si>
  <si>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</si>
  <si>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</si>
  <si>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</si>
  <si>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</si>
  <si>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</si>
  <si>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</si>
  <si>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</si>
  <si>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</si>
  <si>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</si>
  <si>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</si>
  <si>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</si>
  <si>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</si>
  <si>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</si>
  <si>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</si>
  <si>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</si>
  <si>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</si>
  <si>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</si>
  <si>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</si>
  <si>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</si>
  <si>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</si>
  <si>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</si>
  <si>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</si>
  <si>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</si>
  <si>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</si>
  <si>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</si>
  <si>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</si>
  <si>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</si>
  <si>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</si>
  <si>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</si>
  <si>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</si>
  <si>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</si>
  <si>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</si>
  <si>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</si>
  <si>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</si>
  <si>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</si>
  <si>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</si>
  <si>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</si>
  <si>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</si>
  <si>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</si>
  <si>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</si>
  <si>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</si>
  <si>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</si>
  <si>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</si>
  <si>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</si>
  <si>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</si>
  <si>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</si>
  <si>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</si>
  <si>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</si>
  <si>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</si>
  <si>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</si>
  <si>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</si>
  <si>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</si>
  <si>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</si>
  <si>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</si>
  <si>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</si>
  <si>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</si>
  <si>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</si>
  <si>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</si>
  <si>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</si>
  <si>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</si>
  <si>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</si>
  <si>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</si>
  <si>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</si>
  <si>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</si>
  <si>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</si>
  <si>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</si>
  <si>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</si>
  <si>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</si>
  <si>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</si>
  <si>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</si>
  <si>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</si>
  <si>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</si>
  <si>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</si>
  <si>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</si>
  <si>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</si>
  <si>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</si>
  <si>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</si>
  <si>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</si>
  <si>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</si>
  <si>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</si>
  <si>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</si>
  <si>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</si>
  <si>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</si>
  <si>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</si>
  <si>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</si>
  <si>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</si>
  <si>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</si>
  <si>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</si>
  <si>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</si>
  <si>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</si>
  <si>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</si>
  <si>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</si>
  <si>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</si>
  <si>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</si>
  <si>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</si>
  <si>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</si>
  <si>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</si>
  <si>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</si>
  <si>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</si>
  <si>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</si>
  <si>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</si>
  <si>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</si>
  <si>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</si>
  <si>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</si>
  <si>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</si>
  <si>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</si>
  <si>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</si>
  <si>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</si>
  <si>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</si>
  <si>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</si>
  <si>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</si>
  <si>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</si>
  <si>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</si>
  <si>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</si>
  <si>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</si>
  <si>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</si>
  <si>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</si>
  <si>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</si>
  <si>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</si>
  <si>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</si>
  <si>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</si>
  <si>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</si>
  <si>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</si>
  <si>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</si>
  <si>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</si>
  <si>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</si>
  <si>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</si>
  <si>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</si>
  <si>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</si>
  <si>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</si>
  <si>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</si>
  <si>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</si>
  <si>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</si>
  <si>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</si>
  <si>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</si>
  <si>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</si>
  <si>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</si>
  <si>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</si>
  <si>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</si>
  <si>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</si>
  <si>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</si>
  <si>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</si>
  <si>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</si>
  <si>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</si>
  <si>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</si>
  <si>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</si>
  <si>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</si>
  <si>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</si>
  <si>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</si>
  <si>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</si>
  <si>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</si>
  <si>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</si>
  <si>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</si>
  <si>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</si>
  <si>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</si>
  <si>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</si>
  <si>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</si>
  <si>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</si>
  <si>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</si>
  <si>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</si>
  <si>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</si>
  <si>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</si>
  <si>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</si>
  <si>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</si>
  <si>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</si>
  <si>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</si>
  <si>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</si>
  <si>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</si>
  <si>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</si>
  <si>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</si>
  <si>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</si>
  <si>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</si>
  <si>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</si>
  <si>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</si>
  <si>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</si>
  <si>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</si>
  <si>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</si>
  <si>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</si>
  <si>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</si>
  <si>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</si>
  <si>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</si>
  <si>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</si>
  <si>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</si>
  <si>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</si>
  <si>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</si>
  <si>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</si>
  <si>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</si>
  <si>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</si>
  <si>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</si>
  <si>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</si>
  <si>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</si>
  <si>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</si>
  <si>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</si>
  <si>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</si>
  <si>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</si>
  <si>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</si>
  <si>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</si>
  <si>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</si>
  <si>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</si>
  <si>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</si>
  <si>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</si>
  <si>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</si>
  <si>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</si>
  <si>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</si>
  <si>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</si>
  <si>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</si>
  <si>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</si>
  <si>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</si>
  <si>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</si>
  <si>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</si>
  <si>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</si>
  <si>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</si>
  <si>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</si>
  <si>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</si>
  <si>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</si>
  <si>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</si>
  <si>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</si>
  <si>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</si>
  <si>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</si>
  <si>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</si>
  <si>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</si>
  <si>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</si>
  <si>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</si>
  <si>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</si>
  <si>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</si>
  <si>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</si>
  <si>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</si>
  <si>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</si>
  <si>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</si>
  <si>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</si>
  <si>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</si>
  <si>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</si>
  <si>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</si>
  <si>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</si>
  <si>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</si>
  <si>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</si>
  <si>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</si>
  <si>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</si>
  <si>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</si>
  <si>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</si>
  <si>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</si>
  <si>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</si>
  <si>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</si>
  <si>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</si>
  <si>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</si>
  <si>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</si>
  <si>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</si>
  <si>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</si>
  <si>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</si>
  <si>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</si>
  <si>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</si>
  <si>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</si>
  <si>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</si>
  <si>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</si>
  <si>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</si>
  <si>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</si>
  <si>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</si>
  <si>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</si>
  <si>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</si>
  <si>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</si>
  <si>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</si>
  <si>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</si>
  <si>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</si>
  <si>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</si>
  <si>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</si>
  <si>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</si>
  <si>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</si>
  <si>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</si>
  <si>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</si>
  <si>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</si>
  <si>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</si>
  <si>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</si>
  <si>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</si>
  <si>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</si>
  <si>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</si>
  <si>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</si>
  <si>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</si>
  <si>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</si>
  <si>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</si>
  <si>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</si>
  <si>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</si>
  <si>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</si>
  <si>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</si>
  <si>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</si>
  <si>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</si>
  <si>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</si>
  <si>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</si>
  <si>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</si>
  <si>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</si>
  <si>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</si>
  <si>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</si>
  <si>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</si>
  <si>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</si>
  <si>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</si>
  <si>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</si>
  <si>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</si>
  <si>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</si>
  <si>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</si>
  <si>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</si>
  <si>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</si>
  <si>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</si>
  <si>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</si>
  <si>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</si>
  <si>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</si>
  <si>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</si>
  <si>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</si>
  <si>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</si>
  <si>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</si>
  <si>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</si>
  <si>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</si>
  <si>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</si>
  <si>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</si>
  <si>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</si>
  <si>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</si>
  <si>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</si>
  <si>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</si>
  <si>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</si>
  <si>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</si>
  <si>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</si>
  <si>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</si>
  <si>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</si>
  <si>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</si>
  <si>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</si>
  <si>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</si>
  <si>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</si>
  <si>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</si>
  <si>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</si>
  <si>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</si>
  <si>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</si>
  <si>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</si>
  <si>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</si>
  <si>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</si>
  <si>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</si>
  <si>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</si>
  <si>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</si>
  <si>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</si>
  <si>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</si>
  <si>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</si>
  <si>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</si>
  <si>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</si>
  <si>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</si>
  <si>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</si>
  <si>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</si>
  <si>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</si>
  <si>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</si>
  <si>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</si>
  <si>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</si>
  <si>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</si>
  <si>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</si>
  <si>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</si>
  <si>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</si>
  <si>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</si>
  <si>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</si>
  <si>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</si>
  <si>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</si>
  <si>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</si>
  <si>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</si>
  <si>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</si>
  <si>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</si>
  <si>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</si>
  <si>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</si>
  <si>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</si>
  <si>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</si>
  <si>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</si>
  <si>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</si>
  <si>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</si>
  <si>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</si>
  <si>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</si>
  <si>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</si>
  <si>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</si>
  <si>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</si>
  <si>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</si>
  <si>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</si>
  <si>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</si>
  <si>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</si>
  <si>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</si>
  <si>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</si>
  <si>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</si>
  <si>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</si>
  <si>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</si>
  <si>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</si>
  <si>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</si>
  <si>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</si>
  <si>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</si>
  <si>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</si>
  <si>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</si>
  <si>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</si>
  <si>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</si>
  <si>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</si>
  <si>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</si>
  <si>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</si>
  <si>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</si>
  <si>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</si>
  <si>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</si>
  <si>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</si>
  <si>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</si>
  <si>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</si>
  <si>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</si>
  <si>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</si>
  <si>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</si>
  <si>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</si>
  <si>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</si>
  <si>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</si>
  <si>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</si>
  <si>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</si>
  <si>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</si>
  <si>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</si>
  <si>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</si>
  <si>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</si>
  <si>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</si>
  <si>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</si>
  <si>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</si>
  <si>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</si>
  <si>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</si>
  <si>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</si>
  <si>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</si>
  <si>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</si>
  <si>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</si>
  <si>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</si>
  <si>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</si>
  <si>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</si>
  <si>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</si>
  <si>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</si>
  <si>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</si>
  <si>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</si>
  <si>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</si>
  <si>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</si>
  <si>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</si>
  <si>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</si>
  <si>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</si>
  <si>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</si>
  <si>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</si>
  <si>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</si>
  <si>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</si>
  <si>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</si>
  <si>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</si>
  <si>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</si>
  <si>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</si>
  <si>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</si>
  <si>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</si>
  <si>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</si>
  <si>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</si>
  <si>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</si>
  <si>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</si>
  <si>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</si>
  <si>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</si>
  <si>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</si>
  <si>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</si>
  <si>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</si>
  <si>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</si>
  <si>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</si>
  <si>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</si>
  <si>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</si>
  <si>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</si>
  <si>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</si>
  <si>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</si>
  <si>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</si>
  <si>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</si>
  <si>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</si>
  <si>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</si>
  <si>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</si>
  <si>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</si>
  <si>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</si>
  <si>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</si>
  <si>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</si>
  <si>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</si>
  <si>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</si>
  <si>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</si>
  <si>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</si>
  <si>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</si>
  <si>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</si>
  <si>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</si>
  <si>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</si>
  <si>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</si>
  <si>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</si>
  <si>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</si>
  <si>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</si>
  <si>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</si>
  <si>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</si>
  <si>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</si>
  <si>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</si>
  <si>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</si>
  <si>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</si>
  <si>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</si>
  <si>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</si>
  <si>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</si>
  <si>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</si>
  <si>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</si>
  <si>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</si>
  <si>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</si>
  <si>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</si>
  <si>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</si>
  <si>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</si>
  <si>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</si>
  <si>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</si>
  <si>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</si>
  <si>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</si>
  <si>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</si>
  <si>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</si>
  <si>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</si>
  <si>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</si>
  <si>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</si>
  <si>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</si>
  <si>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</si>
  <si>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</si>
  <si>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</si>
  <si>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</si>
  <si>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</si>
  <si>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</si>
  <si>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</si>
  <si>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</si>
  <si>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</si>
  <si>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</si>
  <si>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</si>
  <si>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</si>
  <si>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</si>
  <si>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</si>
  <si>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</si>
  <si>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</si>
  <si>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</si>
  <si>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</si>
  <si>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</si>
  <si>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</si>
  <si>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</si>
  <si>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</si>
  <si>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</si>
  <si>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</si>
  <si>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</si>
  <si>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</si>
  <si>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</si>
  <si>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</si>
  <si>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</si>
  <si>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</si>
  <si>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</si>
  <si>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</si>
  <si>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</si>
  <si>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</si>
  <si>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</si>
  <si>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</si>
  <si>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</si>
  <si>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</si>
  <si>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</si>
  <si>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</si>
  <si>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</si>
  <si>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</si>
  <si>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</si>
  <si>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</si>
  <si>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</si>
  <si>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</si>
  <si>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</si>
  <si>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</si>
  <si>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</si>
  <si>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</si>
  <si>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</si>
  <si>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</si>
  <si>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</si>
  <si>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</si>
  <si>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</si>
  <si>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</si>
  <si>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</si>
  <si>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</si>
  <si>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</si>
  <si>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</si>
  <si>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</si>
  <si>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</si>
  <si>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</si>
  <si>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</si>
  <si>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</si>
  <si>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</si>
  <si>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</si>
  <si>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</si>
  <si>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</si>
  <si>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</si>
  <si>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</si>
  <si>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</si>
  <si>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</si>
  <si>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</si>
  <si>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</si>
  <si>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</si>
  <si>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</si>
  <si>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</si>
  <si>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</si>
  <si>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</si>
  <si>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</si>
  <si>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</si>
  <si>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</si>
  <si>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</si>
  <si>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</si>
  <si>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</si>
  <si>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</si>
  <si>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</si>
  <si>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</si>
  <si>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</si>
  <si>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</si>
  <si>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</si>
  <si>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</si>
  <si>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</si>
  <si>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</si>
  <si>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</si>
  <si>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</si>
  <si>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</si>
  <si>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</si>
  <si>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</si>
  <si>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</si>
  <si>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</si>
  <si>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</si>
  <si>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</si>
  <si>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</si>
  <si>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</si>
  <si>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</si>
  <si>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</si>
  <si>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</si>
  <si>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</si>
  <si>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</si>
  <si>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</si>
  <si>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</si>
  <si>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</si>
  <si>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</si>
  <si>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</si>
  <si>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</si>
  <si>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</si>
  <si>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</si>
  <si>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</si>
  <si>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</si>
  <si>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</si>
  <si>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</si>
  <si>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</si>
  <si>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</si>
  <si>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</si>
  <si>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</si>
  <si>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</si>
  <si>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</si>
  <si>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</si>
  <si>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</si>
  <si>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</si>
  <si>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</si>
  <si>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</si>
  <si>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</si>
  <si>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</si>
  <si>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</si>
  <si>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</si>
  <si>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</si>
  <si>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</si>
  <si>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</si>
  <si>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</si>
  <si>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</si>
  <si>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</si>
  <si>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</si>
  <si>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</si>
  <si>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</si>
  <si>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</si>
  <si>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</si>
  <si>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</si>
  <si>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</si>
  <si>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</si>
  <si>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</si>
  <si>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</si>
  <si>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</si>
  <si>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</si>
  <si>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</si>
  <si>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</si>
  <si>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</si>
  <si>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</si>
  <si>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</si>
  <si>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</si>
  <si>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</si>
  <si>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</si>
  <si>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</si>
  <si>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</si>
  <si>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</si>
  <si>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</si>
  <si>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</si>
  <si>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</si>
  <si>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</si>
  <si>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</si>
  <si>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</si>
  <si>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</si>
  <si>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</si>
  <si>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</si>
  <si>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</si>
  <si>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</si>
  <si>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</si>
  <si>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</si>
  <si>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</si>
  <si>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</si>
  <si>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</si>
  <si>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</si>
  <si>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</si>
  <si>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</si>
  <si>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</si>
  <si>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</si>
  <si>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</si>
  <si>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</si>
  <si>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</si>
  <si>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</si>
  <si>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</si>
  <si>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</si>
  <si>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</si>
  <si>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</si>
  <si>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</si>
  <si>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</si>
  <si>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</si>
  <si>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</si>
  <si>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</si>
  <si>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</si>
  <si>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</si>
  <si>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</si>
  <si>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</si>
  <si>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</si>
  <si>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</si>
  <si>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</si>
  <si>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</si>
  <si>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</si>
  <si>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</si>
  <si>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</si>
  <si>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</si>
  <si>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</si>
  <si>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</si>
  <si>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</si>
  <si>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</si>
  <si>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</si>
  <si>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</si>
  <si>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</si>
  <si>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</si>
  <si>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</si>
  <si>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</si>
  <si>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</si>
  <si>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</si>
  <si>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</si>
  <si>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</si>
  <si>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</si>
  <si>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</si>
  <si>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</si>
  <si>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</si>
  <si>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</si>
  <si>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</si>
  <si>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</si>
  <si>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</si>
  <si>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</si>
  <si>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</si>
  <si>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</si>
  <si>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</si>
  <si>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</si>
  <si>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</si>
  <si>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</si>
  <si>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</si>
  <si>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</si>
  <si>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</si>
  <si>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</si>
  <si>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</si>
  <si>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</si>
  <si>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</si>
  <si>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</si>
  <si>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</si>
  <si>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</si>
  <si>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</si>
  <si>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</si>
  <si>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</si>
  <si>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</si>
  <si>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</si>
  <si>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</si>
  <si>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</si>
  <si>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</si>
  <si>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</si>
  <si>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</si>
  <si>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</si>
  <si>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</si>
  <si>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</si>
  <si>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</si>
  <si>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</si>
  <si>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</si>
  <si>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</si>
  <si>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</si>
  <si>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</si>
  <si>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</si>
  <si>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</si>
  <si>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</si>
  <si>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</si>
  <si>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</si>
  <si>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</si>
  <si>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</si>
  <si>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</si>
  <si>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</si>
  <si>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</si>
  <si>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</si>
  <si>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</si>
  <si>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</si>
  <si>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</si>
  <si>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</si>
  <si>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</si>
  <si>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</si>
  <si>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</si>
  <si>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</si>
  <si>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</si>
  <si>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</si>
  <si>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</si>
  <si>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</si>
  <si>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</si>
  <si>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</si>
  <si>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</si>
  <si>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</si>
  <si>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</si>
  <si>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</si>
  <si>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</si>
  <si>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</si>
  <si>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</si>
  <si>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</si>
  <si>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</si>
  <si>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</si>
  <si>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</si>
  <si>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</si>
  <si>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</si>
  <si>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</si>
  <si>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</si>
  <si>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</si>
  <si>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</si>
  <si>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</si>
  <si>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</si>
  <si>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</si>
  <si>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</si>
  <si>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</si>
  <si>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</si>
  <si>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</si>
  <si>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</si>
  <si>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</si>
  <si>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</si>
  <si>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</si>
  <si>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</si>
  <si>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</si>
  <si>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</si>
  <si>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</si>
  <si>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</si>
  <si>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</si>
  <si>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</si>
  <si>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</si>
  <si>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</si>
  <si>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</si>
  <si>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</si>
  <si>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</si>
  <si>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</si>
  <si>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</si>
  <si>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</si>
  <si>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</si>
  <si>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</si>
  <si>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</si>
  <si>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</si>
  <si>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</si>
  <si>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</si>
  <si>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</si>
  <si>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</si>
  <si>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</si>
  <si>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</si>
  <si>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</si>
  <si>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</si>
  <si>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</si>
  <si>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</si>
  <si>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</si>
  <si>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</si>
  <si>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</si>
  <si>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</si>
  <si>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</si>
  <si>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</si>
  <si>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</si>
  <si>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</si>
  <si>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</si>
  <si>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</si>
  <si>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</si>
  <si>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</si>
  <si>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</si>
  <si>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</si>
  <si>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</si>
  <si>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</si>
  <si>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</si>
  <si>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</si>
  <si>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</si>
  <si>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</si>
  <si>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</si>
  <si>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</si>
  <si>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</si>
  <si>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</si>
  <si>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</si>
  <si>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</si>
  <si>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</si>
  <si>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</si>
  <si>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</si>
  <si>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</si>
  <si>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</si>
  <si>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</si>
  <si>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</si>
  <si>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</si>
  <si>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</si>
  <si>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</si>
  <si>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</si>
  <si>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</si>
  <si>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</si>
  <si>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</si>
  <si>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</si>
  <si>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</si>
  <si>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</si>
  <si>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</si>
  <si>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</si>
  <si>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</si>
  <si>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</si>
  <si>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</si>
  <si>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</si>
  <si>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</si>
  <si>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</si>
  <si>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</si>
  <si>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</si>
  <si>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</si>
  <si>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</si>
  <si>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</si>
  <si>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</si>
  <si>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</si>
  <si>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</si>
  <si>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</si>
  <si>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</si>
  <si>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</si>
  <si>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</si>
  <si>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</si>
  <si>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</si>
  <si>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</si>
  <si>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</si>
  <si>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</si>
  <si>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</si>
  <si>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</si>
  <si>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</si>
  <si>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</si>
  <si>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</si>
  <si>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</si>
  <si>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</si>
  <si>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</si>
  <si>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</si>
  <si>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</si>
  <si>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</si>
  <si>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</si>
  <si>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</si>
  <si>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</si>
  <si>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</si>
  <si>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</si>
  <si>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</si>
  <si>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</si>
  <si>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</si>
  <si>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</si>
  <si>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</si>
  <si>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</si>
  <si>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</si>
  <si>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</si>
  <si>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</si>
  <si>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</si>
  <si>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</si>
  <si>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</si>
  <si>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</si>
  <si>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</si>
  <si>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</si>
  <si>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</si>
  <si>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</si>
  <si>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</si>
  <si>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</si>
  <si>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</si>
  <si>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</si>
  <si>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</si>
  <si>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</si>
  <si>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</si>
  <si>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</si>
  <si>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</si>
  <si>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</si>
  <si>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</si>
  <si>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</si>
  <si>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</si>
  <si>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Ottawa</t>
  </si>
  <si>
    <t>Discount</t>
  </si>
  <si>
    <t>LeadTime(Days)</t>
  </si>
  <si>
    <t>GrossRevenue</t>
  </si>
  <si>
    <t>CostOfGoods</t>
  </si>
  <si>
    <t>GrossProfit</t>
  </si>
  <si>
    <t>MarginPct</t>
  </si>
  <si>
    <t>Quarter</t>
  </si>
  <si>
    <t>Row Labels</t>
  </si>
  <si>
    <t>Grand Total</t>
  </si>
  <si>
    <t>(blank)</t>
  </si>
  <si>
    <t>Low_Medium_Cutoff</t>
  </si>
  <si>
    <t>Medium_High_Cutoff</t>
  </si>
  <si>
    <t>PriceBand</t>
  </si>
  <si>
    <t>Apr-2023</t>
  </si>
  <si>
    <t>Apr-2024</t>
  </si>
  <si>
    <t>Apr-2025</t>
  </si>
  <si>
    <t>Aug-2023</t>
  </si>
  <si>
    <t>Aug-2024</t>
  </si>
  <si>
    <t>Aug-2025</t>
  </si>
  <si>
    <t>Dec-2023</t>
  </si>
  <si>
    <t>Feb-2023</t>
  </si>
  <si>
    <t>Feb-2024</t>
  </si>
  <si>
    <t>Feb-2025</t>
  </si>
  <si>
    <t>Jan-2023</t>
  </si>
  <si>
    <t>Jan-2024</t>
  </si>
  <si>
    <t>Jan-2025</t>
  </si>
  <si>
    <t>Jul-2023</t>
  </si>
  <si>
    <t>Jul-2024</t>
  </si>
  <si>
    <t>Jul-2025</t>
  </si>
  <si>
    <t>Jun-2023</t>
  </si>
  <si>
    <t>Jun-2024</t>
  </si>
  <si>
    <t>Mar-2023</t>
  </si>
  <si>
    <t>Mar-2024</t>
  </si>
  <si>
    <t>Mar-2025</t>
  </si>
  <si>
    <t>May-2023</t>
  </si>
  <si>
    <t>May-2024</t>
  </si>
  <si>
    <t>May-2025</t>
  </si>
  <si>
    <t>Nov-2023</t>
  </si>
  <si>
    <t>Nov-2024</t>
  </si>
  <si>
    <t>Oct-2023</t>
  </si>
  <si>
    <t>Sep-2023</t>
  </si>
  <si>
    <t>Sep-2024</t>
  </si>
  <si>
    <t>Sep-2025</t>
  </si>
  <si>
    <t>Dec-2024</t>
  </si>
  <si>
    <t>Jun-2025</t>
  </si>
  <si>
    <t>Oct-2024</t>
  </si>
  <si>
    <t>Column Labels</t>
  </si>
  <si>
    <t>Sum of GrossRevenue</t>
  </si>
  <si>
    <t>MeetsSLA</t>
  </si>
  <si>
    <t>2023</t>
  </si>
  <si>
    <t>2024</t>
  </si>
  <si>
    <t>2025</t>
  </si>
  <si>
    <t>Jan</t>
  </si>
  <si>
    <t>Feb</t>
  </si>
  <si>
    <t>Mar</t>
  </si>
  <si>
    <t>Apr</t>
  </si>
  <si>
    <t>May</t>
  </si>
  <si>
    <t>Jun</t>
  </si>
  <si>
    <t>Jul</t>
  </si>
  <si>
    <t>Aug</t>
  </si>
  <si>
    <t>Sep</t>
  </si>
  <si>
    <t>Oct</t>
  </si>
  <si>
    <t>Nov</t>
  </si>
  <si>
    <t>Dec</t>
  </si>
  <si>
    <t>Count of OrderID</t>
  </si>
  <si>
    <t>Order Count</t>
  </si>
  <si>
    <t>Total Revenue</t>
  </si>
  <si>
    <t>AOV</t>
  </si>
  <si>
    <t>Sum of GrossProfit</t>
  </si>
  <si>
    <t>Total Profit</t>
  </si>
  <si>
    <t>Margin %</t>
  </si>
  <si>
    <t>OnTime</t>
  </si>
  <si>
    <t>On-Time %</t>
  </si>
  <si>
    <t>Unassigned</t>
  </si>
  <si>
    <t>Corrected Required_Date</t>
  </si>
  <si>
    <t>Not Provided</t>
  </si>
  <si>
    <t>FirstPurchase_Month</t>
  </si>
  <si>
    <t>CohortMonthIndex</t>
  </si>
  <si>
    <t>Months</t>
  </si>
  <si>
    <t>Average of GrossProfit</t>
  </si>
  <si>
    <t>Salesperson productivity</t>
  </si>
  <si>
    <t>Revenue by Month</t>
  </si>
  <si>
    <t>Category totals</t>
  </si>
  <si>
    <t>% share</t>
  </si>
  <si>
    <t>Cumulative</t>
  </si>
  <si>
    <t>ABC Classification</t>
  </si>
  <si>
    <t>Label</t>
  </si>
  <si>
    <t>Global Discount Cap</t>
  </si>
  <si>
    <t>Quantity Uplift</t>
  </si>
  <si>
    <t>Value</t>
  </si>
  <si>
    <t>INPUTS</t>
  </si>
  <si>
    <t>SCENARIO COLUMNS</t>
  </si>
  <si>
    <t>Scenario Quantity</t>
  </si>
  <si>
    <t>Scenario Unit Cost</t>
  </si>
  <si>
    <t>Applied discount</t>
  </si>
  <si>
    <t>Inflation</t>
  </si>
  <si>
    <t>Global_Discount_Cap</t>
  </si>
  <si>
    <t>Unit_Cost_Inflation</t>
  </si>
  <si>
    <t>Quantity_Uplift</t>
  </si>
  <si>
    <t>Original</t>
  </si>
  <si>
    <t>Created by Hp on 1/27/2026</t>
  </si>
  <si>
    <t>Worst Case - High Inflation</t>
  </si>
  <si>
    <t>Best Case</t>
  </si>
  <si>
    <t>Scenario Summary</t>
  </si>
  <si>
    <t>Changing Cells:</t>
  </si>
  <si>
    <t>Current Values:</t>
  </si>
  <si>
    <t>Notes:  Current Values column represents values of changing cells at</t>
  </si>
  <si>
    <t>time Scenario Summary Report was created.  Changing cells for each</t>
  </si>
  <si>
    <t>scenario are highlighted in gray.</t>
  </si>
  <si>
    <t>Profit by Region and Channel</t>
  </si>
  <si>
    <t>SKUs by Revenue</t>
  </si>
  <si>
    <t>Revenue per Order</t>
  </si>
  <si>
    <t>Gross Profit per Order</t>
  </si>
  <si>
    <t>Orders per Month</t>
  </si>
  <si>
    <t>Revenue/Order</t>
  </si>
  <si>
    <t>Who sells high-value deals</t>
  </si>
  <si>
    <t>GP/Order</t>
  </si>
  <si>
    <t>Who sells profitably</t>
  </si>
  <si>
    <t>Orders/Month</t>
  </si>
  <si>
    <t>Who is most active</t>
  </si>
  <si>
    <t>In Africa, Disributor dominates</t>
  </si>
  <si>
    <t>In America Direct channel dominates</t>
  </si>
  <si>
    <t>In Asia, Direct dominates</t>
  </si>
  <si>
    <t>Direct dominates</t>
  </si>
  <si>
    <t xml:space="preserve">Channel mix  </t>
  </si>
  <si>
    <t>cannibalization</t>
  </si>
  <si>
    <t>Min of Months</t>
  </si>
  <si>
    <t>Price Compliance</t>
  </si>
  <si>
    <t>Total Orders</t>
  </si>
  <si>
    <t>High Discount Flag</t>
  </si>
  <si>
    <t>Sum of High Discount Flag</t>
  </si>
  <si>
    <t>% of Non-Compliant Orders</t>
  </si>
  <si>
    <t>% Share of Non-Compliant</t>
  </si>
  <si>
    <t>revenue by product category and SKUs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</si>
</sst>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yyyy\-mm\-dd"/>
    <numFmt numFmtId="165" formatCode="mmm\-yyyy"/>
    <numFmt numFmtId="166" formatCode="_(&quot;$&quot;* #,##0.0_);_(&quot;$&quot;* \(#,##0.0\);_(&quot;$&quot;* &quot;-&quot;??_);_(@_)"/>
    <numFmt numFmtId="167" formatCode="0.0"/>
  </numFmts>
  <fonts count="15"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color theme="2"/>
      <name val="Calibri"/>
      <family val="2"/>
      <scheme val="minor"/>
    </font>
    <font>
      <b/>
      <sz val="12"/>
      <color rgb="FFFFFFFF"/>
      <name val="Calibri"/>
      <family val="2"/>
      <scheme val="minor"/>
    </font>
    <font>
      <b/>
      <sz val="12"/>
      <color theme="0"/>
      <name val="Arial"/>
      <family val="2"/>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2"/>
      <color theme="0"/>
      <name val="Calibri"/>
      <family val="2"/>
      <scheme val="minor"/>
    </font>
    <font>
      <sz val="12"/>
      <color theme="0"/>
      <name val="Calibri"/>
      <family val="2"/>
      <scheme val="minor"/>
    </font>
    <font>
      <sz val="8"/>
      <name val="Calibri"/>
      <family val="2"/>
      <scheme val="minor"/>
    </font>
  </fonts>
  <fills count="9">
    <fill>
      <patternFill patternType="none"/>
    </fill>
    <fill>
      <patternFill patternType="gray125"/>
    </fill>
    <fill>
      <patternFill patternType="solid">
        <fgColor theme="6" tint="0.79998168889431442"/>
        <bgColor theme="6" tint="0.79998168889431442"/>
      </patternFill>
    </fill>
    <fill>
      <patternFill patternType="solid">
        <fgColor rgb="FFFFFF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39997558519241921"/>
        <bgColor indexed="64"/>
      </patternFill>
    </fill>
    <fill>
      <patternFill patternType="solid">
        <fgColor rgb="FFFFFFFF"/>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style="thin">
        <color theme="6"/>
      </top>
      <bottom/>
      <diagonal/>
    </border>
    <border>
      <left/>
      <right/>
      <top style="thin">
        <color theme="6"/>
      </top>
      <bottom/>
      <diagonal/>
    </border>
    <border>
      <left/>
      <right/>
      <top style="thin">
        <color auto="1"/>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4">
    <xf numFmtId="0" fontId="0" fillId="0" borderId="0" xfId="0"/>
    <xf numFmtId="0" fontId="2" fillId="0" borderId="1" xfId="0" applyFont="1" applyBorder="1" applyAlignment="1">
      <alignment horizontal="center" vertical="top"/>
    </xf>
    <xf numFmtId="0" fontId="3" fillId="0" borderId="0" xfId="0" applyFont="1"/>
    <xf numFmtId="164" fontId="3" fillId="0" borderId="0" xfId="0" applyNumberFormat="1" applyFont="1"/>
    <xf numFmtId="14" fontId="3" fillId="0" borderId="0" xfId="0" applyNumberFormat="1" applyFont="1"/>
    <xf numFmtId="14" fontId="0" fillId="0" borderId="0" xfId="0" applyNumberFormat="1"/>
    <xf numFmtId="49" fontId="3" fillId="0" borderId="0" xfId="0" applyNumberFormat="1" applyFont="1"/>
    <xf numFmtId="49" fontId="0" fillId="0" borderId="0" xfId="0" applyNumberFormat="1"/>
    <xf numFmtId="2" fontId="3" fillId="0" borderId="0" xfId="0" applyNumberFormat="1" applyFont="1"/>
    <xf numFmtId="2" fontId="0" fillId="0" borderId="0" xfId="0" applyNumberFormat="1"/>
    <xf numFmtId="1" fontId="3" fillId="0" borderId="0" xfId="0" applyNumberFormat="1" applyFont="1"/>
    <xf numFmtId="1" fontId="0" fillId="0" borderId="0" xfId="0" applyNumberFormat="1"/>
    <xf numFmtId="0" fontId="2" fillId="0" borderId="0" xfId="0" applyFont="1"/>
    <xf numFmtId="0" fontId="3" fillId="0" borderId="0" xfId="0" pivotButton="1" applyFont="1"/>
    <xf numFmtId="0" fontId="3" fillId="0" borderId="0" xfId="0" applyFont="1" applyAlignment="1">
      <alignment horizontal="left"/>
    </xf>
    <xf numFmtId="0" fontId="3" fillId="0" borderId="0" xfId="0" applyFont="1" applyAlignment="1">
      <alignment horizontal="left" indent="1"/>
    </xf>
    <xf numFmtId="0" fontId="3" fillId="0" borderId="0" xfId="0" applyFont="1" applyAlignment="1">
      <alignment horizontal="left" indent="2"/>
    </xf>
    <xf numFmtId="0" fontId="2" fillId="0" borderId="2" xfId="0" applyFont="1" applyBorder="1" applyAlignment="1">
      <alignment horizontal="center" vertical="top"/>
    </xf>
    <xf numFmtId="14" fontId="2" fillId="0" borderId="2" xfId="0" applyNumberFormat="1" applyFont="1" applyBorder="1" applyAlignment="1">
      <alignment horizontal="center" vertical="top"/>
    </xf>
    <xf numFmtId="0" fontId="2" fillId="0" borderId="3" xfId="0" applyFont="1" applyBorder="1"/>
    <xf numFmtId="0" fontId="2" fillId="0" borderId="4" xfId="0" applyFont="1" applyBorder="1"/>
    <xf numFmtId="49" fontId="2" fillId="0" borderId="2" xfId="0" applyNumberFormat="1" applyFont="1" applyBorder="1" applyAlignment="1">
      <alignment horizontal="center" vertical="top"/>
    </xf>
    <xf numFmtId="2" fontId="2" fillId="0" borderId="2" xfId="0" applyNumberFormat="1" applyFont="1" applyBorder="1" applyAlignment="1">
      <alignment horizontal="center" vertical="top"/>
    </xf>
    <xf numFmtId="1" fontId="2" fillId="0" borderId="2" xfId="0" applyNumberFormat="1" applyFont="1" applyBorder="1" applyAlignment="1">
      <alignment horizontal="center" vertical="top"/>
    </xf>
    <xf numFmtId="0" fontId="3" fillId="2" borderId="5" xfId="0" applyFont="1" applyFill="1" applyBorder="1"/>
    <xf numFmtId="14" fontId="3" fillId="2" borderId="5" xfId="0" applyNumberFormat="1" applyFont="1" applyFill="1" applyBorder="1"/>
    <xf numFmtId="1" fontId="3" fillId="2" borderId="4" xfId="0" applyNumberFormat="1" applyFont="1" applyFill="1" applyBorder="1"/>
    <xf numFmtId="49" fontId="3" fillId="2" borderId="5" xfId="0" applyNumberFormat="1" applyFont="1" applyFill="1" applyBorder="1"/>
    <xf numFmtId="2" fontId="3" fillId="2" borderId="5" xfId="0" applyNumberFormat="1" applyFont="1" applyFill="1" applyBorder="1"/>
    <xf numFmtId="1" fontId="3" fillId="2" borderId="5" xfId="0" applyNumberFormat="1" applyFont="1" applyFill="1" applyBorder="1"/>
    <xf numFmtId="0" fontId="3" fillId="2" borderId="4" xfId="0" applyFont="1" applyFill="1" applyBorder="1"/>
    <xf numFmtId="0" fontId="3" fillId="2" borderId="0" xfId="0" applyFont="1" applyFill="1"/>
    <xf numFmtId="14" fontId="3" fillId="2" borderId="0" xfId="0" applyNumberFormat="1" applyFont="1" applyFill="1"/>
    <xf numFmtId="1" fontId="3" fillId="2" borderId="0" xfId="0" applyNumberFormat="1" applyFont="1" applyFill="1"/>
    <xf numFmtId="49" fontId="3" fillId="2" borderId="0" xfId="0" applyNumberFormat="1" applyFont="1" applyFill="1"/>
    <xf numFmtId="2" fontId="3" fillId="2" borderId="0" xfId="0" applyNumberFormat="1" applyFont="1" applyFill="1"/>
    <xf numFmtId="9" fontId="3" fillId="0" borderId="0" xfId="0" applyNumberFormat="1" applyFont="1"/>
    <xf numFmtId="9" fontId="3" fillId="0" borderId="0" xfId="2" applyFont="1"/>
    <xf numFmtId="165" fontId="3" fillId="0" borderId="0" xfId="0" applyNumberFormat="1" applyFont="1" applyAlignment="1">
      <alignment horizontal="left"/>
    </xf>
    <xf numFmtId="2" fontId="3" fillId="0" borderId="0" xfId="1" applyNumberFormat="1" applyFont="1"/>
    <xf numFmtId="9" fontId="0" fillId="0" borderId="0" xfId="0" applyNumberFormat="1"/>
    <xf numFmtId="166" fontId="0" fillId="0" borderId="0" xfId="1" applyNumberFormat="1" applyFont="1"/>
    <xf numFmtId="166" fontId="4" fillId="0" borderId="0" xfId="1" applyNumberFormat="1" applyFont="1"/>
    <xf numFmtId="9" fontId="0" fillId="0" borderId="0" xfId="2" applyFont="1"/>
    <xf numFmtId="17" fontId="2" fillId="0" borderId="2" xfId="0" applyNumberFormat="1" applyFont="1" applyBorder="1" applyAlignment="1">
      <alignment horizontal="center" vertical="top"/>
    </xf>
    <xf numFmtId="17" fontId="3" fillId="2" borderId="5" xfId="0" applyNumberFormat="1" applyFont="1" applyFill="1" applyBorder="1"/>
    <xf numFmtId="17" fontId="3" fillId="0" borderId="0" xfId="0" applyNumberFormat="1" applyFont="1"/>
    <xf numFmtId="17" fontId="3" fillId="2" borderId="0" xfId="0" applyNumberFormat="1" applyFont="1" applyFill="1"/>
    <xf numFmtId="17" fontId="0" fillId="0" borderId="0" xfId="0" applyNumberFormat="1"/>
    <xf numFmtId="0" fontId="3" fillId="0" borderId="6" xfId="0" applyFont="1" applyBorder="1"/>
    <xf numFmtId="0" fontId="3" fillId="0" borderId="7" xfId="0" applyFont="1" applyBorder="1"/>
    <xf numFmtId="9" fontId="3" fillId="0" borderId="0" xfId="2"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3" borderId="0" xfId="0" applyFont="1" applyFill="1"/>
    <xf numFmtId="0" fontId="2" fillId="3" borderId="2" xfId="0" applyFont="1" applyFill="1" applyBorder="1"/>
    <xf numFmtId="0" fontId="2" fillId="3" borderId="5" xfId="0" applyFont="1" applyFill="1" applyBorder="1"/>
    <xf numFmtId="0" fontId="6" fillId="0" borderId="0" xfId="0" applyFont="1"/>
    <xf numFmtId="0" fontId="2" fillId="0" borderId="0" xfId="0" applyFont="1" applyAlignment="1">
      <alignment horizontal="center" vertical="center" wrapText="1"/>
    </xf>
    <xf numFmtId="0" fontId="2" fillId="0" borderId="12" xfId="0" applyFont="1" applyBorder="1"/>
    <xf numFmtId="0" fontId="2" fillId="0" borderId="13" xfId="0" applyFont="1" applyBorder="1"/>
    <xf numFmtId="0" fontId="3" fillId="0" borderId="14" xfId="0" applyFont="1" applyBorder="1"/>
    <xf numFmtId="9" fontId="3" fillId="0" borderId="15" xfId="0" applyNumberFormat="1" applyFont="1" applyBorder="1"/>
    <xf numFmtId="0" fontId="3" fillId="0" borderId="16" xfId="0" applyFont="1" applyBorder="1"/>
    <xf numFmtId="9" fontId="3" fillId="0" borderId="17" xfId="0" applyNumberFormat="1" applyFont="1" applyBorder="1"/>
    <xf numFmtId="0" fontId="3" fillId="0" borderId="18" xfId="0" applyFont="1" applyBorder="1"/>
    <xf numFmtId="0" fontId="3" fillId="0" borderId="19" xfId="0" applyFont="1" applyBorder="1"/>
    <xf numFmtId="0" fontId="7" fillId="4" borderId="10" xfId="0" applyFont="1" applyFill="1" applyBorder="1" applyAlignment="1">
      <alignment horizontal="left"/>
    </xf>
    <xf numFmtId="0" fontId="7" fillId="4" borderId="20" xfId="0" applyFont="1" applyFill="1" applyBorder="1" applyAlignment="1">
      <alignment horizontal="left"/>
    </xf>
    <xf numFmtId="0" fontId="8" fillId="5" borderId="0" xfId="0" applyFont="1" applyFill="1" applyAlignment="1">
      <alignment horizontal="left"/>
    </xf>
    <xf numFmtId="0" fontId="9" fillId="5" borderId="21" xfId="0" applyFont="1" applyFill="1" applyBorder="1" applyAlignment="1">
      <alignment horizontal="left"/>
    </xf>
    <xf numFmtId="0" fontId="10" fillId="4" borderId="20" xfId="0" applyFont="1" applyFill="1" applyBorder="1" applyAlignment="1">
      <alignment horizontal="right"/>
    </xf>
    <xf numFmtId="0" fontId="10" fillId="4" borderId="10" xfId="0" applyFont="1" applyFill="1" applyBorder="1" applyAlignment="1">
      <alignment horizontal="right"/>
    </xf>
    <xf numFmtId="0" fontId="9" fillId="5" borderId="22" xfId="0" applyFont="1" applyFill="1" applyBorder="1" applyAlignment="1">
      <alignment horizontal="left"/>
    </xf>
    <xf numFmtId="0" fontId="11" fillId="0" borderId="0" xfId="0" applyFont="1" applyAlignment="1">
      <alignment vertical="top" wrapText="1"/>
    </xf>
    <xf numFmtId="0" fontId="3" fillId="0" borderId="21" xfId="0" applyFont="1" applyBorder="1"/>
    <xf numFmtId="9" fontId="3" fillId="6" borderId="0" xfId="0" applyNumberFormat="1" applyFont="1" applyFill="1"/>
    <xf numFmtId="0" fontId="3" fillId="0" borderId="22" xfId="0" applyFont="1" applyBorder="1"/>
    <xf numFmtId="0" fontId="2" fillId="3" borderId="0" xfId="0" applyFont="1" applyFill="1"/>
    <xf numFmtId="0" fontId="5" fillId="3" borderId="0" xfId="0" applyFont="1" applyFill="1" applyAlignment="1">
      <alignment horizontal="center"/>
    </xf>
    <xf numFmtId="0" fontId="3" fillId="3" borderId="0" xfId="0" applyFont="1" applyFill="1" applyAlignment="1">
      <alignment horizontal="center"/>
    </xf>
    <xf numFmtId="0" fontId="3" fillId="0" borderId="0" xfId="0" applyNumberFormat="1" applyFont="1"/>
    <xf numFmtId="0" fontId="0" fillId="3" borderId="0" xfId="0" applyFill="1"/>
    <xf numFmtId="0" fontId="12" fillId="3" borderId="0" xfId="0" applyFont="1" applyFill="1"/>
    <xf numFmtId="2" fontId="2" fillId="0" borderId="0" xfId="0" applyNumberFormat="1" applyFont="1"/>
    <xf numFmtId="167" fontId="3" fillId="0" borderId="0" xfId="0" applyNumberFormat="1" applyFont="1"/>
    <xf numFmtId="0" fontId="3" fillId="0" borderId="0" xfId="0" applyFont="1" applyAlignment="1">
      <alignment vertical="center" wrapText="1"/>
    </xf>
    <xf numFmtId="0" fontId="2" fillId="0" borderId="0" xfId="0" applyFont="1" applyAlignment="1">
      <alignment vertical="center" wrapText="1"/>
    </xf>
    <xf numFmtId="10" fontId="3" fillId="0" borderId="0" xfId="0" applyNumberFormat="1" applyFont="1"/>
    <xf numFmtId="9" fontId="2" fillId="7" borderId="0" xfId="2" applyFont="1" applyFill="1"/>
    <xf numFmtId="0" fontId="12" fillId="8" borderId="0" xfId="0" applyFont="1" applyFill="1"/>
    <xf numFmtId="0" fontId="13" fillId="8" borderId="0" xfId="0" applyFont="1" applyFill="1"/>
  </cellXfs>
  <cellStyles count="3">
    <cellStyle name="Currency" xfId="1" builtinId="4"/>
    <cellStyle name="Normal" xfId="0" builtinId="0"/>
    <cellStyle name="Percent" xfId="2" builtinId="5"/>
  </cellStyles>
  <dxfs count="27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ill>
        <patternFill>
          <bgColor rgb="FF7030A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numFmt numFmtId="14" formatCode="0.0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numFmt numFmtId="14" formatCode="0.00%"/>
    </dxf>
    <dxf>
      <font>
        <color theme="0"/>
      </font>
    </dxf>
    <dxf>
      <font>
        <color theme="0"/>
      </font>
    </dxf>
    <dxf>
      <font>
        <color theme="0"/>
      </font>
    </dxf>
    <dxf>
      <font>
        <color theme="0"/>
      </font>
    </dxf>
    <dxf>
      <font>
        <color theme="0"/>
      </font>
    </dxf>
    <dxf>
      <font>
        <color theme="0"/>
      </font>
    </dxf>
    <dxf>
      <numFmt numFmtId="13" formatCode="0%"/>
    </dxf>
    <dxf>
      <font>
        <b val="0"/>
        <i val="0"/>
        <strike val="0"/>
        <condense val="0"/>
        <extend val="0"/>
        <outline val="0"/>
        <shadow val="0"/>
        <u val="none"/>
        <vertAlign val="baseline"/>
        <sz val="11"/>
        <color theme="0"/>
        <name val="Calibri"/>
        <family val="2"/>
        <scheme val="minor"/>
      </font>
      <numFmt numFmtId="1" formatCode="0"/>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1" formatCode="0"/>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19" formatCode="m/d/yyyy"/>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22" formatCode="mmm\-yy"/>
      <fill>
        <patternFill patternType="solid">
          <fgColor theme="6" tint="0.79998168889431442"/>
          <bgColor theme="6" tint="0.79998168889431442"/>
        </patternFill>
      </fill>
    </dxf>
    <dxf>
      <font>
        <color theme="0"/>
      </font>
    </dxf>
    <dxf>
      <font>
        <color theme="0"/>
      </font>
    </dxf>
    <dxf>
      <font>
        <color theme="0"/>
      </font>
    </dxf>
    <dxf>
      <numFmt numFmtId="14" formatCode="0.0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numFmt numFmtId="14" formatCode="0.0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numFmt numFmtId="13" formatCode="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val="0"/>
        <i val="0"/>
        <strike val="0"/>
        <condense val="0"/>
        <extend val="0"/>
        <outline val="0"/>
        <shadow val="0"/>
        <u val="none"/>
        <vertAlign val="baseline"/>
        <sz val="11"/>
        <color theme="0"/>
        <name val="Calibri"/>
        <family val="2"/>
        <scheme val="minor"/>
      </font>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2" formatCode="0.00"/>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2" formatCode="0.00"/>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2" formatCode="0.00"/>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2" formatCode="0.00"/>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30" formatCode="@"/>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30" formatCode="@"/>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30" formatCode="@"/>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30" formatCode="@"/>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30" formatCode="@"/>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30" formatCode="@"/>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30" formatCode="@"/>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30" formatCode="@"/>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1" formatCode="0"/>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1" formatCode="0"/>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1" formatCode="0"/>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19" formatCode="m/d/yyyy"/>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19" formatCode="m/d/yyyy"/>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22" formatCode="mmm\-yy"/>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22" formatCode="mmm\-yy"/>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numFmt numFmtId="19" formatCode="m/d/yyyy"/>
      <fill>
        <patternFill patternType="solid">
          <fgColor theme="6" tint="0.79998168889431442"/>
          <bgColor theme="6" tint="0.79998168889431442"/>
        </patternFill>
      </fill>
    </dxf>
    <dxf>
      <font>
        <b val="0"/>
        <i val="0"/>
        <strike val="0"/>
        <condense val="0"/>
        <extend val="0"/>
        <outline val="0"/>
        <shadow val="0"/>
        <u val="none"/>
        <vertAlign val="baseline"/>
        <sz val="11"/>
        <color theme="0"/>
        <name val="Calibri"/>
        <family val="2"/>
        <scheme val="minor"/>
      </font>
      <fill>
        <patternFill patternType="solid">
          <fgColor theme="6" tint="0.79998168889431442"/>
          <bgColor theme="6" tint="0.79998168889431442"/>
        </patternFill>
      </fill>
    </dxf>
    <dxf>
      <border outline="0">
        <bottom style="thin">
          <color theme="6"/>
        </bottom>
      </border>
    </dxf>
    <dxf>
      <font>
        <b val="0"/>
        <i val="0"/>
        <strike val="0"/>
        <condense val="0"/>
        <extend val="0"/>
        <outline val="0"/>
        <shadow val="0"/>
        <u val="none"/>
        <vertAlign val="baseline"/>
        <sz val="11"/>
        <color theme="0"/>
        <name val="Calibri"/>
        <family val="2"/>
        <scheme val="minor"/>
      </font>
      <fill>
        <patternFill patternType="solid">
          <fgColor theme="6" tint="0.79998168889431442"/>
          <bgColor theme="6" tint="0.79998168889431442"/>
        </patternFill>
      </fill>
    </dxf>
    <dxf>
      <font>
        <b/>
        <i val="0"/>
        <strike val="0"/>
        <condense val="0"/>
        <extend val="0"/>
        <outline val="0"/>
        <shadow val="0"/>
        <u val="none"/>
        <vertAlign val="baseline"/>
        <sz val="11"/>
        <color theme="0"/>
        <name val="Calibri"/>
        <family val="2"/>
        <scheme val="minor"/>
      </font>
    </dxf>
    <dxf>
      <font>
        <b val="0"/>
        <i val="0"/>
        <color theme="0"/>
      </font>
      <fill>
        <patternFill patternType="solid">
          <bgColor rgb="FFF698DB"/>
        </patternFill>
      </fill>
      <border>
        <top style="thin">
          <color auto="1"/>
        </top>
      </border>
    </dxf>
  </dxfs>
  <tableStyles count="2" defaultTableStyle="TableStyleMedium9" defaultPivotStyle="PivotStyleLight16">
    <tableStyle name="Slicer Style 1" pivot="0" table="0" count="1" xr9:uid="{C06F0276-18A4-4519-BC2A-F94CB44398DD}">
      <tableStyleElement type="wholeTable" dxfId="275"/>
    </tableStyle>
    <tableStyle name="Slicer Style 2" pivot="0" table="0" count="2" xr9:uid="{3566F749-A94C-4216-8FB5-C9AC774FA4AE}">
      <tableStyleElement type="wholeTable" dxfId="10"/>
      <tableStyleElement type="headerRow"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60D46"/>
      <color rgb="FFF7C8FF"/>
      <color rgb="FFEBA8FE"/>
      <color rgb="FFFFFFFF"/>
      <color rgb="FFF698DB"/>
      <color rgb="FFE1D2F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Brief.xlsx]Pivot 2!PivotTable64</c:name>
    <c:fmtId val="0"/>
  </c:pivotSource>
  <c:chart>
    <c:title>
      <c:tx>
        <c:rich>
          <a:bodyPr rot="0" spcFirstLastPara="1" vertOverflow="ellipsis" vert="horz" wrap="square" anchor="ctr" anchorCtr="1"/>
          <a:lstStyle/>
          <a:p>
            <a:pPr>
              <a:defRPr sz="1400" b="0" i="0" u="none" strike="noStrike" kern="1200" spc="0" baseline="0">
                <a:solidFill>
                  <a:srgbClr val="760D46"/>
                </a:solidFill>
                <a:latin typeface="+mn-lt"/>
                <a:ea typeface="+mn-ea"/>
                <a:cs typeface="+mn-cs"/>
              </a:defRPr>
            </a:pPr>
            <a:r>
              <a:rPr lang="en-US">
                <a:solidFill>
                  <a:srgbClr val="760D46"/>
                </a:solidFill>
              </a:rPr>
              <a:t>Channel Cannibalization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60D46"/>
              </a:solidFill>
              <a:latin typeface="+mn-lt"/>
              <a:ea typeface="+mn-ea"/>
              <a:cs typeface="+mn-cs"/>
            </a:defRPr>
          </a:pPr>
          <a:endParaRPr lang="en-US"/>
        </a:p>
      </c:txPr>
    </c:title>
    <c:autoTitleDeleted val="0"/>
    <c:pivotFmts>
      <c:pivotFmt>
        <c:idx val="0"/>
        <c:spPr>
          <a:solidFill>
            <a:srgbClr val="EBA8F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60D4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2'!$B$28:$B$29</c:f>
              <c:strCache>
                <c:ptCount val="1"/>
                <c:pt idx="0">
                  <c:v>Direct</c:v>
                </c:pt>
              </c:strCache>
            </c:strRef>
          </c:tx>
          <c:spPr>
            <a:solidFill>
              <a:srgbClr val="EBA8FE"/>
            </a:solidFill>
            <a:ln>
              <a:noFill/>
            </a:ln>
            <a:effectLst/>
          </c:spPr>
          <c:invertIfNegative val="0"/>
          <c:cat>
            <c:strRef>
              <c:f>'Pivot 2'!$A$30:$A$34</c:f>
              <c:strCache>
                <c:ptCount val="4"/>
                <c:pt idx="0">
                  <c:v>Africa</c:v>
                </c:pt>
                <c:pt idx="1">
                  <c:v>Americas</c:v>
                </c:pt>
                <c:pt idx="2">
                  <c:v>Asia</c:v>
                </c:pt>
                <c:pt idx="3">
                  <c:v>Europe</c:v>
                </c:pt>
              </c:strCache>
            </c:strRef>
          </c:cat>
          <c:val>
            <c:numRef>
              <c:f>'Pivot 2'!$B$30:$B$34</c:f>
              <c:numCache>
                <c:formatCode>0.00%</c:formatCode>
                <c:ptCount val="4"/>
                <c:pt idx="0">
                  <c:v>0.17716109829662022</c:v>
                </c:pt>
                <c:pt idx="1">
                  <c:v>0.27959652887305259</c:v>
                </c:pt>
                <c:pt idx="2">
                  <c:v>0.23912684264464432</c:v>
                </c:pt>
                <c:pt idx="3">
                  <c:v>0.3008275905823079</c:v>
                </c:pt>
              </c:numCache>
            </c:numRef>
          </c:val>
          <c:extLst>
            <c:ext xmlns:c16="http://schemas.microsoft.com/office/drawing/2014/chart" uri="{C3380CC4-5D6E-409C-BE32-E72D297353CC}">
              <c16:uniqueId val="{00000000-DB37-4636-ABB7-DEF30D5BC7A9}"/>
            </c:ext>
          </c:extLst>
        </c:ser>
        <c:ser>
          <c:idx val="1"/>
          <c:order val="1"/>
          <c:tx>
            <c:strRef>
              <c:f>'Pivot 2'!$C$28:$C$29</c:f>
              <c:strCache>
                <c:ptCount val="1"/>
                <c:pt idx="0">
                  <c:v>Distributor</c:v>
                </c:pt>
              </c:strCache>
            </c:strRef>
          </c:tx>
          <c:spPr>
            <a:solidFill>
              <a:srgbClr val="760D46"/>
            </a:solidFill>
            <a:ln>
              <a:noFill/>
            </a:ln>
            <a:effectLst/>
          </c:spPr>
          <c:invertIfNegative val="0"/>
          <c:cat>
            <c:strRef>
              <c:f>'Pivot 2'!$A$30:$A$34</c:f>
              <c:strCache>
                <c:ptCount val="4"/>
                <c:pt idx="0">
                  <c:v>Africa</c:v>
                </c:pt>
                <c:pt idx="1">
                  <c:v>Americas</c:v>
                </c:pt>
                <c:pt idx="2">
                  <c:v>Asia</c:v>
                </c:pt>
                <c:pt idx="3">
                  <c:v>Europe</c:v>
                </c:pt>
              </c:strCache>
            </c:strRef>
          </c:cat>
          <c:val>
            <c:numRef>
              <c:f>'Pivot 2'!$C$30:$C$34</c:f>
              <c:numCache>
                <c:formatCode>0.00%</c:formatCode>
                <c:ptCount val="4"/>
                <c:pt idx="0">
                  <c:v>0.24321571118294991</c:v>
                </c:pt>
                <c:pt idx="1">
                  <c:v>0.21153722604622074</c:v>
                </c:pt>
                <c:pt idx="2">
                  <c:v>0.18066408359148334</c:v>
                </c:pt>
                <c:pt idx="3">
                  <c:v>0.11379437522820593</c:v>
                </c:pt>
              </c:numCache>
            </c:numRef>
          </c:val>
          <c:extLst>
            <c:ext xmlns:c16="http://schemas.microsoft.com/office/drawing/2014/chart" uri="{C3380CC4-5D6E-409C-BE32-E72D297353CC}">
              <c16:uniqueId val="{00000007-DB37-4636-ABB7-DEF30D5BC7A9}"/>
            </c:ext>
          </c:extLst>
        </c:ser>
        <c:ser>
          <c:idx val="2"/>
          <c:order val="2"/>
          <c:tx>
            <c:strRef>
              <c:f>'Pivot 2'!$D$28:$D$29</c:f>
              <c:strCache>
                <c:ptCount val="1"/>
                <c:pt idx="0">
                  <c:v>Marketplace</c:v>
                </c:pt>
              </c:strCache>
            </c:strRef>
          </c:tx>
          <c:spPr>
            <a:solidFill>
              <a:schemeClr val="accent4">
                <a:lumMod val="75000"/>
              </a:schemeClr>
            </a:solidFill>
            <a:ln>
              <a:noFill/>
            </a:ln>
            <a:effectLst/>
          </c:spPr>
          <c:invertIfNegative val="0"/>
          <c:cat>
            <c:strRef>
              <c:f>'Pivot 2'!$A$30:$A$34</c:f>
              <c:strCache>
                <c:ptCount val="4"/>
                <c:pt idx="0">
                  <c:v>Africa</c:v>
                </c:pt>
                <c:pt idx="1">
                  <c:v>Americas</c:v>
                </c:pt>
                <c:pt idx="2">
                  <c:v>Asia</c:v>
                </c:pt>
                <c:pt idx="3">
                  <c:v>Europe</c:v>
                </c:pt>
              </c:strCache>
            </c:strRef>
          </c:cat>
          <c:val>
            <c:numRef>
              <c:f>'Pivot 2'!$D$30:$D$34</c:f>
              <c:numCache>
                <c:formatCode>0.00%</c:formatCode>
                <c:ptCount val="4"/>
                <c:pt idx="0">
                  <c:v>0.20216228975179579</c:v>
                </c:pt>
                <c:pt idx="1">
                  <c:v>0.13624034482391922</c:v>
                </c:pt>
                <c:pt idx="2">
                  <c:v>0.19367518969910263</c:v>
                </c:pt>
                <c:pt idx="3">
                  <c:v>0.20810337051302416</c:v>
                </c:pt>
              </c:numCache>
            </c:numRef>
          </c:val>
          <c:extLst>
            <c:ext xmlns:c16="http://schemas.microsoft.com/office/drawing/2014/chart" uri="{C3380CC4-5D6E-409C-BE32-E72D297353CC}">
              <c16:uniqueId val="{00000008-DB37-4636-ABB7-DEF30D5BC7A9}"/>
            </c:ext>
          </c:extLst>
        </c:ser>
        <c:ser>
          <c:idx val="3"/>
          <c:order val="3"/>
          <c:tx>
            <c:strRef>
              <c:f>'Pivot 2'!$E$28:$E$29</c:f>
              <c:strCache>
                <c:ptCount val="1"/>
                <c:pt idx="0">
                  <c:v>Not Provided</c:v>
                </c:pt>
              </c:strCache>
            </c:strRef>
          </c:tx>
          <c:spPr>
            <a:solidFill>
              <a:schemeClr val="accent4"/>
            </a:solidFill>
            <a:ln>
              <a:noFill/>
            </a:ln>
            <a:effectLst/>
          </c:spPr>
          <c:invertIfNegative val="0"/>
          <c:cat>
            <c:strRef>
              <c:f>'Pivot 2'!$A$30:$A$34</c:f>
              <c:strCache>
                <c:ptCount val="4"/>
                <c:pt idx="0">
                  <c:v>Africa</c:v>
                </c:pt>
                <c:pt idx="1">
                  <c:v>Americas</c:v>
                </c:pt>
                <c:pt idx="2">
                  <c:v>Asia</c:v>
                </c:pt>
                <c:pt idx="3">
                  <c:v>Europe</c:v>
                </c:pt>
              </c:strCache>
            </c:strRef>
          </c:cat>
          <c:val>
            <c:numRef>
              <c:f>'Pivot 2'!$E$30:$E$34</c:f>
              <c:numCache>
                <c:formatCode>0.00%</c:formatCode>
                <c:ptCount val="4"/>
                <c:pt idx="0">
                  <c:v>1.2539395544212323E-2</c:v>
                </c:pt>
                <c:pt idx="1">
                  <c:v>3.4419829759956924E-3</c:v>
                </c:pt>
                <c:pt idx="2">
                  <c:v>3.4990619120041644E-3</c:v>
                </c:pt>
                <c:pt idx="3">
                  <c:v>1.7250864946184294E-3</c:v>
                </c:pt>
              </c:numCache>
            </c:numRef>
          </c:val>
          <c:extLst>
            <c:ext xmlns:c16="http://schemas.microsoft.com/office/drawing/2014/chart" uri="{C3380CC4-5D6E-409C-BE32-E72D297353CC}">
              <c16:uniqueId val="{00000009-DB37-4636-ABB7-DEF30D5BC7A9}"/>
            </c:ext>
          </c:extLst>
        </c:ser>
        <c:ser>
          <c:idx val="4"/>
          <c:order val="4"/>
          <c:tx>
            <c:strRef>
              <c:f>'Pivot 2'!$F$28:$F$29</c:f>
              <c:strCache>
                <c:ptCount val="1"/>
                <c:pt idx="0">
                  <c:v>Online</c:v>
                </c:pt>
              </c:strCache>
            </c:strRef>
          </c:tx>
          <c:spPr>
            <a:solidFill>
              <a:srgbClr val="7030A0"/>
            </a:solidFill>
            <a:ln>
              <a:noFill/>
            </a:ln>
            <a:effectLst/>
          </c:spPr>
          <c:invertIfNegative val="0"/>
          <c:cat>
            <c:strRef>
              <c:f>'Pivot 2'!$A$30:$A$34</c:f>
              <c:strCache>
                <c:ptCount val="4"/>
                <c:pt idx="0">
                  <c:v>Africa</c:v>
                </c:pt>
                <c:pt idx="1">
                  <c:v>Americas</c:v>
                </c:pt>
                <c:pt idx="2">
                  <c:v>Asia</c:v>
                </c:pt>
                <c:pt idx="3">
                  <c:v>Europe</c:v>
                </c:pt>
              </c:strCache>
            </c:strRef>
          </c:cat>
          <c:val>
            <c:numRef>
              <c:f>'Pivot 2'!$F$30:$F$34</c:f>
              <c:numCache>
                <c:formatCode>0.00%</c:formatCode>
                <c:ptCount val="4"/>
                <c:pt idx="0">
                  <c:v>0.16611138148720239</c:v>
                </c:pt>
                <c:pt idx="1">
                  <c:v>0.25656495690482312</c:v>
                </c:pt>
                <c:pt idx="2">
                  <c:v>0.14670400206363879</c:v>
                </c:pt>
                <c:pt idx="3">
                  <c:v>0.20900008716349927</c:v>
                </c:pt>
              </c:numCache>
            </c:numRef>
          </c:val>
          <c:extLst>
            <c:ext xmlns:c16="http://schemas.microsoft.com/office/drawing/2014/chart" uri="{C3380CC4-5D6E-409C-BE32-E72D297353CC}">
              <c16:uniqueId val="{0000000A-DB37-4636-ABB7-DEF30D5BC7A9}"/>
            </c:ext>
          </c:extLst>
        </c:ser>
        <c:ser>
          <c:idx val="5"/>
          <c:order val="5"/>
          <c:tx>
            <c:strRef>
              <c:f>'Pivot 2'!$G$28:$G$29</c:f>
              <c:strCache>
                <c:ptCount val="1"/>
                <c:pt idx="0">
                  <c:v>Retail</c:v>
                </c:pt>
              </c:strCache>
            </c:strRef>
          </c:tx>
          <c:spPr>
            <a:solidFill>
              <a:schemeClr val="accent6"/>
            </a:solidFill>
            <a:ln>
              <a:noFill/>
            </a:ln>
            <a:effectLst/>
          </c:spPr>
          <c:invertIfNegative val="0"/>
          <c:cat>
            <c:strRef>
              <c:f>'Pivot 2'!$A$30:$A$34</c:f>
              <c:strCache>
                <c:ptCount val="4"/>
                <c:pt idx="0">
                  <c:v>Africa</c:v>
                </c:pt>
                <c:pt idx="1">
                  <c:v>Americas</c:v>
                </c:pt>
                <c:pt idx="2">
                  <c:v>Asia</c:v>
                </c:pt>
                <c:pt idx="3">
                  <c:v>Europe</c:v>
                </c:pt>
              </c:strCache>
            </c:strRef>
          </c:cat>
          <c:val>
            <c:numRef>
              <c:f>'Pivot 2'!$G$30:$G$34</c:f>
              <c:numCache>
                <c:formatCode>0.00%</c:formatCode>
                <c:ptCount val="4"/>
                <c:pt idx="0">
                  <c:v>0.19881012373721935</c:v>
                </c:pt>
                <c:pt idx="1">
                  <c:v>0.11261896037598858</c:v>
                </c:pt>
                <c:pt idx="2">
                  <c:v>0.23633082008912662</c:v>
                </c:pt>
                <c:pt idx="3">
                  <c:v>0.16654949001834424</c:v>
                </c:pt>
              </c:numCache>
            </c:numRef>
          </c:val>
          <c:extLst>
            <c:ext xmlns:c16="http://schemas.microsoft.com/office/drawing/2014/chart" uri="{C3380CC4-5D6E-409C-BE32-E72D297353CC}">
              <c16:uniqueId val="{0000000B-DB37-4636-ABB7-DEF30D5BC7A9}"/>
            </c:ext>
          </c:extLst>
        </c:ser>
        <c:dLbls>
          <c:showLegendKey val="0"/>
          <c:showVal val="0"/>
          <c:showCatName val="0"/>
          <c:showSerName val="0"/>
          <c:showPercent val="0"/>
          <c:showBubbleSize val="0"/>
        </c:dLbls>
        <c:gapWidth val="219"/>
        <c:overlap val="-27"/>
        <c:axId val="1345912831"/>
        <c:axId val="1345902751"/>
      </c:barChart>
      <c:catAx>
        <c:axId val="134591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5902751"/>
        <c:crosses val="autoZero"/>
        <c:auto val="1"/>
        <c:lblAlgn val="ctr"/>
        <c:lblOffset val="100"/>
        <c:noMultiLvlLbl val="0"/>
      </c:catAx>
      <c:valAx>
        <c:axId val="13459027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591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Brief.xlsx]Pivot!PivotTable33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c:f>
              <c:strCache>
                <c:ptCount val="1"/>
                <c:pt idx="0">
                  <c:v>Total</c:v>
                </c:pt>
              </c:strCache>
            </c:strRef>
          </c:tx>
          <c:spPr>
            <a:ln w="28575" cap="rnd">
              <a:solidFill>
                <a:schemeClr val="accent1"/>
              </a:solidFill>
              <a:round/>
            </a:ln>
            <a:effectLst/>
          </c:spPr>
          <c:marker>
            <c:symbol val="none"/>
          </c:marker>
          <c:cat>
            <c:multiLvlStrRef>
              <c:f>Pivot!$A$6:$A$42</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2023</c:v>
                  </c:pt>
                  <c:pt idx="12">
                    <c:v>2024</c:v>
                  </c:pt>
                  <c:pt idx="24">
                    <c:v>2025</c:v>
                  </c:pt>
                </c:lvl>
              </c:multiLvlStrCache>
            </c:multiLvlStrRef>
          </c:cat>
          <c:val>
            <c:numRef>
              <c:f>Pivot!$B$6:$B$42</c:f>
              <c:numCache>
                <c:formatCode>General</c:formatCode>
                <c:ptCount val="33"/>
                <c:pt idx="0">
                  <c:v>151883.44939999995</c:v>
                </c:pt>
                <c:pt idx="1">
                  <c:v>433788.64049000002</c:v>
                </c:pt>
                <c:pt idx="2">
                  <c:v>215576.67437999998</c:v>
                </c:pt>
                <c:pt idx="3">
                  <c:v>371604.58273999998</c:v>
                </c:pt>
                <c:pt idx="4">
                  <c:v>470192.17181999999</c:v>
                </c:pt>
                <c:pt idx="5">
                  <c:v>236474.06157000002</c:v>
                </c:pt>
                <c:pt idx="6">
                  <c:v>560860.55604000005</c:v>
                </c:pt>
                <c:pt idx="7">
                  <c:v>339044.67039000004</c:v>
                </c:pt>
                <c:pt idx="8">
                  <c:v>141266.51418999999</c:v>
                </c:pt>
                <c:pt idx="9">
                  <c:v>246114.84045000002</c:v>
                </c:pt>
                <c:pt idx="10">
                  <c:v>127009.5058</c:v>
                </c:pt>
                <c:pt idx="11">
                  <c:v>382101.36680000002</c:v>
                </c:pt>
                <c:pt idx="12">
                  <c:v>299100.37307999999</c:v>
                </c:pt>
                <c:pt idx="13">
                  <c:v>307793.71461999998</c:v>
                </c:pt>
                <c:pt idx="14">
                  <c:v>374300.10981000005</c:v>
                </c:pt>
                <c:pt idx="15">
                  <c:v>239506.82714000004</c:v>
                </c:pt>
                <c:pt idx="16">
                  <c:v>416985.76567000011</c:v>
                </c:pt>
                <c:pt idx="17">
                  <c:v>634490.72337999998</c:v>
                </c:pt>
                <c:pt idx="18">
                  <c:v>275628.61962999997</c:v>
                </c:pt>
                <c:pt idx="19">
                  <c:v>384156.19037999993</c:v>
                </c:pt>
                <c:pt idx="20">
                  <c:v>347613.18767000007</c:v>
                </c:pt>
                <c:pt idx="21">
                  <c:v>417732.48301000008</c:v>
                </c:pt>
                <c:pt idx="22">
                  <c:v>416944.18554999994</c:v>
                </c:pt>
                <c:pt idx="23">
                  <c:v>354378.93716000003</c:v>
                </c:pt>
                <c:pt idx="24">
                  <c:v>223498.20032000003</c:v>
                </c:pt>
                <c:pt idx="25">
                  <c:v>221608.49786999999</c:v>
                </c:pt>
                <c:pt idx="26">
                  <c:v>209425.98854000005</c:v>
                </c:pt>
                <c:pt idx="27">
                  <c:v>336135.16749999998</c:v>
                </c:pt>
                <c:pt idx="28">
                  <c:v>375723.96026000002</c:v>
                </c:pt>
                <c:pt idx="29">
                  <c:v>382009.37596000009</c:v>
                </c:pt>
                <c:pt idx="30">
                  <c:v>486970.83348000003</c:v>
                </c:pt>
                <c:pt idx="31">
                  <c:v>366808.72249999997</c:v>
                </c:pt>
                <c:pt idx="32">
                  <c:v>172279.72760000001</c:v>
                </c:pt>
              </c:numCache>
            </c:numRef>
          </c:val>
          <c:smooth val="0"/>
          <c:extLst>
            <c:ext xmlns:c16="http://schemas.microsoft.com/office/drawing/2014/chart" uri="{C3380CC4-5D6E-409C-BE32-E72D297353CC}">
              <c16:uniqueId val="{00000000-3080-41C1-9EDF-2006B628508E}"/>
            </c:ext>
          </c:extLst>
        </c:ser>
        <c:dLbls>
          <c:showLegendKey val="0"/>
          <c:showVal val="0"/>
          <c:showCatName val="0"/>
          <c:showSerName val="0"/>
          <c:showPercent val="0"/>
          <c:showBubbleSize val="0"/>
        </c:dLbls>
        <c:smooth val="0"/>
        <c:axId val="1763578591"/>
        <c:axId val="1763579071"/>
      </c:lineChart>
      <c:catAx>
        <c:axId val="176357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3579071"/>
        <c:crosses val="autoZero"/>
        <c:auto val="1"/>
        <c:lblAlgn val="ctr"/>
        <c:lblOffset val="100"/>
        <c:noMultiLvlLbl val="0"/>
      </c:catAx>
      <c:valAx>
        <c:axId val="1763579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357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Brief.xlsx]Pivot!PivotTable43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1" i="0" u="none" strike="noStrike" baseline="0">
                <a:solidFill>
                  <a:srgbClr val="760D46"/>
                </a:solidFill>
                <a:effectLst/>
              </a:rPr>
              <a:t>Profit by Region and Channel </a:t>
            </a:r>
            <a:endParaRPr lang="en-US" b="1">
              <a:solidFill>
                <a:srgbClr val="760D4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98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1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60D46"/>
          </a:solidFill>
          <a:ln>
            <a:noFill/>
          </a:ln>
          <a:effectLst/>
        </c:spPr>
      </c:pivotFmt>
      <c:pivotFmt>
        <c:idx val="7"/>
        <c:spPr>
          <a:solidFill>
            <a:srgbClr val="760D46"/>
          </a:solidFill>
          <a:ln>
            <a:noFill/>
          </a:ln>
          <a:effectLst/>
        </c:spPr>
      </c:pivotFmt>
      <c:pivotFmt>
        <c:idx val="8"/>
        <c:spPr>
          <a:solidFill>
            <a:srgbClr val="760D46"/>
          </a:solidFill>
          <a:ln>
            <a:noFill/>
          </a:ln>
          <a:effectLst/>
        </c:spPr>
      </c:pivotFmt>
      <c:pivotFmt>
        <c:idx val="9"/>
        <c:spPr>
          <a:solidFill>
            <a:srgbClr val="760D46"/>
          </a:solidFill>
          <a:ln>
            <a:noFill/>
          </a:ln>
          <a:effectLst/>
        </c:spPr>
      </c:pivotFmt>
    </c:pivotFmts>
    <c:plotArea>
      <c:layout/>
      <c:barChart>
        <c:barDir val="col"/>
        <c:grouping val="stacked"/>
        <c:varyColors val="0"/>
        <c:ser>
          <c:idx val="0"/>
          <c:order val="0"/>
          <c:tx>
            <c:strRef>
              <c:f>Pivot!$B$75:$B$76</c:f>
              <c:strCache>
                <c:ptCount val="1"/>
                <c:pt idx="0">
                  <c:v>Direct</c:v>
                </c:pt>
              </c:strCache>
            </c:strRef>
          </c:tx>
          <c:spPr>
            <a:solidFill>
              <a:schemeClr val="accent2">
                <a:lumMod val="60000"/>
                <a:lumOff val="40000"/>
              </a:schemeClr>
            </a:solidFill>
            <a:ln>
              <a:noFill/>
            </a:ln>
            <a:effectLst/>
          </c:spPr>
          <c:invertIfNegative val="0"/>
          <c:cat>
            <c:strRef>
              <c:f>Pivot!$A$77:$A$81</c:f>
              <c:strCache>
                <c:ptCount val="4"/>
                <c:pt idx="0">
                  <c:v>Africa</c:v>
                </c:pt>
                <c:pt idx="1">
                  <c:v>Americas</c:v>
                </c:pt>
                <c:pt idx="2">
                  <c:v>Asia</c:v>
                </c:pt>
                <c:pt idx="3">
                  <c:v>Europe</c:v>
                </c:pt>
              </c:strCache>
            </c:strRef>
          </c:cat>
          <c:val>
            <c:numRef>
              <c:f>Pivot!$B$77:$B$81</c:f>
              <c:numCache>
                <c:formatCode>General</c:formatCode>
                <c:ptCount val="4"/>
                <c:pt idx="0">
                  <c:v>178727.35369999998</c:v>
                </c:pt>
                <c:pt idx="1">
                  <c:v>258674.92591000002</c:v>
                </c:pt>
                <c:pt idx="2">
                  <c:v>246072.37136999995</c:v>
                </c:pt>
                <c:pt idx="3">
                  <c:v>292716.95204</c:v>
                </c:pt>
              </c:numCache>
            </c:numRef>
          </c:val>
          <c:extLst>
            <c:ext xmlns:c16="http://schemas.microsoft.com/office/drawing/2014/chart" uri="{C3380CC4-5D6E-409C-BE32-E72D297353CC}">
              <c16:uniqueId val="{00000000-7276-4C4C-9075-BB490C046C75}"/>
            </c:ext>
          </c:extLst>
        </c:ser>
        <c:ser>
          <c:idx val="1"/>
          <c:order val="1"/>
          <c:tx>
            <c:strRef>
              <c:f>Pivot!$C$75:$C$76</c:f>
              <c:strCache>
                <c:ptCount val="1"/>
                <c:pt idx="0">
                  <c:v>Distributor</c:v>
                </c:pt>
              </c:strCache>
            </c:strRef>
          </c:tx>
          <c:spPr>
            <a:solidFill>
              <a:srgbClr val="F698DB"/>
            </a:solidFill>
            <a:ln>
              <a:noFill/>
            </a:ln>
            <a:effectLst/>
          </c:spPr>
          <c:invertIfNegative val="0"/>
          <c:cat>
            <c:strRef>
              <c:f>Pivot!$A$77:$A$81</c:f>
              <c:strCache>
                <c:ptCount val="4"/>
                <c:pt idx="0">
                  <c:v>Africa</c:v>
                </c:pt>
                <c:pt idx="1">
                  <c:v>Americas</c:v>
                </c:pt>
                <c:pt idx="2">
                  <c:v>Asia</c:v>
                </c:pt>
                <c:pt idx="3">
                  <c:v>Europe</c:v>
                </c:pt>
              </c:strCache>
            </c:strRef>
          </c:cat>
          <c:val>
            <c:numRef>
              <c:f>Pivot!$C$77:$C$81</c:f>
              <c:numCache>
                <c:formatCode>General</c:formatCode>
                <c:ptCount val="4"/>
                <c:pt idx="0">
                  <c:v>202729.86447</c:v>
                </c:pt>
                <c:pt idx="1">
                  <c:v>175736.86191999997</c:v>
                </c:pt>
                <c:pt idx="2">
                  <c:v>151146.74599000002</c:v>
                </c:pt>
                <c:pt idx="3">
                  <c:v>105550.85220000002</c:v>
                </c:pt>
              </c:numCache>
            </c:numRef>
          </c:val>
          <c:extLst>
            <c:ext xmlns:c16="http://schemas.microsoft.com/office/drawing/2014/chart" uri="{C3380CC4-5D6E-409C-BE32-E72D297353CC}">
              <c16:uniqueId val="{00000008-3495-4308-B455-6B5699E117CD}"/>
            </c:ext>
          </c:extLst>
        </c:ser>
        <c:ser>
          <c:idx val="2"/>
          <c:order val="2"/>
          <c:tx>
            <c:strRef>
              <c:f>Pivot!$D$75:$D$76</c:f>
              <c:strCache>
                <c:ptCount val="1"/>
                <c:pt idx="0">
                  <c:v>Marketplace</c:v>
                </c:pt>
              </c:strCache>
            </c:strRef>
          </c:tx>
          <c:spPr>
            <a:solidFill>
              <a:srgbClr val="E1D2FF"/>
            </a:solidFill>
            <a:ln>
              <a:noFill/>
            </a:ln>
            <a:effectLst/>
          </c:spPr>
          <c:invertIfNegative val="0"/>
          <c:cat>
            <c:strRef>
              <c:f>Pivot!$A$77:$A$81</c:f>
              <c:strCache>
                <c:ptCount val="4"/>
                <c:pt idx="0">
                  <c:v>Africa</c:v>
                </c:pt>
                <c:pt idx="1">
                  <c:v>Americas</c:v>
                </c:pt>
                <c:pt idx="2">
                  <c:v>Asia</c:v>
                </c:pt>
                <c:pt idx="3">
                  <c:v>Europe</c:v>
                </c:pt>
              </c:strCache>
            </c:strRef>
          </c:cat>
          <c:val>
            <c:numRef>
              <c:f>Pivot!$D$77:$D$81</c:f>
              <c:numCache>
                <c:formatCode>General</c:formatCode>
                <c:ptCount val="4"/>
                <c:pt idx="0">
                  <c:v>164839.30455999999</c:v>
                </c:pt>
                <c:pt idx="1">
                  <c:v>96609.647519999999</c:v>
                </c:pt>
                <c:pt idx="2">
                  <c:v>132709.51272999996</c:v>
                </c:pt>
                <c:pt idx="3">
                  <c:v>118458.01025000001</c:v>
                </c:pt>
              </c:numCache>
            </c:numRef>
          </c:val>
          <c:extLst>
            <c:ext xmlns:c16="http://schemas.microsoft.com/office/drawing/2014/chart" uri="{C3380CC4-5D6E-409C-BE32-E72D297353CC}">
              <c16:uniqueId val="{00000009-3495-4308-B455-6B5699E117CD}"/>
            </c:ext>
          </c:extLst>
        </c:ser>
        <c:ser>
          <c:idx val="3"/>
          <c:order val="3"/>
          <c:tx>
            <c:strRef>
              <c:f>Pivot!$E$75:$E$76</c:f>
              <c:strCache>
                <c:ptCount val="1"/>
                <c:pt idx="0">
                  <c:v>Not Provided</c:v>
                </c:pt>
              </c:strCache>
            </c:strRef>
          </c:tx>
          <c:spPr>
            <a:solidFill>
              <a:schemeClr val="accent4"/>
            </a:solidFill>
            <a:ln>
              <a:noFill/>
            </a:ln>
            <a:effectLst/>
          </c:spPr>
          <c:invertIfNegative val="0"/>
          <c:cat>
            <c:strRef>
              <c:f>Pivot!$A$77:$A$81</c:f>
              <c:strCache>
                <c:ptCount val="4"/>
                <c:pt idx="0">
                  <c:v>Africa</c:v>
                </c:pt>
                <c:pt idx="1">
                  <c:v>Americas</c:v>
                </c:pt>
                <c:pt idx="2">
                  <c:v>Asia</c:v>
                </c:pt>
                <c:pt idx="3">
                  <c:v>Europe</c:v>
                </c:pt>
              </c:strCache>
            </c:strRef>
          </c:cat>
          <c:val>
            <c:numRef>
              <c:f>Pivot!$E$77:$E$81</c:f>
              <c:numCache>
                <c:formatCode>General</c:formatCode>
                <c:ptCount val="4"/>
                <c:pt idx="0">
                  <c:v>16237.344229999999</c:v>
                </c:pt>
                <c:pt idx="1">
                  <c:v>777.95999999999913</c:v>
                </c:pt>
                <c:pt idx="2">
                  <c:v>4017.1204799999987</c:v>
                </c:pt>
                <c:pt idx="3">
                  <c:v>1263.5064600000001</c:v>
                </c:pt>
              </c:numCache>
            </c:numRef>
          </c:val>
          <c:extLst>
            <c:ext xmlns:c16="http://schemas.microsoft.com/office/drawing/2014/chart" uri="{C3380CC4-5D6E-409C-BE32-E72D297353CC}">
              <c16:uniqueId val="{0000000A-3495-4308-B455-6B5699E117CD}"/>
            </c:ext>
          </c:extLst>
        </c:ser>
        <c:ser>
          <c:idx val="4"/>
          <c:order val="4"/>
          <c:tx>
            <c:strRef>
              <c:f>Pivot!$F$75:$F$76</c:f>
              <c:strCache>
                <c:ptCount val="1"/>
                <c:pt idx="0">
                  <c:v>Online</c:v>
                </c:pt>
              </c:strCache>
            </c:strRef>
          </c:tx>
          <c:spPr>
            <a:solidFill>
              <a:schemeClr val="accent5"/>
            </a:solidFill>
            <a:ln>
              <a:noFill/>
            </a:ln>
            <a:effectLst/>
          </c:spPr>
          <c:invertIfNegative val="0"/>
          <c:dPt>
            <c:idx val="0"/>
            <c:invertIfNegative val="0"/>
            <c:bubble3D val="0"/>
            <c:spPr>
              <a:solidFill>
                <a:srgbClr val="760D46"/>
              </a:solidFill>
              <a:ln>
                <a:noFill/>
              </a:ln>
              <a:effectLst/>
            </c:spPr>
          </c:dPt>
          <c:dPt>
            <c:idx val="1"/>
            <c:invertIfNegative val="0"/>
            <c:bubble3D val="0"/>
            <c:spPr>
              <a:solidFill>
                <a:srgbClr val="760D46"/>
              </a:solidFill>
              <a:ln>
                <a:noFill/>
              </a:ln>
              <a:effectLst/>
            </c:spPr>
          </c:dPt>
          <c:dPt>
            <c:idx val="2"/>
            <c:invertIfNegative val="0"/>
            <c:bubble3D val="0"/>
            <c:spPr>
              <a:solidFill>
                <a:srgbClr val="760D46"/>
              </a:solidFill>
              <a:ln>
                <a:noFill/>
              </a:ln>
              <a:effectLst/>
            </c:spPr>
          </c:dPt>
          <c:dPt>
            <c:idx val="3"/>
            <c:invertIfNegative val="0"/>
            <c:bubble3D val="0"/>
            <c:spPr>
              <a:solidFill>
                <a:srgbClr val="760D46"/>
              </a:solidFill>
              <a:ln>
                <a:noFill/>
              </a:ln>
              <a:effectLst/>
            </c:spPr>
          </c:dPt>
          <c:cat>
            <c:strRef>
              <c:f>Pivot!$A$77:$A$81</c:f>
              <c:strCache>
                <c:ptCount val="4"/>
                <c:pt idx="0">
                  <c:v>Africa</c:v>
                </c:pt>
                <c:pt idx="1">
                  <c:v>Americas</c:v>
                </c:pt>
                <c:pt idx="2">
                  <c:v>Asia</c:v>
                </c:pt>
                <c:pt idx="3">
                  <c:v>Europe</c:v>
                </c:pt>
              </c:strCache>
            </c:strRef>
          </c:cat>
          <c:val>
            <c:numRef>
              <c:f>Pivot!$F$77:$F$81</c:f>
              <c:numCache>
                <c:formatCode>General</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B-3495-4308-B455-6B5699E117CD}"/>
            </c:ext>
          </c:extLst>
        </c:ser>
        <c:ser>
          <c:idx val="5"/>
          <c:order val="5"/>
          <c:tx>
            <c:strRef>
              <c:f>Pivot!$G$75:$G$76</c:f>
              <c:strCache>
                <c:ptCount val="1"/>
                <c:pt idx="0">
                  <c:v>Retail</c:v>
                </c:pt>
              </c:strCache>
            </c:strRef>
          </c:tx>
          <c:spPr>
            <a:solidFill>
              <a:schemeClr val="accent6">
                <a:lumMod val="20000"/>
                <a:lumOff val="80000"/>
              </a:schemeClr>
            </a:solidFill>
            <a:ln>
              <a:noFill/>
            </a:ln>
            <a:effectLst/>
          </c:spPr>
          <c:invertIfNegative val="0"/>
          <c:cat>
            <c:strRef>
              <c:f>Pivot!$A$77:$A$81</c:f>
              <c:strCache>
                <c:ptCount val="4"/>
                <c:pt idx="0">
                  <c:v>Africa</c:v>
                </c:pt>
                <c:pt idx="1">
                  <c:v>Americas</c:v>
                </c:pt>
                <c:pt idx="2">
                  <c:v>Asia</c:v>
                </c:pt>
                <c:pt idx="3">
                  <c:v>Europe</c:v>
                </c:pt>
              </c:strCache>
            </c:strRef>
          </c:cat>
          <c:val>
            <c:numRef>
              <c:f>Pivot!$G$77:$G$81</c:f>
              <c:numCache>
                <c:formatCode>General</c:formatCode>
                <c:ptCount val="4"/>
                <c:pt idx="0">
                  <c:v>141171.08466999998</c:v>
                </c:pt>
                <c:pt idx="1">
                  <c:v>69035.709220000004</c:v>
                </c:pt>
                <c:pt idx="2">
                  <c:v>158051.77209000001</c:v>
                </c:pt>
                <c:pt idx="3">
                  <c:v>151779.17228999996</c:v>
                </c:pt>
              </c:numCache>
            </c:numRef>
          </c:val>
          <c:extLst>
            <c:ext xmlns:c16="http://schemas.microsoft.com/office/drawing/2014/chart" uri="{C3380CC4-5D6E-409C-BE32-E72D297353CC}">
              <c16:uniqueId val="{0000000C-3495-4308-B455-6B5699E117CD}"/>
            </c:ext>
          </c:extLst>
        </c:ser>
        <c:dLbls>
          <c:showLegendKey val="0"/>
          <c:showVal val="0"/>
          <c:showCatName val="0"/>
          <c:showSerName val="0"/>
          <c:showPercent val="0"/>
          <c:showBubbleSize val="0"/>
        </c:dLbls>
        <c:gapWidth val="150"/>
        <c:overlap val="100"/>
        <c:axId val="1667306207"/>
        <c:axId val="1667304287"/>
      </c:barChart>
      <c:catAx>
        <c:axId val="166730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60D46"/>
                </a:solidFill>
                <a:latin typeface="+mn-lt"/>
                <a:ea typeface="+mn-ea"/>
                <a:cs typeface="+mn-cs"/>
              </a:defRPr>
            </a:pPr>
            <a:endParaRPr lang="en-US"/>
          </a:p>
        </c:txPr>
        <c:crossAx val="1667304287"/>
        <c:crosses val="autoZero"/>
        <c:auto val="1"/>
        <c:lblAlgn val="ctr"/>
        <c:lblOffset val="100"/>
        <c:noMultiLvlLbl val="0"/>
      </c:catAx>
      <c:valAx>
        <c:axId val="166730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73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Brief.xlsx]Pivot!PivotTable58</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rgbClr val="760D46"/>
                </a:solidFill>
                <a:effectLst/>
              </a:rPr>
              <a:t>Top 10 SKUs by Revenue </a:t>
            </a:r>
            <a:endParaRPr lang="en-US">
              <a:solidFill>
                <a:srgbClr val="760D4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EBA8F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Pivot!$B$89</c:f>
              <c:strCache>
                <c:ptCount val="1"/>
                <c:pt idx="0">
                  <c:v>Total</c:v>
                </c:pt>
              </c:strCache>
            </c:strRef>
          </c:tx>
          <c:spPr>
            <a:solidFill>
              <a:srgbClr val="EBA8FE"/>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Pivot!$A$90:$A$100</c:f>
              <c:strCache>
                <c:ptCount val="10"/>
                <c:pt idx="0">
                  <c:v>NET-5523</c:v>
                </c:pt>
                <c:pt idx="1">
                  <c:v>NET-5987</c:v>
                </c:pt>
                <c:pt idx="2">
                  <c:v>LAP-3904</c:v>
                </c:pt>
                <c:pt idx="3">
                  <c:v>CMP-3938</c:v>
                </c:pt>
                <c:pt idx="4">
                  <c:v>MON-6699</c:v>
                </c:pt>
                <c:pt idx="5">
                  <c:v>MON-2266</c:v>
                </c:pt>
                <c:pt idx="6">
                  <c:v>MON-6962</c:v>
                </c:pt>
                <c:pt idx="7">
                  <c:v>LAP-8910</c:v>
                </c:pt>
                <c:pt idx="8">
                  <c:v>NET-2365</c:v>
                </c:pt>
                <c:pt idx="9">
                  <c:v>CMP-8851</c:v>
                </c:pt>
              </c:strCache>
            </c:strRef>
          </c:cat>
          <c:val>
            <c:numRef>
              <c:f>Pivot!$B$90:$B$100</c:f>
              <c:numCache>
                <c:formatCode>General</c:formatCode>
                <c:ptCount val="10"/>
                <c:pt idx="0">
                  <c:v>79548.755999999994</c:v>
                </c:pt>
                <c:pt idx="1">
                  <c:v>82141.339799999987</c:v>
                </c:pt>
                <c:pt idx="2">
                  <c:v>82514.711519999997</c:v>
                </c:pt>
                <c:pt idx="3">
                  <c:v>84136.119600000005</c:v>
                </c:pt>
                <c:pt idx="4">
                  <c:v>85637.740319999997</c:v>
                </c:pt>
                <c:pt idx="5">
                  <c:v>87404.929919999995</c:v>
                </c:pt>
                <c:pt idx="6">
                  <c:v>92715.25</c:v>
                </c:pt>
                <c:pt idx="7">
                  <c:v>102122.94203999999</c:v>
                </c:pt>
                <c:pt idx="8">
                  <c:v>109244</c:v>
                </c:pt>
                <c:pt idx="9">
                  <c:v>139277.83032000001</c:v>
                </c:pt>
              </c:numCache>
            </c:numRef>
          </c:val>
          <c:extLst>
            <c:ext xmlns:c16="http://schemas.microsoft.com/office/drawing/2014/chart" uri="{C3380CC4-5D6E-409C-BE32-E72D297353CC}">
              <c16:uniqueId val="{00000000-DC25-413A-A06E-C7D59A517F5C}"/>
            </c:ext>
          </c:extLst>
        </c:ser>
        <c:dLbls>
          <c:dLblPos val="outEnd"/>
          <c:showLegendKey val="0"/>
          <c:showVal val="1"/>
          <c:showCatName val="0"/>
          <c:showSerName val="0"/>
          <c:showPercent val="0"/>
          <c:showBubbleSize val="0"/>
        </c:dLbls>
        <c:gapWidth val="152"/>
        <c:overlap val="12"/>
        <c:axId val="1450886863"/>
        <c:axId val="1450887823"/>
      </c:barChart>
      <c:catAx>
        <c:axId val="14508868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SKUs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0887823"/>
        <c:crosses val="autoZero"/>
        <c:auto val="1"/>
        <c:lblAlgn val="ctr"/>
        <c:lblOffset val="100"/>
        <c:noMultiLvlLbl val="0"/>
      </c:catAx>
      <c:valAx>
        <c:axId val="1450887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088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Brief.xlsx]Pivot!PivotTable43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1" i="0" u="none" strike="noStrike" baseline="0">
                <a:solidFill>
                  <a:srgbClr val="760D46"/>
                </a:solidFill>
                <a:effectLst/>
              </a:rPr>
              <a:t>Profit by Region and Channel </a:t>
            </a:r>
            <a:endParaRPr lang="en-US" b="1">
              <a:solidFill>
                <a:srgbClr val="760D4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98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1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60D46"/>
          </a:solidFill>
          <a:ln>
            <a:noFill/>
          </a:ln>
          <a:effectLst/>
        </c:spPr>
      </c:pivotFmt>
      <c:pivotFmt>
        <c:idx val="7"/>
        <c:spPr>
          <a:solidFill>
            <a:srgbClr val="760D46"/>
          </a:solidFill>
          <a:ln>
            <a:noFill/>
          </a:ln>
          <a:effectLst/>
        </c:spPr>
      </c:pivotFmt>
      <c:pivotFmt>
        <c:idx val="8"/>
        <c:spPr>
          <a:solidFill>
            <a:srgbClr val="760D46"/>
          </a:solidFill>
          <a:ln>
            <a:noFill/>
          </a:ln>
          <a:effectLst/>
        </c:spPr>
      </c:pivotFmt>
      <c:pivotFmt>
        <c:idx val="9"/>
        <c:spPr>
          <a:solidFill>
            <a:srgbClr val="760D46"/>
          </a:solidFill>
          <a:ln>
            <a:noFill/>
          </a:ln>
          <a:effectLst/>
        </c:spPr>
      </c:pivotFmt>
      <c:pivotFmt>
        <c:idx val="1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698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1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760D46"/>
          </a:solidFill>
          <a:ln>
            <a:noFill/>
          </a:ln>
          <a:effectLst/>
        </c:spPr>
      </c:pivotFmt>
      <c:pivotFmt>
        <c:idx val="16"/>
        <c:spPr>
          <a:solidFill>
            <a:srgbClr val="760D46"/>
          </a:solidFill>
          <a:ln>
            <a:noFill/>
          </a:ln>
          <a:effectLst/>
        </c:spPr>
      </c:pivotFmt>
      <c:pivotFmt>
        <c:idx val="17"/>
        <c:spPr>
          <a:solidFill>
            <a:srgbClr val="760D46"/>
          </a:solidFill>
          <a:ln>
            <a:noFill/>
          </a:ln>
          <a:effectLst/>
        </c:spPr>
      </c:pivotFmt>
      <c:pivotFmt>
        <c:idx val="18"/>
        <c:spPr>
          <a:solidFill>
            <a:srgbClr val="760D46"/>
          </a:solidFill>
          <a:ln>
            <a:noFill/>
          </a:ln>
          <a:effectLst/>
        </c:spPr>
      </c:pivotFmt>
      <c:pivotFmt>
        <c:idx val="19"/>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760D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698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E1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760D46"/>
          </a:solidFill>
          <a:ln>
            <a:noFill/>
          </a:ln>
          <a:effectLst/>
        </c:spPr>
      </c:pivotFmt>
      <c:pivotFmt>
        <c:idx val="26"/>
        <c:spPr>
          <a:solidFill>
            <a:srgbClr val="760D46"/>
          </a:solidFill>
          <a:ln>
            <a:noFill/>
          </a:ln>
          <a:effectLst/>
        </c:spPr>
      </c:pivotFmt>
      <c:pivotFmt>
        <c:idx val="27"/>
        <c:spPr>
          <a:solidFill>
            <a:srgbClr val="760D46"/>
          </a:solidFill>
          <a:ln>
            <a:noFill/>
          </a:ln>
          <a:effectLst/>
        </c:spPr>
      </c:pivotFmt>
      <c:pivotFmt>
        <c:idx val="28"/>
        <c:spPr>
          <a:solidFill>
            <a:srgbClr val="760D46"/>
          </a:solidFill>
          <a:ln>
            <a:noFill/>
          </a:ln>
          <a:effectLst/>
        </c:spPr>
      </c:pivotFmt>
      <c:pivotFmt>
        <c:idx val="29"/>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Pivot!$B$75:$B$76</c:f>
              <c:strCache>
                <c:ptCount val="1"/>
                <c:pt idx="0">
                  <c:v>Direct</c:v>
                </c:pt>
              </c:strCache>
            </c:strRef>
          </c:tx>
          <c:spPr>
            <a:solidFill>
              <a:srgbClr val="760D46"/>
            </a:solidFill>
            <a:ln>
              <a:noFill/>
            </a:ln>
            <a:effectLst/>
          </c:spPr>
          <c:invertIfNegative val="0"/>
          <c:cat>
            <c:strRef>
              <c:f>Pivot!$A$77:$A$81</c:f>
              <c:strCache>
                <c:ptCount val="4"/>
                <c:pt idx="0">
                  <c:v>Africa</c:v>
                </c:pt>
                <c:pt idx="1">
                  <c:v>Americas</c:v>
                </c:pt>
                <c:pt idx="2">
                  <c:v>Asia</c:v>
                </c:pt>
                <c:pt idx="3">
                  <c:v>Europe</c:v>
                </c:pt>
              </c:strCache>
            </c:strRef>
          </c:cat>
          <c:val>
            <c:numRef>
              <c:f>Pivot!$B$77:$B$81</c:f>
              <c:numCache>
                <c:formatCode>General</c:formatCode>
                <c:ptCount val="4"/>
                <c:pt idx="0">
                  <c:v>178727.35369999998</c:v>
                </c:pt>
                <c:pt idx="1">
                  <c:v>258674.92591000002</c:v>
                </c:pt>
                <c:pt idx="2">
                  <c:v>246072.37136999995</c:v>
                </c:pt>
                <c:pt idx="3">
                  <c:v>292716.95204</c:v>
                </c:pt>
              </c:numCache>
            </c:numRef>
          </c:val>
          <c:extLst>
            <c:ext xmlns:c16="http://schemas.microsoft.com/office/drawing/2014/chart" uri="{C3380CC4-5D6E-409C-BE32-E72D297353CC}">
              <c16:uniqueId val="{00000000-6D89-4576-9D00-60E0733CC89A}"/>
            </c:ext>
          </c:extLst>
        </c:ser>
        <c:ser>
          <c:idx val="1"/>
          <c:order val="1"/>
          <c:tx>
            <c:strRef>
              <c:f>Pivot!$C$75:$C$76</c:f>
              <c:strCache>
                <c:ptCount val="1"/>
                <c:pt idx="0">
                  <c:v>Distributor</c:v>
                </c:pt>
              </c:strCache>
            </c:strRef>
          </c:tx>
          <c:spPr>
            <a:solidFill>
              <a:srgbClr val="F698DB"/>
            </a:solidFill>
            <a:ln>
              <a:noFill/>
            </a:ln>
            <a:effectLst/>
          </c:spPr>
          <c:invertIfNegative val="0"/>
          <c:cat>
            <c:strRef>
              <c:f>Pivot!$A$77:$A$81</c:f>
              <c:strCache>
                <c:ptCount val="4"/>
                <c:pt idx="0">
                  <c:v>Africa</c:v>
                </c:pt>
                <c:pt idx="1">
                  <c:v>Americas</c:v>
                </c:pt>
                <c:pt idx="2">
                  <c:v>Asia</c:v>
                </c:pt>
                <c:pt idx="3">
                  <c:v>Europe</c:v>
                </c:pt>
              </c:strCache>
            </c:strRef>
          </c:cat>
          <c:val>
            <c:numRef>
              <c:f>Pivot!$C$77:$C$81</c:f>
              <c:numCache>
                <c:formatCode>General</c:formatCode>
                <c:ptCount val="4"/>
                <c:pt idx="0">
                  <c:v>202729.86447</c:v>
                </c:pt>
                <c:pt idx="1">
                  <c:v>175736.86191999997</c:v>
                </c:pt>
                <c:pt idx="2">
                  <c:v>151146.74599000002</c:v>
                </c:pt>
                <c:pt idx="3">
                  <c:v>105550.85220000002</c:v>
                </c:pt>
              </c:numCache>
            </c:numRef>
          </c:val>
          <c:extLst>
            <c:ext xmlns:c16="http://schemas.microsoft.com/office/drawing/2014/chart" uri="{C3380CC4-5D6E-409C-BE32-E72D297353CC}">
              <c16:uniqueId val="{00000009-0777-4E6C-A888-D430CA952696}"/>
            </c:ext>
          </c:extLst>
        </c:ser>
        <c:ser>
          <c:idx val="2"/>
          <c:order val="2"/>
          <c:tx>
            <c:strRef>
              <c:f>Pivot!$D$75:$D$76</c:f>
              <c:strCache>
                <c:ptCount val="1"/>
                <c:pt idx="0">
                  <c:v>Marketplace</c:v>
                </c:pt>
              </c:strCache>
            </c:strRef>
          </c:tx>
          <c:spPr>
            <a:solidFill>
              <a:srgbClr val="E1D2FF"/>
            </a:solidFill>
            <a:ln>
              <a:noFill/>
            </a:ln>
            <a:effectLst/>
          </c:spPr>
          <c:invertIfNegative val="0"/>
          <c:cat>
            <c:strRef>
              <c:f>Pivot!$A$77:$A$81</c:f>
              <c:strCache>
                <c:ptCount val="4"/>
                <c:pt idx="0">
                  <c:v>Africa</c:v>
                </c:pt>
                <c:pt idx="1">
                  <c:v>Americas</c:v>
                </c:pt>
                <c:pt idx="2">
                  <c:v>Asia</c:v>
                </c:pt>
                <c:pt idx="3">
                  <c:v>Europe</c:v>
                </c:pt>
              </c:strCache>
            </c:strRef>
          </c:cat>
          <c:val>
            <c:numRef>
              <c:f>Pivot!$D$77:$D$81</c:f>
              <c:numCache>
                <c:formatCode>General</c:formatCode>
                <c:ptCount val="4"/>
                <c:pt idx="0">
                  <c:v>164839.30455999999</c:v>
                </c:pt>
                <c:pt idx="1">
                  <c:v>96609.647519999999</c:v>
                </c:pt>
                <c:pt idx="2">
                  <c:v>132709.51272999996</c:v>
                </c:pt>
                <c:pt idx="3">
                  <c:v>118458.01025000001</c:v>
                </c:pt>
              </c:numCache>
            </c:numRef>
          </c:val>
          <c:extLst>
            <c:ext xmlns:c16="http://schemas.microsoft.com/office/drawing/2014/chart" uri="{C3380CC4-5D6E-409C-BE32-E72D297353CC}">
              <c16:uniqueId val="{0000000A-0777-4E6C-A888-D430CA952696}"/>
            </c:ext>
          </c:extLst>
        </c:ser>
        <c:ser>
          <c:idx val="3"/>
          <c:order val="3"/>
          <c:tx>
            <c:strRef>
              <c:f>Pivot!$E$75:$E$76</c:f>
              <c:strCache>
                <c:ptCount val="1"/>
                <c:pt idx="0">
                  <c:v>Not Provided</c:v>
                </c:pt>
              </c:strCache>
            </c:strRef>
          </c:tx>
          <c:spPr>
            <a:solidFill>
              <a:schemeClr val="accent4"/>
            </a:solidFill>
            <a:ln>
              <a:noFill/>
            </a:ln>
            <a:effectLst/>
          </c:spPr>
          <c:invertIfNegative val="0"/>
          <c:cat>
            <c:strRef>
              <c:f>Pivot!$A$77:$A$81</c:f>
              <c:strCache>
                <c:ptCount val="4"/>
                <c:pt idx="0">
                  <c:v>Africa</c:v>
                </c:pt>
                <c:pt idx="1">
                  <c:v>Americas</c:v>
                </c:pt>
                <c:pt idx="2">
                  <c:v>Asia</c:v>
                </c:pt>
                <c:pt idx="3">
                  <c:v>Europe</c:v>
                </c:pt>
              </c:strCache>
            </c:strRef>
          </c:cat>
          <c:val>
            <c:numRef>
              <c:f>Pivot!$E$77:$E$81</c:f>
              <c:numCache>
                <c:formatCode>General</c:formatCode>
                <c:ptCount val="4"/>
                <c:pt idx="0">
                  <c:v>16237.344229999999</c:v>
                </c:pt>
                <c:pt idx="1">
                  <c:v>777.95999999999913</c:v>
                </c:pt>
                <c:pt idx="2">
                  <c:v>4017.1204799999987</c:v>
                </c:pt>
                <c:pt idx="3">
                  <c:v>1263.5064600000001</c:v>
                </c:pt>
              </c:numCache>
            </c:numRef>
          </c:val>
          <c:extLst>
            <c:ext xmlns:c16="http://schemas.microsoft.com/office/drawing/2014/chart" uri="{C3380CC4-5D6E-409C-BE32-E72D297353CC}">
              <c16:uniqueId val="{0000000B-0777-4E6C-A888-D430CA952696}"/>
            </c:ext>
          </c:extLst>
        </c:ser>
        <c:ser>
          <c:idx val="4"/>
          <c:order val="4"/>
          <c:tx>
            <c:strRef>
              <c:f>Pivot!$F$75:$F$76</c:f>
              <c:strCache>
                <c:ptCount val="1"/>
                <c:pt idx="0">
                  <c:v>Online</c:v>
                </c:pt>
              </c:strCache>
            </c:strRef>
          </c:tx>
          <c:spPr>
            <a:solidFill>
              <a:schemeClr val="accent5"/>
            </a:solidFill>
            <a:ln>
              <a:noFill/>
            </a:ln>
            <a:effectLst/>
          </c:spPr>
          <c:invertIfNegative val="0"/>
          <c:dPt>
            <c:idx val="0"/>
            <c:invertIfNegative val="0"/>
            <c:bubble3D val="0"/>
            <c:spPr>
              <a:solidFill>
                <a:srgbClr val="760D46"/>
              </a:solidFill>
              <a:ln>
                <a:noFill/>
              </a:ln>
              <a:effectLst/>
            </c:spPr>
          </c:dPt>
          <c:dPt>
            <c:idx val="1"/>
            <c:invertIfNegative val="0"/>
            <c:bubble3D val="0"/>
            <c:spPr>
              <a:solidFill>
                <a:srgbClr val="760D46"/>
              </a:solidFill>
              <a:ln>
                <a:noFill/>
              </a:ln>
              <a:effectLst/>
            </c:spPr>
          </c:dPt>
          <c:dPt>
            <c:idx val="2"/>
            <c:invertIfNegative val="0"/>
            <c:bubble3D val="0"/>
            <c:spPr>
              <a:solidFill>
                <a:srgbClr val="760D46"/>
              </a:solidFill>
              <a:ln>
                <a:noFill/>
              </a:ln>
              <a:effectLst/>
            </c:spPr>
          </c:dPt>
          <c:dPt>
            <c:idx val="3"/>
            <c:invertIfNegative val="0"/>
            <c:bubble3D val="0"/>
            <c:spPr>
              <a:solidFill>
                <a:srgbClr val="760D46"/>
              </a:solidFill>
              <a:ln>
                <a:noFill/>
              </a:ln>
              <a:effectLst/>
            </c:spPr>
          </c:dPt>
          <c:cat>
            <c:strRef>
              <c:f>Pivot!$A$77:$A$81</c:f>
              <c:strCache>
                <c:ptCount val="4"/>
                <c:pt idx="0">
                  <c:v>Africa</c:v>
                </c:pt>
                <c:pt idx="1">
                  <c:v>Americas</c:v>
                </c:pt>
                <c:pt idx="2">
                  <c:v>Asia</c:v>
                </c:pt>
                <c:pt idx="3">
                  <c:v>Europe</c:v>
                </c:pt>
              </c:strCache>
            </c:strRef>
          </c:cat>
          <c:val>
            <c:numRef>
              <c:f>Pivot!$F$77:$F$81</c:f>
              <c:numCache>
                <c:formatCode>General</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C-0777-4E6C-A888-D430CA952696}"/>
            </c:ext>
          </c:extLst>
        </c:ser>
        <c:ser>
          <c:idx val="5"/>
          <c:order val="5"/>
          <c:tx>
            <c:strRef>
              <c:f>Pivot!$G$75:$G$76</c:f>
              <c:strCache>
                <c:ptCount val="1"/>
                <c:pt idx="0">
                  <c:v>Retail</c:v>
                </c:pt>
              </c:strCache>
            </c:strRef>
          </c:tx>
          <c:spPr>
            <a:solidFill>
              <a:schemeClr val="accent6">
                <a:lumMod val="20000"/>
                <a:lumOff val="80000"/>
              </a:schemeClr>
            </a:solidFill>
            <a:ln>
              <a:noFill/>
            </a:ln>
            <a:effectLst/>
          </c:spPr>
          <c:invertIfNegative val="0"/>
          <c:cat>
            <c:strRef>
              <c:f>Pivot!$A$77:$A$81</c:f>
              <c:strCache>
                <c:ptCount val="4"/>
                <c:pt idx="0">
                  <c:v>Africa</c:v>
                </c:pt>
                <c:pt idx="1">
                  <c:v>Americas</c:v>
                </c:pt>
                <c:pt idx="2">
                  <c:v>Asia</c:v>
                </c:pt>
                <c:pt idx="3">
                  <c:v>Europe</c:v>
                </c:pt>
              </c:strCache>
            </c:strRef>
          </c:cat>
          <c:val>
            <c:numRef>
              <c:f>Pivot!$G$77:$G$81</c:f>
              <c:numCache>
                <c:formatCode>General</c:formatCode>
                <c:ptCount val="4"/>
                <c:pt idx="0">
                  <c:v>141171.08466999998</c:v>
                </c:pt>
                <c:pt idx="1">
                  <c:v>69035.709220000004</c:v>
                </c:pt>
                <c:pt idx="2">
                  <c:v>158051.77209000001</c:v>
                </c:pt>
                <c:pt idx="3">
                  <c:v>151779.17228999996</c:v>
                </c:pt>
              </c:numCache>
            </c:numRef>
          </c:val>
          <c:extLst>
            <c:ext xmlns:c16="http://schemas.microsoft.com/office/drawing/2014/chart" uri="{C3380CC4-5D6E-409C-BE32-E72D297353CC}">
              <c16:uniqueId val="{0000000D-0777-4E6C-A888-D430CA952696}"/>
            </c:ext>
          </c:extLst>
        </c:ser>
        <c:dLbls>
          <c:showLegendKey val="0"/>
          <c:showVal val="0"/>
          <c:showCatName val="0"/>
          <c:showSerName val="0"/>
          <c:showPercent val="0"/>
          <c:showBubbleSize val="0"/>
        </c:dLbls>
        <c:gapWidth val="150"/>
        <c:overlap val="100"/>
        <c:axId val="1667306207"/>
        <c:axId val="1667304287"/>
      </c:barChart>
      <c:catAx>
        <c:axId val="166730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60D46"/>
                </a:solidFill>
                <a:latin typeface="Arial" panose="020B0604020202020204" pitchFamily="34" charset="0"/>
                <a:ea typeface="+mn-ea"/>
                <a:cs typeface="Arial" panose="020B0604020202020204" pitchFamily="34" charset="0"/>
              </a:defRPr>
            </a:pPr>
            <a:endParaRPr lang="en-US"/>
          </a:p>
        </c:txPr>
        <c:crossAx val="1667304287"/>
        <c:crosses val="autoZero"/>
        <c:auto val="1"/>
        <c:lblAlgn val="ctr"/>
        <c:lblOffset val="100"/>
        <c:noMultiLvlLbl val="0"/>
      </c:catAx>
      <c:valAx>
        <c:axId val="1667304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60D46"/>
                </a:solidFill>
                <a:latin typeface="+mn-lt"/>
                <a:ea typeface="+mn-ea"/>
                <a:cs typeface="+mn-cs"/>
              </a:defRPr>
            </a:pPr>
            <a:endParaRPr lang="en-US"/>
          </a:p>
        </c:txPr>
        <c:crossAx val="16673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60D4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Brief.xlsx]Pivot!PivotTable58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rgbClr val="760D46"/>
                </a:solidFill>
                <a:effectLst/>
              </a:rPr>
              <a:t>Top 10 SKUs by Revenue </a:t>
            </a:r>
            <a:endParaRPr lang="en-US" b="1">
              <a:solidFill>
                <a:srgbClr val="760D46"/>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EBA8F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BA8F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rgbClr val="760D4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s>
    <c:plotArea>
      <c:layout/>
      <c:barChart>
        <c:barDir val="bar"/>
        <c:grouping val="clustered"/>
        <c:varyColors val="0"/>
        <c:ser>
          <c:idx val="0"/>
          <c:order val="0"/>
          <c:tx>
            <c:strRef>
              <c:f>Pivot!$B$89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rgbClr val="760D4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Pivot!$A$90:$A$100</c:f>
              <c:strCache>
                <c:ptCount val="10"/>
                <c:pt idx="0">
                  <c:v>NET-5523</c:v>
                </c:pt>
                <c:pt idx="1">
                  <c:v>NET-5987</c:v>
                </c:pt>
                <c:pt idx="2">
                  <c:v>LAP-3904</c:v>
                </c:pt>
                <c:pt idx="3">
                  <c:v>CMP-3938</c:v>
                </c:pt>
                <c:pt idx="4">
                  <c:v>MON-6699</c:v>
                </c:pt>
                <c:pt idx="5">
                  <c:v>MON-2266</c:v>
                </c:pt>
                <c:pt idx="6">
                  <c:v>MON-6962</c:v>
                </c:pt>
                <c:pt idx="7">
                  <c:v>LAP-8910</c:v>
                </c:pt>
                <c:pt idx="8">
                  <c:v>NET-2365</c:v>
                </c:pt>
                <c:pt idx="9">
                  <c:v>CMP-8851</c:v>
                </c:pt>
              </c:strCache>
            </c:strRef>
          </c:cat>
          <c:val>
            <c:numRef>
              <c:f>Pivot!$B$90:$B$100</c:f>
              <c:numCache>
                <c:formatCode>General</c:formatCode>
                <c:ptCount val="10"/>
                <c:pt idx="0">
                  <c:v>79548.755999999994</c:v>
                </c:pt>
                <c:pt idx="1">
                  <c:v>82141.339799999987</c:v>
                </c:pt>
                <c:pt idx="2">
                  <c:v>82514.711519999997</c:v>
                </c:pt>
                <c:pt idx="3">
                  <c:v>84136.119600000005</c:v>
                </c:pt>
                <c:pt idx="4">
                  <c:v>85637.740319999997</c:v>
                </c:pt>
                <c:pt idx="5">
                  <c:v>87404.929919999995</c:v>
                </c:pt>
                <c:pt idx="6">
                  <c:v>92715.25</c:v>
                </c:pt>
                <c:pt idx="7">
                  <c:v>102122.94203999999</c:v>
                </c:pt>
                <c:pt idx="8">
                  <c:v>109244</c:v>
                </c:pt>
                <c:pt idx="9">
                  <c:v>139277.83032000001</c:v>
                </c:pt>
              </c:numCache>
            </c:numRef>
          </c:val>
          <c:extLst>
            <c:ext xmlns:c16="http://schemas.microsoft.com/office/drawing/2014/chart" uri="{C3380CC4-5D6E-409C-BE32-E72D297353CC}">
              <c16:uniqueId val="{00000000-C33F-4B7A-B402-E765C391E6E0}"/>
            </c:ext>
          </c:extLst>
        </c:ser>
        <c:dLbls>
          <c:dLblPos val="outEnd"/>
          <c:showLegendKey val="0"/>
          <c:showVal val="1"/>
          <c:showCatName val="0"/>
          <c:showSerName val="0"/>
          <c:showPercent val="0"/>
          <c:showBubbleSize val="0"/>
        </c:dLbls>
        <c:gapWidth val="24"/>
        <c:overlap val="-10"/>
        <c:axId val="1450886863"/>
        <c:axId val="1450887823"/>
      </c:barChart>
      <c:catAx>
        <c:axId val="1450886863"/>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760D46"/>
                    </a:solidFill>
                    <a:latin typeface="Arial" panose="020B0604020202020204" pitchFamily="34" charset="0"/>
                    <a:ea typeface="+mn-ea"/>
                    <a:cs typeface="Arial" panose="020B0604020202020204" pitchFamily="34" charset="0"/>
                  </a:defRPr>
                </a:pPr>
                <a:r>
                  <a:rPr lang="en-US">
                    <a:solidFill>
                      <a:srgbClr val="760D46"/>
                    </a:solidFill>
                    <a:latin typeface="Arial" panose="020B0604020202020204" pitchFamily="34" charset="0"/>
                    <a:cs typeface="Arial" panose="020B0604020202020204" pitchFamily="34" charset="0"/>
                  </a:rPr>
                  <a:t>SKUs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60D46"/>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60D46"/>
                </a:solidFill>
                <a:latin typeface="Arial" panose="020B0604020202020204" pitchFamily="34" charset="0"/>
                <a:ea typeface="+mn-ea"/>
                <a:cs typeface="Arial" panose="020B0604020202020204" pitchFamily="34" charset="0"/>
              </a:defRPr>
            </a:pPr>
            <a:endParaRPr lang="en-US"/>
          </a:p>
        </c:txPr>
        <c:crossAx val="1450887823"/>
        <c:crosses val="autoZero"/>
        <c:auto val="1"/>
        <c:lblAlgn val="ctr"/>
        <c:lblOffset val="100"/>
        <c:noMultiLvlLbl val="0"/>
      </c:catAx>
      <c:valAx>
        <c:axId val="1450887823"/>
        <c:scaling>
          <c:orientation val="minMax"/>
        </c:scaling>
        <c:delete val="1"/>
        <c:axPos val="b"/>
        <c:numFmt formatCode="General" sourceLinked="1"/>
        <c:majorTickMark val="none"/>
        <c:minorTickMark val="none"/>
        <c:tickLblPos val="nextTo"/>
        <c:crossAx val="145088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Brief.xlsx]Pivot!PivotTable33</c:name>
    <c:fmtId val="4"/>
  </c:pivotSource>
  <c:chart>
    <c:title>
      <c:tx>
        <c:rich>
          <a:bodyPr rot="0" spcFirstLastPara="1" vertOverflow="ellipsis" vert="horz" wrap="square" anchor="ctr" anchorCtr="1"/>
          <a:lstStyle/>
          <a:p>
            <a:pPr>
              <a:defRPr sz="1400" b="1" i="0" u="none" strike="noStrike" kern="1200" spc="0" baseline="0">
                <a:solidFill>
                  <a:srgbClr val="760D46"/>
                </a:solidFill>
                <a:latin typeface="+mn-lt"/>
                <a:ea typeface="+mn-ea"/>
                <a:cs typeface="+mn-cs"/>
              </a:defRPr>
            </a:pPr>
            <a:r>
              <a:rPr lang="en-US" b="1">
                <a:solidFill>
                  <a:srgbClr val="760D46"/>
                </a:solidFill>
              </a:rPr>
              <a:t>Total Revenue by Month</a:t>
            </a:r>
          </a:p>
        </c:rich>
      </c:tx>
      <c:layout>
        <c:manualLayout>
          <c:xMode val="edge"/>
          <c:yMode val="edge"/>
          <c:x val="0.23760639994627542"/>
          <c:y val="2.645502645502645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760D46"/>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60D4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c:f>
              <c:strCache>
                <c:ptCount val="1"/>
                <c:pt idx="0">
                  <c:v>Total</c:v>
                </c:pt>
              </c:strCache>
            </c:strRef>
          </c:tx>
          <c:spPr>
            <a:ln w="28575" cap="rnd">
              <a:solidFill>
                <a:srgbClr val="760D46"/>
              </a:solidFill>
              <a:round/>
            </a:ln>
            <a:effectLst/>
          </c:spPr>
          <c:marker>
            <c:symbol val="none"/>
          </c:marker>
          <c:cat>
            <c:multiLvlStrRef>
              <c:f>Pivot!$A$6:$A$42</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2023</c:v>
                  </c:pt>
                  <c:pt idx="12">
                    <c:v>2024</c:v>
                  </c:pt>
                  <c:pt idx="24">
                    <c:v>2025</c:v>
                  </c:pt>
                </c:lvl>
              </c:multiLvlStrCache>
            </c:multiLvlStrRef>
          </c:cat>
          <c:val>
            <c:numRef>
              <c:f>Pivot!$B$6:$B$42</c:f>
              <c:numCache>
                <c:formatCode>General</c:formatCode>
                <c:ptCount val="33"/>
                <c:pt idx="0">
                  <c:v>151883.44939999995</c:v>
                </c:pt>
                <c:pt idx="1">
                  <c:v>433788.64049000002</c:v>
                </c:pt>
                <c:pt idx="2">
                  <c:v>215576.67437999998</c:v>
                </c:pt>
                <c:pt idx="3">
                  <c:v>371604.58273999998</c:v>
                </c:pt>
                <c:pt idx="4">
                  <c:v>470192.17181999999</c:v>
                </c:pt>
                <c:pt idx="5">
                  <c:v>236474.06157000002</c:v>
                </c:pt>
                <c:pt idx="6">
                  <c:v>560860.55604000005</c:v>
                </c:pt>
                <c:pt idx="7">
                  <c:v>339044.67039000004</c:v>
                </c:pt>
                <c:pt idx="8">
                  <c:v>141266.51418999999</c:v>
                </c:pt>
                <c:pt idx="9">
                  <c:v>246114.84045000002</c:v>
                </c:pt>
                <c:pt idx="10">
                  <c:v>127009.5058</c:v>
                </c:pt>
                <c:pt idx="11">
                  <c:v>382101.36680000002</c:v>
                </c:pt>
                <c:pt idx="12">
                  <c:v>299100.37307999999</c:v>
                </c:pt>
                <c:pt idx="13">
                  <c:v>307793.71461999998</c:v>
                </c:pt>
                <c:pt idx="14">
                  <c:v>374300.10981000005</c:v>
                </c:pt>
                <c:pt idx="15">
                  <c:v>239506.82714000004</c:v>
                </c:pt>
                <c:pt idx="16">
                  <c:v>416985.76567000011</c:v>
                </c:pt>
                <c:pt idx="17">
                  <c:v>634490.72337999998</c:v>
                </c:pt>
                <c:pt idx="18">
                  <c:v>275628.61962999997</c:v>
                </c:pt>
                <c:pt idx="19">
                  <c:v>384156.19037999993</c:v>
                </c:pt>
                <c:pt idx="20">
                  <c:v>347613.18767000007</c:v>
                </c:pt>
                <c:pt idx="21">
                  <c:v>417732.48301000008</c:v>
                </c:pt>
                <c:pt idx="22">
                  <c:v>416944.18554999994</c:v>
                </c:pt>
                <c:pt idx="23">
                  <c:v>354378.93716000003</c:v>
                </c:pt>
                <c:pt idx="24">
                  <c:v>223498.20032000003</c:v>
                </c:pt>
                <c:pt idx="25">
                  <c:v>221608.49786999999</c:v>
                </c:pt>
                <c:pt idx="26">
                  <c:v>209425.98854000005</c:v>
                </c:pt>
                <c:pt idx="27">
                  <c:v>336135.16749999998</c:v>
                </c:pt>
                <c:pt idx="28">
                  <c:v>375723.96026000002</c:v>
                </c:pt>
                <c:pt idx="29">
                  <c:v>382009.37596000009</c:v>
                </c:pt>
                <c:pt idx="30">
                  <c:v>486970.83348000003</c:v>
                </c:pt>
                <c:pt idx="31">
                  <c:v>366808.72249999997</c:v>
                </c:pt>
                <c:pt idx="32">
                  <c:v>172279.72760000001</c:v>
                </c:pt>
              </c:numCache>
            </c:numRef>
          </c:val>
          <c:smooth val="0"/>
          <c:extLst>
            <c:ext xmlns:c16="http://schemas.microsoft.com/office/drawing/2014/chart" uri="{C3380CC4-5D6E-409C-BE32-E72D297353CC}">
              <c16:uniqueId val="{00000000-A6BB-4301-9E1C-06F63B00A2DD}"/>
            </c:ext>
          </c:extLst>
        </c:ser>
        <c:dLbls>
          <c:showLegendKey val="0"/>
          <c:showVal val="0"/>
          <c:showCatName val="0"/>
          <c:showSerName val="0"/>
          <c:showPercent val="0"/>
          <c:showBubbleSize val="0"/>
        </c:dLbls>
        <c:smooth val="0"/>
        <c:axId val="1763578591"/>
        <c:axId val="1763579071"/>
      </c:lineChart>
      <c:catAx>
        <c:axId val="176357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60D46"/>
                </a:solidFill>
                <a:latin typeface="+mn-lt"/>
                <a:ea typeface="+mn-ea"/>
                <a:cs typeface="+mn-cs"/>
              </a:defRPr>
            </a:pPr>
            <a:endParaRPr lang="en-US"/>
          </a:p>
        </c:txPr>
        <c:crossAx val="1763579071"/>
        <c:crosses val="autoZero"/>
        <c:auto val="1"/>
        <c:lblAlgn val="ctr"/>
        <c:lblOffset val="100"/>
        <c:noMultiLvlLbl val="0"/>
      </c:catAx>
      <c:valAx>
        <c:axId val="1763579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60D46"/>
                </a:solidFill>
                <a:latin typeface="+mn-lt"/>
                <a:ea typeface="+mn-ea"/>
                <a:cs typeface="+mn-cs"/>
              </a:defRPr>
            </a:pPr>
            <a:endParaRPr lang="en-US"/>
          </a:p>
        </c:txPr>
        <c:crossAx val="176357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Brief.xlsx]Pivot 2!PivotTable64</c:name>
    <c:fmtId val="3"/>
  </c:pivotSource>
  <c:chart>
    <c:title>
      <c:tx>
        <c:rich>
          <a:bodyPr rot="0" spcFirstLastPara="1" vertOverflow="ellipsis" vert="horz" wrap="square" anchor="ctr" anchorCtr="1"/>
          <a:lstStyle/>
          <a:p>
            <a:pPr>
              <a:defRPr sz="1400" b="1" i="0" u="none" strike="noStrike" kern="1200" spc="0" baseline="0">
                <a:solidFill>
                  <a:srgbClr val="760D46"/>
                </a:solidFill>
                <a:latin typeface="+mn-lt"/>
                <a:ea typeface="+mn-ea"/>
                <a:cs typeface="+mn-cs"/>
              </a:defRPr>
            </a:pPr>
            <a:r>
              <a:rPr lang="en-US" b="1">
                <a:solidFill>
                  <a:srgbClr val="760D46"/>
                </a:solidFill>
              </a:rPr>
              <a:t>Channel </a:t>
            </a:r>
            <a:r>
              <a:rPr lang="en-US" sz="1200" b="1">
                <a:solidFill>
                  <a:srgbClr val="760D46"/>
                </a:solidFill>
              </a:rPr>
              <a:t>Cannibalization</a:t>
            </a:r>
          </a:p>
        </c:rich>
      </c:tx>
      <c:layout>
        <c:manualLayout>
          <c:xMode val="edge"/>
          <c:yMode val="edge"/>
          <c:x val="0.13216048738940744"/>
          <c:y val="1.69204737732656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760D46"/>
              </a:solidFill>
              <a:latin typeface="+mn-lt"/>
              <a:ea typeface="+mn-ea"/>
              <a:cs typeface="+mn-cs"/>
            </a:defRPr>
          </a:pPr>
          <a:endParaRPr lang="en-US"/>
        </a:p>
      </c:txPr>
    </c:title>
    <c:autoTitleDeleted val="0"/>
    <c:pivotFmts>
      <c:pivotFmt>
        <c:idx val="0"/>
        <c:spPr>
          <a:solidFill>
            <a:srgbClr val="EBA8F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60D4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BA8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60D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760D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65217013436234"/>
          <c:y val="0.23764805414551612"/>
          <c:w val="0.39738314995393786"/>
          <c:h val="0.41604647134844186"/>
        </c:manualLayout>
      </c:layout>
      <c:barChart>
        <c:barDir val="col"/>
        <c:grouping val="clustered"/>
        <c:varyColors val="0"/>
        <c:ser>
          <c:idx val="0"/>
          <c:order val="0"/>
          <c:tx>
            <c:strRef>
              <c:f>'Pivot 2'!$B$28:$B$29</c:f>
              <c:strCache>
                <c:ptCount val="1"/>
                <c:pt idx="0">
                  <c:v>Direct</c:v>
                </c:pt>
              </c:strCache>
            </c:strRef>
          </c:tx>
          <c:spPr>
            <a:solidFill>
              <a:srgbClr val="002060"/>
            </a:solidFill>
            <a:ln>
              <a:noFill/>
            </a:ln>
            <a:effectLst/>
          </c:spPr>
          <c:invertIfNegative val="0"/>
          <c:cat>
            <c:strRef>
              <c:f>'Pivot 2'!$A$30:$A$34</c:f>
              <c:strCache>
                <c:ptCount val="4"/>
                <c:pt idx="0">
                  <c:v>Africa</c:v>
                </c:pt>
                <c:pt idx="1">
                  <c:v>Americas</c:v>
                </c:pt>
                <c:pt idx="2">
                  <c:v>Asia</c:v>
                </c:pt>
                <c:pt idx="3">
                  <c:v>Europe</c:v>
                </c:pt>
              </c:strCache>
            </c:strRef>
          </c:cat>
          <c:val>
            <c:numRef>
              <c:f>'Pivot 2'!$B$30:$B$34</c:f>
              <c:numCache>
                <c:formatCode>0.00%</c:formatCode>
                <c:ptCount val="4"/>
                <c:pt idx="0">
                  <c:v>0.17716109829662022</c:v>
                </c:pt>
                <c:pt idx="1">
                  <c:v>0.27959652887305259</c:v>
                </c:pt>
                <c:pt idx="2">
                  <c:v>0.23912684264464432</c:v>
                </c:pt>
                <c:pt idx="3">
                  <c:v>0.3008275905823079</c:v>
                </c:pt>
              </c:numCache>
            </c:numRef>
          </c:val>
          <c:extLst>
            <c:ext xmlns:c16="http://schemas.microsoft.com/office/drawing/2014/chart" uri="{C3380CC4-5D6E-409C-BE32-E72D297353CC}">
              <c16:uniqueId val="{00000000-A5A2-4422-905C-DB074E5725D9}"/>
            </c:ext>
          </c:extLst>
        </c:ser>
        <c:ser>
          <c:idx val="1"/>
          <c:order val="1"/>
          <c:tx>
            <c:strRef>
              <c:f>'Pivot 2'!$C$28:$C$29</c:f>
              <c:strCache>
                <c:ptCount val="1"/>
                <c:pt idx="0">
                  <c:v>Distributor</c:v>
                </c:pt>
              </c:strCache>
            </c:strRef>
          </c:tx>
          <c:spPr>
            <a:solidFill>
              <a:srgbClr val="760D46"/>
            </a:solidFill>
            <a:ln>
              <a:noFill/>
            </a:ln>
            <a:effectLst/>
          </c:spPr>
          <c:invertIfNegative val="0"/>
          <c:cat>
            <c:strRef>
              <c:f>'Pivot 2'!$A$30:$A$34</c:f>
              <c:strCache>
                <c:ptCount val="4"/>
                <c:pt idx="0">
                  <c:v>Africa</c:v>
                </c:pt>
                <c:pt idx="1">
                  <c:v>Americas</c:v>
                </c:pt>
                <c:pt idx="2">
                  <c:v>Asia</c:v>
                </c:pt>
                <c:pt idx="3">
                  <c:v>Europe</c:v>
                </c:pt>
              </c:strCache>
            </c:strRef>
          </c:cat>
          <c:val>
            <c:numRef>
              <c:f>'Pivot 2'!$C$30:$C$34</c:f>
              <c:numCache>
                <c:formatCode>0.00%</c:formatCode>
                <c:ptCount val="4"/>
                <c:pt idx="0">
                  <c:v>0.24321571118294991</c:v>
                </c:pt>
                <c:pt idx="1">
                  <c:v>0.21153722604622074</c:v>
                </c:pt>
                <c:pt idx="2">
                  <c:v>0.18066408359148334</c:v>
                </c:pt>
                <c:pt idx="3">
                  <c:v>0.11379437522820593</c:v>
                </c:pt>
              </c:numCache>
            </c:numRef>
          </c:val>
          <c:extLst>
            <c:ext xmlns:c16="http://schemas.microsoft.com/office/drawing/2014/chart" uri="{C3380CC4-5D6E-409C-BE32-E72D297353CC}">
              <c16:uniqueId val="{00000007-A5A2-4422-905C-DB074E5725D9}"/>
            </c:ext>
          </c:extLst>
        </c:ser>
        <c:ser>
          <c:idx val="2"/>
          <c:order val="2"/>
          <c:tx>
            <c:strRef>
              <c:f>'Pivot 2'!$D$28:$D$29</c:f>
              <c:strCache>
                <c:ptCount val="1"/>
                <c:pt idx="0">
                  <c:v>Marketplace</c:v>
                </c:pt>
              </c:strCache>
            </c:strRef>
          </c:tx>
          <c:spPr>
            <a:solidFill>
              <a:schemeClr val="accent4">
                <a:lumMod val="75000"/>
              </a:schemeClr>
            </a:solidFill>
            <a:ln>
              <a:noFill/>
            </a:ln>
            <a:effectLst/>
          </c:spPr>
          <c:invertIfNegative val="0"/>
          <c:cat>
            <c:strRef>
              <c:f>'Pivot 2'!$A$30:$A$34</c:f>
              <c:strCache>
                <c:ptCount val="4"/>
                <c:pt idx="0">
                  <c:v>Africa</c:v>
                </c:pt>
                <c:pt idx="1">
                  <c:v>Americas</c:v>
                </c:pt>
                <c:pt idx="2">
                  <c:v>Asia</c:v>
                </c:pt>
                <c:pt idx="3">
                  <c:v>Europe</c:v>
                </c:pt>
              </c:strCache>
            </c:strRef>
          </c:cat>
          <c:val>
            <c:numRef>
              <c:f>'Pivot 2'!$D$30:$D$34</c:f>
              <c:numCache>
                <c:formatCode>0.00%</c:formatCode>
                <c:ptCount val="4"/>
                <c:pt idx="0">
                  <c:v>0.20216228975179579</c:v>
                </c:pt>
                <c:pt idx="1">
                  <c:v>0.13624034482391922</c:v>
                </c:pt>
                <c:pt idx="2">
                  <c:v>0.19367518969910263</c:v>
                </c:pt>
                <c:pt idx="3">
                  <c:v>0.20810337051302416</c:v>
                </c:pt>
              </c:numCache>
            </c:numRef>
          </c:val>
          <c:extLst>
            <c:ext xmlns:c16="http://schemas.microsoft.com/office/drawing/2014/chart" uri="{C3380CC4-5D6E-409C-BE32-E72D297353CC}">
              <c16:uniqueId val="{00000008-A5A2-4422-905C-DB074E5725D9}"/>
            </c:ext>
          </c:extLst>
        </c:ser>
        <c:ser>
          <c:idx val="3"/>
          <c:order val="3"/>
          <c:tx>
            <c:strRef>
              <c:f>'Pivot 2'!$E$28:$E$29</c:f>
              <c:strCache>
                <c:ptCount val="1"/>
                <c:pt idx="0">
                  <c:v>Not Provided</c:v>
                </c:pt>
              </c:strCache>
            </c:strRef>
          </c:tx>
          <c:spPr>
            <a:solidFill>
              <a:schemeClr val="accent4"/>
            </a:solidFill>
            <a:ln>
              <a:noFill/>
            </a:ln>
            <a:effectLst/>
          </c:spPr>
          <c:invertIfNegative val="0"/>
          <c:cat>
            <c:strRef>
              <c:f>'Pivot 2'!$A$30:$A$34</c:f>
              <c:strCache>
                <c:ptCount val="4"/>
                <c:pt idx="0">
                  <c:v>Africa</c:v>
                </c:pt>
                <c:pt idx="1">
                  <c:v>Americas</c:v>
                </c:pt>
                <c:pt idx="2">
                  <c:v>Asia</c:v>
                </c:pt>
                <c:pt idx="3">
                  <c:v>Europe</c:v>
                </c:pt>
              </c:strCache>
            </c:strRef>
          </c:cat>
          <c:val>
            <c:numRef>
              <c:f>'Pivot 2'!$E$30:$E$34</c:f>
              <c:numCache>
                <c:formatCode>0.00%</c:formatCode>
                <c:ptCount val="4"/>
                <c:pt idx="0">
                  <c:v>1.2539395544212323E-2</c:v>
                </c:pt>
                <c:pt idx="1">
                  <c:v>3.4419829759956924E-3</c:v>
                </c:pt>
                <c:pt idx="2">
                  <c:v>3.4990619120041644E-3</c:v>
                </c:pt>
                <c:pt idx="3">
                  <c:v>1.7250864946184294E-3</c:v>
                </c:pt>
              </c:numCache>
            </c:numRef>
          </c:val>
          <c:extLst>
            <c:ext xmlns:c16="http://schemas.microsoft.com/office/drawing/2014/chart" uri="{C3380CC4-5D6E-409C-BE32-E72D297353CC}">
              <c16:uniqueId val="{00000009-A5A2-4422-905C-DB074E5725D9}"/>
            </c:ext>
          </c:extLst>
        </c:ser>
        <c:ser>
          <c:idx val="4"/>
          <c:order val="4"/>
          <c:tx>
            <c:strRef>
              <c:f>'Pivot 2'!$F$28:$F$29</c:f>
              <c:strCache>
                <c:ptCount val="1"/>
                <c:pt idx="0">
                  <c:v>Online</c:v>
                </c:pt>
              </c:strCache>
            </c:strRef>
          </c:tx>
          <c:spPr>
            <a:solidFill>
              <a:srgbClr val="7030A0"/>
            </a:solidFill>
            <a:ln>
              <a:noFill/>
            </a:ln>
            <a:effectLst/>
          </c:spPr>
          <c:invertIfNegative val="0"/>
          <c:cat>
            <c:strRef>
              <c:f>'Pivot 2'!$A$30:$A$34</c:f>
              <c:strCache>
                <c:ptCount val="4"/>
                <c:pt idx="0">
                  <c:v>Africa</c:v>
                </c:pt>
                <c:pt idx="1">
                  <c:v>Americas</c:v>
                </c:pt>
                <c:pt idx="2">
                  <c:v>Asia</c:v>
                </c:pt>
                <c:pt idx="3">
                  <c:v>Europe</c:v>
                </c:pt>
              </c:strCache>
            </c:strRef>
          </c:cat>
          <c:val>
            <c:numRef>
              <c:f>'Pivot 2'!$F$30:$F$34</c:f>
              <c:numCache>
                <c:formatCode>0.00%</c:formatCode>
                <c:ptCount val="4"/>
                <c:pt idx="0">
                  <c:v>0.16611138148720239</c:v>
                </c:pt>
                <c:pt idx="1">
                  <c:v>0.25656495690482312</c:v>
                </c:pt>
                <c:pt idx="2">
                  <c:v>0.14670400206363879</c:v>
                </c:pt>
                <c:pt idx="3">
                  <c:v>0.20900008716349927</c:v>
                </c:pt>
              </c:numCache>
            </c:numRef>
          </c:val>
          <c:extLst>
            <c:ext xmlns:c16="http://schemas.microsoft.com/office/drawing/2014/chart" uri="{C3380CC4-5D6E-409C-BE32-E72D297353CC}">
              <c16:uniqueId val="{0000000A-A5A2-4422-905C-DB074E5725D9}"/>
            </c:ext>
          </c:extLst>
        </c:ser>
        <c:ser>
          <c:idx val="5"/>
          <c:order val="5"/>
          <c:tx>
            <c:strRef>
              <c:f>'Pivot 2'!$G$28:$G$29</c:f>
              <c:strCache>
                <c:ptCount val="1"/>
                <c:pt idx="0">
                  <c:v>Retail</c:v>
                </c:pt>
              </c:strCache>
            </c:strRef>
          </c:tx>
          <c:spPr>
            <a:solidFill>
              <a:schemeClr val="accent6"/>
            </a:solidFill>
            <a:ln>
              <a:noFill/>
            </a:ln>
            <a:effectLst/>
          </c:spPr>
          <c:invertIfNegative val="0"/>
          <c:cat>
            <c:strRef>
              <c:f>'Pivot 2'!$A$30:$A$34</c:f>
              <c:strCache>
                <c:ptCount val="4"/>
                <c:pt idx="0">
                  <c:v>Africa</c:v>
                </c:pt>
                <c:pt idx="1">
                  <c:v>Americas</c:v>
                </c:pt>
                <c:pt idx="2">
                  <c:v>Asia</c:v>
                </c:pt>
                <c:pt idx="3">
                  <c:v>Europe</c:v>
                </c:pt>
              </c:strCache>
            </c:strRef>
          </c:cat>
          <c:val>
            <c:numRef>
              <c:f>'Pivot 2'!$G$30:$G$34</c:f>
              <c:numCache>
                <c:formatCode>0.00%</c:formatCode>
                <c:ptCount val="4"/>
                <c:pt idx="0">
                  <c:v>0.19881012373721935</c:v>
                </c:pt>
                <c:pt idx="1">
                  <c:v>0.11261896037598858</c:v>
                </c:pt>
                <c:pt idx="2">
                  <c:v>0.23633082008912662</c:v>
                </c:pt>
                <c:pt idx="3">
                  <c:v>0.16654949001834424</c:v>
                </c:pt>
              </c:numCache>
            </c:numRef>
          </c:val>
          <c:extLst>
            <c:ext xmlns:c16="http://schemas.microsoft.com/office/drawing/2014/chart" uri="{C3380CC4-5D6E-409C-BE32-E72D297353CC}">
              <c16:uniqueId val="{0000000B-A5A2-4422-905C-DB074E5725D9}"/>
            </c:ext>
          </c:extLst>
        </c:ser>
        <c:dLbls>
          <c:showLegendKey val="0"/>
          <c:showVal val="0"/>
          <c:showCatName val="0"/>
          <c:showSerName val="0"/>
          <c:showPercent val="0"/>
          <c:showBubbleSize val="0"/>
        </c:dLbls>
        <c:gapWidth val="83"/>
        <c:overlap val="-18"/>
        <c:axId val="1345912831"/>
        <c:axId val="1345902751"/>
      </c:barChart>
      <c:catAx>
        <c:axId val="134591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60D46"/>
                </a:solidFill>
                <a:latin typeface="+mn-lt"/>
                <a:ea typeface="+mn-ea"/>
                <a:cs typeface="+mn-cs"/>
              </a:defRPr>
            </a:pPr>
            <a:endParaRPr lang="en-US"/>
          </a:p>
        </c:txPr>
        <c:crossAx val="1345902751"/>
        <c:crosses val="autoZero"/>
        <c:auto val="1"/>
        <c:lblAlgn val="ctr"/>
        <c:lblOffset val="100"/>
        <c:noMultiLvlLbl val="0"/>
      </c:catAx>
      <c:valAx>
        <c:axId val="13459027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60D46"/>
                </a:solidFill>
                <a:latin typeface="+mn-lt"/>
                <a:ea typeface="+mn-ea"/>
                <a:cs typeface="+mn-cs"/>
              </a:defRPr>
            </a:pPr>
            <a:endParaRPr lang="en-US"/>
          </a:p>
        </c:txPr>
        <c:crossAx val="1345912831"/>
        <c:crosses val="autoZero"/>
        <c:crossBetween val="between"/>
      </c:valAx>
      <c:spPr>
        <a:noFill/>
        <a:ln>
          <a:noFill/>
        </a:ln>
        <a:effectLst/>
      </c:spPr>
    </c:plotArea>
    <c:legend>
      <c:legendPos val="r"/>
      <c:layout>
        <c:manualLayout>
          <c:xMode val="edge"/>
          <c:yMode val="edge"/>
          <c:x val="0.64459161147902866"/>
          <c:y val="0.21114353091650345"/>
          <c:w val="0.34988962472406182"/>
          <c:h val="0.713837483512530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vertOverflow="overflow" horzOverflow="overflow" wrap="square" lIns="0" tIns="0" rIns="0" bIns="0"/>
          <a:lstStyle/>
          <a:p>
            <a:pPr algn="ctr" rtl="0">
              <a:defRPr sz="1400" b="0"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baseline="0">
                <a:solidFill>
                  <a:srgbClr val="760D46"/>
                </a:solidFill>
                <a:effectLst/>
                <a:latin typeface="Calibri"/>
                <a:ea typeface="Calibri" panose="020F0502020204030204" pitchFamily="34" charset="0"/>
                <a:cs typeface="Calibri" panose="020F0502020204030204" pitchFamily="34" charset="0"/>
              </a:rPr>
              <a:t>Discount</a:t>
            </a:r>
            <a:r>
              <a:rPr lang="en-US" sz="1400" b="0" i="0" u="none" strike="noStrike" baseline="0">
                <a:solidFill>
                  <a:srgbClr val="760D46"/>
                </a:solidFill>
                <a:effectLst/>
                <a:latin typeface="Calibri"/>
                <a:ea typeface="Calibri" panose="020F0502020204030204" pitchFamily="34" charset="0"/>
                <a:cs typeface="Calibri" panose="020F0502020204030204" pitchFamily="34" charset="0"/>
              </a:rPr>
              <a:t> </a:t>
            </a:r>
            <a:r>
              <a:rPr lang="en-US" sz="1400" b="1" i="0" u="none" strike="noStrike" baseline="0">
                <a:solidFill>
                  <a:srgbClr val="760D46"/>
                </a:solidFill>
                <a:effectLst/>
                <a:latin typeface="Calibri"/>
                <a:ea typeface="Calibri" panose="020F0502020204030204" pitchFamily="34" charset="0"/>
                <a:cs typeface="Calibri" panose="020F0502020204030204" pitchFamily="34" charset="0"/>
              </a:rPr>
              <a:t>Outliers</a:t>
            </a:r>
            <a:r>
              <a:rPr lang="en-US" sz="1400" b="0" i="0" u="none" strike="noStrike" baseline="0">
                <a:solidFill>
                  <a:srgbClr val="760D46"/>
                </a:solidFill>
                <a:effectLst/>
                <a:latin typeface="Calibri"/>
                <a:ea typeface="Calibri" panose="020F0502020204030204" pitchFamily="34" charset="0"/>
                <a:cs typeface="Calibri" panose="020F0502020204030204" pitchFamily="34" charset="0"/>
              </a:rPr>
              <a:t> </a:t>
            </a:r>
            <a:endParaRPr lang="en-US">
              <a:solidFill>
                <a:srgbClr val="760D46"/>
              </a:solidFill>
            </a:endParaRPr>
          </a:p>
        </cx:rich>
      </cx:tx>
    </cx:title>
    <cx:plotArea>
      <cx:plotAreaRegion>
        <cx:series layoutId="boxWhisker" uniqueId="{7AA46807-7528-46AB-BF4B-62BFE42D1E32}">
          <cx:tx>
            <cx:txData>
              <cx:f>_xlchart.v1.0</cx:f>
              <cx:v>DiscountPct</cx:v>
            </cx:txData>
          </cx:tx>
          <cx:spPr>
            <a:solidFill>
              <a:srgbClr val="760D46"/>
            </a:solidFill>
          </cx:spPr>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axis>
      <cx:axis id="1">
        <cx:valScaling/>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axis>
    </cx:plotArea>
  </cx:chart>
  <cx:spPr>
    <a:solidFill>
      <a:schemeClr val="tx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rich>
          <a:bodyPr vertOverflow="overflow" horzOverflow="overflow" wrap="square" lIns="0" tIns="0" rIns="0" bIns="0"/>
          <a:lstStyle/>
          <a:p>
            <a:pPr algn="ctr" rtl="0">
              <a:defRPr sz="1400" b="0"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baseline="0">
                <a:solidFill>
                  <a:srgbClr val="760D46"/>
                </a:solidFill>
                <a:effectLst/>
                <a:latin typeface="Calibri"/>
                <a:ea typeface="Calibri" panose="020F0502020204030204" pitchFamily="34" charset="0"/>
                <a:cs typeface="Calibri" panose="020F0502020204030204" pitchFamily="34" charset="0"/>
              </a:rPr>
              <a:t>Discount</a:t>
            </a:r>
            <a:r>
              <a:rPr lang="en-US" sz="1400" b="0" i="0" u="none" strike="noStrike" baseline="0">
                <a:solidFill>
                  <a:srgbClr val="760D46"/>
                </a:solidFill>
                <a:effectLst/>
                <a:latin typeface="Calibri"/>
                <a:ea typeface="Calibri" panose="020F0502020204030204" pitchFamily="34" charset="0"/>
                <a:cs typeface="Calibri" panose="020F0502020204030204" pitchFamily="34" charset="0"/>
              </a:rPr>
              <a:t> </a:t>
            </a:r>
            <a:r>
              <a:rPr lang="en-US" sz="1400" b="1" i="0" u="none" strike="noStrike" baseline="0">
                <a:solidFill>
                  <a:srgbClr val="760D46"/>
                </a:solidFill>
                <a:effectLst/>
                <a:latin typeface="Calibri"/>
                <a:ea typeface="Calibri" panose="020F0502020204030204" pitchFamily="34" charset="0"/>
                <a:cs typeface="Calibri" panose="020F0502020204030204" pitchFamily="34" charset="0"/>
              </a:rPr>
              <a:t>Outliers</a:t>
            </a:r>
            <a:r>
              <a:rPr lang="en-US" sz="1400" b="0" i="0" u="none" strike="noStrike" baseline="0">
                <a:solidFill>
                  <a:srgbClr val="760D46"/>
                </a:solidFill>
                <a:effectLst/>
                <a:latin typeface="Calibri"/>
                <a:ea typeface="Calibri" panose="020F0502020204030204" pitchFamily="34" charset="0"/>
                <a:cs typeface="Calibri" panose="020F0502020204030204" pitchFamily="34" charset="0"/>
              </a:rPr>
              <a:t> </a:t>
            </a:r>
            <a:endParaRPr lang="en-US">
              <a:solidFill>
                <a:srgbClr val="760D46"/>
              </a:solidFill>
            </a:endParaRPr>
          </a:p>
        </cx:rich>
      </cx:tx>
    </cx:title>
    <cx:plotArea>
      <cx:plotAreaRegion>
        <cx:series layoutId="boxWhisker" uniqueId="{7AA46807-7528-46AB-BF4B-62BFE42D1E32}">
          <cx:tx>
            <cx:txData>
              <cx:f>_xlchart.v1.6</cx:f>
              <cx:v>DiscountPct</cx:v>
            </cx:txData>
          </cx:tx>
          <cx:spPr>
            <a:solidFill>
              <a:srgbClr val="760D46"/>
            </a:solidFill>
          </cx:spPr>
          <cx:dataId val="0"/>
          <cx:layoutPr>
            <cx:visibility meanLine="0" meanMarker="1" nonoutliers="0" outliers="1"/>
            <cx:statistics quartileMethod="exclusive"/>
          </cx:layoutPr>
        </cx:series>
      </cx:plotAreaRegion>
      <cx:axis id="0" hidden="1">
        <cx:catScaling gapWidth="1"/>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axis>
      <cx:axis id="1">
        <cx:valScaling/>
        <cx:tickLabels/>
        <cx:txPr>
          <a:bodyPr vertOverflow="overflow" horzOverflow="overflow" wrap="square" lIns="0" tIns="0" rIns="0" bIns="0"/>
          <a:lstStyle/>
          <a:p>
            <a:pPr algn="ctr" rtl="0">
              <a:defRPr sz="900" b="0" i="0">
                <a:solidFill>
                  <a:srgbClr val="760D46"/>
                </a:solidFill>
                <a:latin typeface="Calibri" panose="020F0502020204030204" pitchFamily="34" charset="0"/>
                <a:ea typeface="Calibri" panose="020F0502020204030204" pitchFamily="34" charset="0"/>
                <a:cs typeface="Calibri" panose="020F0502020204030204" pitchFamily="34" charset="0"/>
              </a:defRPr>
            </a:pPr>
            <a:endParaRPr lang="en-US">
              <a:solidFill>
                <a:srgbClr val="760D46"/>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2.xml"/><Relationship Id="rId5" Type="http://schemas.openxmlformats.org/officeDocument/2006/relationships/image" Target="../media/image3.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32</xdr:col>
      <xdr:colOff>472440</xdr:colOff>
      <xdr:row>3</xdr:row>
      <xdr:rowOff>68580</xdr:rowOff>
    </xdr:from>
    <xdr:to>
      <xdr:col>37</xdr:col>
      <xdr:colOff>411480</xdr:colOff>
      <xdr:row>16</xdr:row>
      <xdr:rowOff>49530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7BEA18A-EFB9-A491-821B-A5432D0372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727900" y="617220"/>
              <a:ext cx="2987040" cy="23583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228600</xdr:colOff>
      <xdr:row>28</xdr:row>
      <xdr:rowOff>11430</xdr:rowOff>
    </xdr:from>
    <xdr:to>
      <xdr:col>14</xdr:col>
      <xdr:colOff>556260</xdr:colOff>
      <xdr:row>40</xdr:row>
      <xdr:rowOff>7620</xdr:rowOff>
    </xdr:to>
    <xdr:graphicFrame macro="">
      <xdr:nvGraphicFramePr>
        <xdr:cNvPr id="2" name="Chart 1">
          <a:extLst>
            <a:ext uri="{FF2B5EF4-FFF2-40B4-BE49-F238E27FC236}">
              <a16:creationId xmlns:a16="http://schemas.microsoft.com/office/drawing/2014/main" id="{5E0E1725-FFF4-E243-9F0E-8C7635F63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255270</xdr:colOff>
      <xdr:row>3</xdr:row>
      <xdr:rowOff>114300</xdr:rowOff>
    </xdr:from>
    <xdr:to>
      <xdr:col>5</xdr:col>
      <xdr:colOff>579120</xdr:colOff>
      <xdr:row>16</xdr:row>
      <xdr:rowOff>137166</xdr:rowOff>
    </xdr:to>
    <xdr:graphicFrame macro="">
      <xdr:nvGraphicFramePr>
        <xdr:cNvPr id="2" name="Chart 1">
          <a:extLst>
            <a:ext uri="{FF2B5EF4-FFF2-40B4-BE49-F238E27FC236}">
              <a16:creationId xmlns:a16="http://schemas.microsoft.com/office/drawing/2014/main" id="{FD72296C-EE22-4ED7-9EF5-EBFDDE901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769620</xdr:colOff>
      <xdr:row>3</xdr:row>
      <xdr:rowOff>175261</xdr:rowOff>
    </xdr:from>
    <xdr:to>
      <xdr:col>10</xdr:col>
      <xdr:colOff>129540</xdr:colOff>
      <xdr:row>8</xdr:row>
      <xdr:rowOff>106681</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FE8F36FF-C7E9-1180-E33C-8E4D500F890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368540" y="198121"/>
              <a:ext cx="140208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563880</xdr:colOff>
      <xdr:row>73</xdr:row>
      <xdr:rowOff>160020</xdr:rowOff>
    </xdr:from>
    <xdr:to>
      <xdr:col>8</xdr:col>
      <xdr:colOff>411480</xdr:colOff>
      <xdr:row>84</xdr:row>
      <xdr:rowOff>160026</xdr:rowOff>
    </xdr:to>
    <xdr:graphicFrame macro="">
      <xdr:nvGraphicFramePr>
        <xdr:cNvPr id="8" name="Chart 7">
          <a:extLst>
            <a:ext uri="{FF2B5EF4-FFF2-40B4-BE49-F238E27FC236}">
              <a16:creationId xmlns:a16="http://schemas.microsoft.com/office/drawing/2014/main" id="{9BD0D4AC-6BF7-8CC8-2114-86176A817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525780</xdr:colOff>
      <xdr:row>87</xdr:row>
      <xdr:rowOff>30486</xdr:rowOff>
    </xdr:from>
    <xdr:to>
      <xdr:col>9</xdr:col>
      <xdr:colOff>312420</xdr:colOff>
      <xdr:row>102</xdr:row>
      <xdr:rowOff>30486</xdr:rowOff>
    </xdr:to>
    <xdr:graphicFrame macro="">
      <xdr:nvGraphicFramePr>
        <xdr:cNvPr id="9" name="Chart 8">
          <a:extLst>
            <a:ext uri="{FF2B5EF4-FFF2-40B4-BE49-F238E27FC236}">
              <a16:creationId xmlns:a16="http://schemas.microsoft.com/office/drawing/2014/main" id="{643B2837-AF84-947B-93DB-8A93D91DA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502920</xdr:colOff>
      <xdr:row>8</xdr:row>
      <xdr:rowOff>114300</xdr:rowOff>
    </xdr:from>
    <xdr:to>
      <xdr:col>8</xdr:col>
      <xdr:colOff>15240</xdr:colOff>
      <xdr:row>12</xdr:row>
      <xdr:rowOff>180975</xdr:rowOff>
    </xdr:to>
    <mc:AlternateContent xmlns:mc="http://schemas.openxmlformats.org/markup-compatibility/2006">
      <mc:Choice xmlns:a14="http://schemas.microsoft.com/office/drawing/2010/main" Requires="a14">
        <xdr:graphicFrame macro="">
          <xdr:nvGraphicFramePr>
            <xdr:cNvPr id="3" name="Months">
              <a:extLst>
                <a:ext uri="{FF2B5EF4-FFF2-40B4-BE49-F238E27FC236}">
                  <a16:creationId xmlns:a16="http://schemas.microsoft.com/office/drawing/2014/main" id="{167574F7-1717-155D-3E53-005A75FD3F66}"/>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6278880" y="1066800"/>
              <a:ext cx="1158240" cy="798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556260</xdr:colOff>
      <xdr:row>17</xdr:row>
      <xdr:rowOff>114300</xdr:rowOff>
    </xdr:from>
    <xdr:to>
      <xdr:col>8</xdr:col>
      <xdr:colOff>342900</xdr:colOff>
      <xdr:row>23</xdr:row>
      <xdr:rowOff>28575</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98D341C0-1209-A7A4-5194-E2D6BEA5D06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332220" y="2712720"/>
              <a:ext cx="1432560" cy="1011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8</xdr:row>
      <xdr:rowOff>114301</xdr:rowOff>
    </xdr:from>
    <xdr:to>
      <xdr:col>10</xdr:col>
      <xdr:colOff>99060</xdr:colOff>
      <xdr:row>12</xdr:row>
      <xdr:rowOff>99061</xdr:rowOff>
    </xdr:to>
    <mc:AlternateContent xmlns:mc="http://schemas.openxmlformats.org/markup-compatibility/2006">
      <mc:Choice xmlns:a14="http://schemas.microsoft.com/office/drawing/2010/main" Requires="a14">
        <xdr:graphicFrame macro="">
          <xdr:nvGraphicFramePr>
            <xdr:cNvPr id="10" name="Country 2">
              <a:extLst>
                <a:ext uri="{FF2B5EF4-FFF2-40B4-BE49-F238E27FC236}">
                  <a16:creationId xmlns:a16="http://schemas.microsoft.com/office/drawing/2014/main" id="{681A7615-9058-E9F1-C868-0DD5F82600D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7444740" y="1066801"/>
              <a:ext cx="1295400" cy="716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502920</xdr:colOff>
      <xdr:row>3</xdr:row>
      <xdr:rowOff>144780</xdr:rowOff>
    </xdr:from>
    <xdr:to>
      <xdr:col>7</xdr:col>
      <xdr:colOff>746760</xdr:colOff>
      <xdr:row>8</xdr:row>
      <xdr:rowOff>89535</xdr:rowOff>
    </xdr:to>
    <mc:AlternateContent xmlns:mc="http://schemas.openxmlformats.org/markup-compatibility/2006">
      <mc:Choice xmlns:a14="http://schemas.microsoft.com/office/drawing/2010/main" Requires="a14">
        <xdr:graphicFrame macro="">
          <xdr:nvGraphicFramePr>
            <xdr:cNvPr id="11" name="Channel">
              <a:extLst>
                <a:ext uri="{FF2B5EF4-FFF2-40B4-BE49-F238E27FC236}">
                  <a16:creationId xmlns:a16="http://schemas.microsoft.com/office/drawing/2014/main" id="{F6FB27F7-C011-B423-D41E-DAFC7887151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6278880" y="167640"/>
              <a:ext cx="1066800" cy="874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541020</xdr:colOff>
      <xdr:row>13</xdr:row>
      <xdr:rowOff>1</xdr:rowOff>
    </xdr:from>
    <xdr:to>
      <xdr:col>8</xdr:col>
      <xdr:colOff>53340</xdr:colOff>
      <xdr:row>17</xdr:row>
      <xdr:rowOff>99061</xdr:rowOff>
    </xdr:to>
    <mc:AlternateContent xmlns:mc="http://schemas.openxmlformats.org/markup-compatibility/2006">
      <mc:Choice xmlns:a14="http://schemas.microsoft.com/office/drawing/2010/main" Requires="a14">
        <xdr:graphicFrame macro="">
          <xdr:nvGraphicFramePr>
            <xdr:cNvPr id="12" name="Salesperson">
              <a:extLst>
                <a:ext uri="{FF2B5EF4-FFF2-40B4-BE49-F238E27FC236}">
                  <a16:creationId xmlns:a16="http://schemas.microsoft.com/office/drawing/2014/main" id="{9B8BDA51-AAE2-7E66-FF4C-7B3DE42BF66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316980" y="1866901"/>
              <a:ext cx="1158240" cy="830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106680</xdr:colOff>
      <xdr:row>12</xdr:row>
      <xdr:rowOff>137161</xdr:rowOff>
    </xdr:from>
    <xdr:to>
      <xdr:col>10</xdr:col>
      <xdr:colOff>38100</xdr:colOff>
      <xdr:row>17</xdr:row>
      <xdr:rowOff>91441</xdr:rowOff>
    </xdr:to>
    <mc:AlternateContent xmlns:mc="http://schemas.openxmlformats.org/markup-compatibility/2006">
      <mc:Choice xmlns:a14="http://schemas.microsoft.com/office/drawing/2010/main" Requires="a14">
        <xdr:graphicFrame macro="">
          <xdr:nvGraphicFramePr>
            <xdr:cNvPr id="13" name="ProductCategory 1">
              <a:extLst>
                <a:ext uri="{FF2B5EF4-FFF2-40B4-BE49-F238E27FC236}">
                  <a16:creationId xmlns:a16="http://schemas.microsoft.com/office/drawing/2014/main" id="{6C5FE0AC-58B1-101C-87C0-7AF196931469}"/>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7528560" y="1821181"/>
              <a:ext cx="1150620" cy="868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137160</xdr:colOff>
      <xdr:row>26</xdr:row>
      <xdr:rowOff>68580</xdr:rowOff>
    </xdr:to>
    <xdr:sp macro="" textlink="">
      <xdr:nvSpPr>
        <xdr:cNvPr id="3" name="Rectangle 2">
          <a:extLst>
            <a:ext uri="{FF2B5EF4-FFF2-40B4-BE49-F238E27FC236}">
              <a16:creationId xmlns:a16="http://schemas.microsoft.com/office/drawing/2014/main" id="{ED148C72-D610-CC30-E697-B23CE5EC9B06}"/>
            </a:ext>
          </a:extLst>
        </xdr:cNvPr>
        <xdr:cNvSpPr/>
      </xdr:nvSpPr>
      <xdr:spPr>
        <a:xfrm>
          <a:off x="0" y="0"/>
          <a:ext cx="10439400" cy="4823460"/>
        </a:xfrm>
        <a:prstGeom prst="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60960</xdr:colOff>
      <xdr:row>0</xdr:row>
      <xdr:rowOff>137160</xdr:rowOff>
    </xdr:from>
    <xdr:to>
      <xdr:col>12</xdr:col>
      <xdr:colOff>381000</xdr:colOff>
      <xdr:row>2</xdr:row>
      <xdr:rowOff>144780</xdr:rowOff>
    </xdr:to>
    <xdr:sp macro="" textlink="">
      <xdr:nvSpPr>
        <xdr:cNvPr id="6" name="TextBox 5">
          <a:extLst>
            <a:ext uri="{FF2B5EF4-FFF2-40B4-BE49-F238E27FC236}">
              <a16:creationId xmlns:a16="http://schemas.microsoft.com/office/drawing/2014/main" id="{8EF3EDA7-6DD5-BE3E-038B-F05186C75D73}"/>
            </a:ext>
          </a:extLst>
        </xdr:cNvPr>
        <xdr:cNvSpPr txBox="1"/>
      </xdr:nvSpPr>
      <xdr:spPr>
        <a:xfrm>
          <a:off x="3108960" y="137160"/>
          <a:ext cx="5196840" cy="37338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dk1"/>
              </a:solidFill>
              <a:effectLst/>
              <a:latin typeface="+mn-lt"/>
              <a:ea typeface="+mn-ea"/>
              <a:cs typeface="+mn-cs"/>
            </a:rPr>
            <a:t>Sales Operations &amp; Analytics Dashboard</a:t>
          </a:r>
          <a:endParaRPr lang="en-US" sz="2400"/>
        </a:p>
      </xdr:txBody>
    </xdr:sp>
    <xdr:clientData/>
  </xdr:twoCellAnchor>
  <xdr:twoCellAnchor>
    <xdr:from>
      <xdr:col>12</xdr:col>
      <xdr:colOff>274320</xdr:colOff>
      <xdr:row>7</xdr:row>
      <xdr:rowOff>114300</xdr:rowOff>
    </xdr:from>
    <xdr:to>
      <xdr:col>16</xdr:col>
      <xdr:colOff>99060</xdr:colOff>
      <xdr:row>15</xdr:row>
      <xdr:rowOff>167640</xdr:rowOff>
    </xdr:to>
    <xdr:sp macro="" textlink="">
      <xdr:nvSpPr>
        <xdr:cNvPr id="7" name="Rectangle: Rounded Corners 6">
          <a:extLst>
            <a:ext uri="{FF2B5EF4-FFF2-40B4-BE49-F238E27FC236}">
              <a16:creationId xmlns:a16="http://schemas.microsoft.com/office/drawing/2014/main" id="{CE3A0C26-173D-ADDB-67A0-8AA2A8EF0747}"/>
            </a:ext>
          </a:extLst>
        </xdr:cNvPr>
        <xdr:cNvSpPr/>
      </xdr:nvSpPr>
      <xdr:spPr>
        <a:xfrm>
          <a:off x="8138160" y="1394460"/>
          <a:ext cx="2263140" cy="1516380"/>
        </a:xfrm>
        <a:prstGeom prst="roundRect">
          <a:avLst/>
        </a:prstGeom>
        <a:gradFill flip="none" rotWithShape="1">
          <a:gsLst>
            <a:gs pos="0">
              <a:srgbClr val="760D46">
                <a:tint val="66000"/>
                <a:satMod val="160000"/>
              </a:srgbClr>
            </a:gs>
            <a:gs pos="50000">
              <a:srgbClr val="760D46">
                <a:tint val="44500"/>
                <a:satMod val="160000"/>
              </a:srgbClr>
            </a:gs>
            <a:gs pos="100000">
              <a:srgbClr val="760D46">
                <a:tint val="23500"/>
                <a:satMod val="160000"/>
              </a:srgbClr>
            </a:gs>
          </a:gsLst>
          <a:lin ang="13500000" scaled="1"/>
          <a:tileRect/>
        </a:gradFill>
        <a:ln>
          <a:solidFill>
            <a:srgbClr val="760D4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487680</xdr:colOff>
      <xdr:row>0</xdr:row>
      <xdr:rowOff>38100</xdr:rowOff>
    </xdr:from>
    <xdr:to>
      <xdr:col>16</xdr:col>
      <xdr:colOff>160020</xdr:colOff>
      <xdr:row>3</xdr:row>
      <xdr:rowOff>0</xdr:rowOff>
    </xdr:to>
    <xdr:sp macro="" textlink="">
      <xdr:nvSpPr>
        <xdr:cNvPr id="22" name="Rectangle: Rounded Corners 21">
          <a:extLst>
            <a:ext uri="{FF2B5EF4-FFF2-40B4-BE49-F238E27FC236}">
              <a16:creationId xmlns:a16="http://schemas.microsoft.com/office/drawing/2014/main" id="{76F14F34-EADA-FF1B-4671-557DC12B92C2}"/>
            </a:ext>
          </a:extLst>
        </xdr:cNvPr>
        <xdr:cNvSpPr/>
      </xdr:nvSpPr>
      <xdr:spPr>
        <a:xfrm>
          <a:off x="487680" y="38100"/>
          <a:ext cx="9974580" cy="510540"/>
        </a:xfrm>
        <a:prstGeom prst="roundRect">
          <a:avLst/>
        </a:prstGeom>
        <a:solidFill>
          <a:srgbClr val="760D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106680</xdr:colOff>
      <xdr:row>7</xdr:row>
      <xdr:rowOff>114300</xdr:rowOff>
    </xdr:from>
    <xdr:to>
      <xdr:col>8</xdr:col>
      <xdr:colOff>182880</xdr:colOff>
      <xdr:row>15</xdr:row>
      <xdr:rowOff>175260</xdr:rowOff>
    </xdr:to>
    <xdr:sp macro="" textlink="">
      <xdr:nvSpPr>
        <xdr:cNvPr id="14" name="Rectangle: Rounded Corners 13">
          <a:extLst>
            <a:ext uri="{FF2B5EF4-FFF2-40B4-BE49-F238E27FC236}">
              <a16:creationId xmlns:a16="http://schemas.microsoft.com/office/drawing/2014/main" id="{A7EF5E99-9D16-F0B5-2744-747EE044BEA3}"/>
            </a:ext>
          </a:extLst>
        </xdr:cNvPr>
        <xdr:cNvSpPr/>
      </xdr:nvSpPr>
      <xdr:spPr>
        <a:xfrm>
          <a:off x="1935480" y="1394460"/>
          <a:ext cx="3672840" cy="1524000"/>
        </a:xfrm>
        <a:prstGeom prst="roundRect">
          <a:avLst/>
        </a:prstGeom>
        <a:gradFill flip="none" rotWithShape="1">
          <a:gsLst>
            <a:gs pos="0">
              <a:srgbClr val="760D46">
                <a:tint val="66000"/>
                <a:satMod val="160000"/>
              </a:srgbClr>
            </a:gs>
            <a:gs pos="50000">
              <a:srgbClr val="760D46">
                <a:tint val="44500"/>
                <a:satMod val="160000"/>
              </a:srgbClr>
            </a:gs>
            <a:gs pos="100000">
              <a:srgbClr val="760D46">
                <a:tint val="23500"/>
                <a:satMod val="160000"/>
              </a:srgbClr>
            </a:gs>
          </a:gsLst>
          <a:lin ang="13500000" scaled="1"/>
          <a:tileRect/>
        </a:gradFill>
        <a:ln>
          <a:solidFill>
            <a:srgbClr val="760D4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251460</xdr:colOff>
      <xdr:row>7</xdr:row>
      <xdr:rowOff>99060</xdr:rowOff>
    </xdr:from>
    <xdr:to>
      <xdr:col>12</xdr:col>
      <xdr:colOff>243840</xdr:colOff>
      <xdr:row>15</xdr:row>
      <xdr:rowOff>175260</xdr:rowOff>
    </xdr:to>
    <xdr:sp macro="" textlink="">
      <xdr:nvSpPr>
        <xdr:cNvPr id="15" name="Rectangle: Rounded Corners 14">
          <a:extLst>
            <a:ext uri="{FF2B5EF4-FFF2-40B4-BE49-F238E27FC236}">
              <a16:creationId xmlns:a16="http://schemas.microsoft.com/office/drawing/2014/main" id="{2ED6404E-0FF7-44EE-938C-7F430CBE40FA}"/>
            </a:ext>
          </a:extLst>
        </xdr:cNvPr>
        <xdr:cNvSpPr/>
      </xdr:nvSpPr>
      <xdr:spPr>
        <a:xfrm>
          <a:off x="5676900" y="1379220"/>
          <a:ext cx="2430780" cy="1539240"/>
        </a:xfrm>
        <a:prstGeom prst="roundRect">
          <a:avLst/>
        </a:prstGeom>
        <a:gradFill flip="none" rotWithShape="1">
          <a:gsLst>
            <a:gs pos="0">
              <a:srgbClr val="760D46">
                <a:tint val="66000"/>
                <a:satMod val="160000"/>
              </a:srgbClr>
            </a:gs>
            <a:gs pos="50000">
              <a:srgbClr val="760D46">
                <a:tint val="44500"/>
                <a:satMod val="160000"/>
              </a:srgbClr>
            </a:gs>
            <a:gs pos="100000">
              <a:srgbClr val="760D46">
                <a:tint val="23500"/>
                <a:satMod val="160000"/>
              </a:srgbClr>
            </a:gs>
          </a:gsLst>
          <a:lin ang="13500000" scaled="1"/>
          <a:tileRect/>
        </a:gradFill>
        <a:ln>
          <a:solidFill>
            <a:srgbClr val="760D4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121920</xdr:colOff>
      <xdr:row>16</xdr:row>
      <xdr:rowOff>45720</xdr:rowOff>
    </xdr:from>
    <xdr:to>
      <xdr:col>8</xdr:col>
      <xdr:colOff>83820</xdr:colOff>
      <xdr:row>26</xdr:row>
      <xdr:rowOff>7620</xdr:rowOff>
    </xdr:to>
    <xdr:sp macro="" textlink="">
      <xdr:nvSpPr>
        <xdr:cNvPr id="16" name="Rectangle: Rounded Corners 15">
          <a:extLst>
            <a:ext uri="{FF2B5EF4-FFF2-40B4-BE49-F238E27FC236}">
              <a16:creationId xmlns:a16="http://schemas.microsoft.com/office/drawing/2014/main" id="{429AFF1E-C345-4D8B-916A-C54DB4EF9C90}"/>
            </a:ext>
          </a:extLst>
        </xdr:cNvPr>
        <xdr:cNvSpPr/>
      </xdr:nvSpPr>
      <xdr:spPr>
        <a:xfrm>
          <a:off x="1950720" y="2971800"/>
          <a:ext cx="3558540" cy="1790700"/>
        </a:xfrm>
        <a:prstGeom prst="roundRect">
          <a:avLst/>
        </a:prstGeom>
        <a:gradFill flip="none" rotWithShape="1">
          <a:gsLst>
            <a:gs pos="0">
              <a:srgbClr val="760D46">
                <a:tint val="66000"/>
                <a:satMod val="160000"/>
              </a:srgbClr>
            </a:gs>
            <a:gs pos="50000">
              <a:srgbClr val="760D46">
                <a:tint val="44500"/>
                <a:satMod val="160000"/>
              </a:srgbClr>
            </a:gs>
            <a:gs pos="100000">
              <a:srgbClr val="760D46">
                <a:tint val="23500"/>
                <a:satMod val="160000"/>
              </a:srgbClr>
            </a:gs>
          </a:gsLst>
          <a:lin ang="13500000" scaled="1"/>
          <a:tileRect/>
        </a:gradFill>
        <a:ln>
          <a:solidFill>
            <a:srgbClr val="760D4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160020</xdr:colOff>
      <xdr:row>16</xdr:row>
      <xdr:rowOff>38100</xdr:rowOff>
    </xdr:from>
    <xdr:to>
      <xdr:col>16</xdr:col>
      <xdr:colOff>106680</xdr:colOff>
      <xdr:row>26</xdr:row>
      <xdr:rowOff>7620</xdr:rowOff>
    </xdr:to>
    <xdr:sp macro="" textlink="">
      <xdr:nvSpPr>
        <xdr:cNvPr id="20" name="Rectangle: Rounded Corners 19">
          <a:extLst>
            <a:ext uri="{FF2B5EF4-FFF2-40B4-BE49-F238E27FC236}">
              <a16:creationId xmlns:a16="http://schemas.microsoft.com/office/drawing/2014/main" id="{B316EFA9-80BD-4720-BA0E-544F9F875724}"/>
            </a:ext>
          </a:extLst>
        </xdr:cNvPr>
        <xdr:cNvSpPr/>
      </xdr:nvSpPr>
      <xdr:spPr>
        <a:xfrm>
          <a:off x="5585460" y="2964180"/>
          <a:ext cx="4823460" cy="1798320"/>
        </a:xfrm>
        <a:prstGeom prst="roundRect">
          <a:avLst/>
        </a:prstGeom>
        <a:gradFill flip="none" rotWithShape="1">
          <a:gsLst>
            <a:gs pos="0">
              <a:srgbClr val="760D46">
                <a:tint val="66000"/>
                <a:satMod val="160000"/>
              </a:srgbClr>
            </a:gs>
            <a:gs pos="50000">
              <a:srgbClr val="760D46">
                <a:tint val="44500"/>
                <a:satMod val="160000"/>
              </a:srgbClr>
            </a:gs>
            <a:gs pos="100000">
              <a:srgbClr val="760D46">
                <a:tint val="23500"/>
                <a:satMod val="160000"/>
              </a:srgbClr>
            </a:gs>
          </a:gsLst>
          <a:lin ang="13500000" scaled="1"/>
          <a:tileRect/>
        </a:gradFill>
        <a:ln>
          <a:solidFill>
            <a:srgbClr val="760D4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388620</xdr:colOff>
      <xdr:row>0</xdr:row>
      <xdr:rowOff>38100</xdr:rowOff>
    </xdr:from>
    <xdr:to>
      <xdr:col>11</xdr:col>
      <xdr:colOff>76200</xdr:colOff>
      <xdr:row>2</xdr:row>
      <xdr:rowOff>129540</xdr:rowOff>
    </xdr:to>
    <xdr:sp macro="" textlink="">
      <xdr:nvSpPr>
        <xdr:cNvPr id="23" name="TextBox 22">
          <a:extLst>
            <a:ext uri="{FF2B5EF4-FFF2-40B4-BE49-F238E27FC236}">
              <a16:creationId xmlns:a16="http://schemas.microsoft.com/office/drawing/2014/main" id="{CC7E5CBA-B3B2-69EE-9B62-7269C5B4CD28}"/>
            </a:ext>
          </a:extLst>
        </xdr:cNvPr>
        <xdr:cNvSpPr txBox="1"/>
      </xdr:nvSpPr>
      <xdr:spPr>
        <a:xfrm>
          <a:off x="1607820" y="38100"/>
          <a:ext cx="572262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effectLst/>
              <a:latin typeface="+mn-lt"/>
              <a:ea typeface="+mn-ea"/>
              <a:cs typeface="+mn-cs"/>
            </a:rPr>
            <a:t>Sales</a:t>
          </a:r>
          <a:r>
            <a:rPr lang="en-US" sz="2000">
              <a:solidFill>
                <a:schemeClr val="dk1"/>
              </a:solidFill>
              <a:effectLst/>
              <a:latin typeface="+mn-lt"/>
              <a:ea typeface="+mn-ea"/>
              <a:cs typeface="+mn-cs"/>
            </a:rPr>
            <a:t> </a:t>
          </a:r>
          <a:r>
            <a:rPr lang="en-US" sz="2400" b="1">
              <a:solidFill>
                <a:schemeClr val="dk1"/>
              </a:solidFill>
              <a:effectLst/>
              <a:latin typeface="+mn-lt"/>
              <a:ea typeface="+mn-ea"/>
              <a:cs typeface="+mn-cs"/>
            </a:rPr>
            <a:t>Operations</a:t>
          </a:r>
          <a:r>
            <a:rPr lang="en-US" sz="2000">
              <a:solidFill>
                <a:schemeClr val="dk1"/>
              </a:solidFill>
              <a:effectLst/>
              <a:latin typeface="+mn-lt"/>
              <a:ea typeface="+mn-ea"/>
              <a:cs typeface="+mn-cs"/>
            </a:rPr>
            <a:t> &amp; </a:t>
          </a:r>
          <a:r>
            <a:rPr lang="en-US" sz="2400" b="1">
              <a:solidFill>
                <a:schemeClr val="dk1"/>
              </a:solidFill>
              <a:effectLst/>
              <a:latin typeface="+mn-lt"/>
              <a:ea typeface="+mn-ea"/>
              <a:cs typeface="+mn-cs"/>
            </a:rPr>
            <a:t>Analytics</a:t>
          </a:r>
          <a:r>
            <a:rPr lang="en-US" sz="2000">
              <a:solidFill>
                <a:schemeClr val="dk1"/>
              </a:solidFill>
              <a:effectLst/>
              <a:latin typeface="+mn-lt"/>
              <a:ea typeface="+mn-ea"/>
              <a:cs typeface="+mn-cs"/>
            </a:rPr>
            <a:t> </a:t>
          </a:r>
          <a:r>
            <a:rPr lang="en-US" sz="2400" b="1">
              <a:solidFill>
                <a:schemeClr val="dk1"/>
              </a:solidFill>
              <a:effectLst/>
              <a:latin typeface="+mn-lt"/>
              <a:ea typeface="+mn-ea"/>
              <a:cs typeface="+mn-cs"/>
            </a:rPr>
            <a:t>Dashboard</a:t>
          </a:r>
          <a:endParaRPr lang="en-US" sz="2400" b="1"/>
        </a:p>
      </xdr:txBody>
    </xdr:sp>
    <xdr:clientData/>
  </xdr:twoCellAnchor>
  <xdr:twoCellAnchor>
    <xdr:from>
      <xdr:col>0</xdr:col>
      <xdr:colOff>472440</xdr:colOff>
      <xdr:row>3</xdr:row>
      <xdr:rowOff>38100</xdr:rowOff>
    </xdr:from>
    <xdr:to>
      <xdr:col>3</xdr:col>
      <xdr:colOff>91440</xdr:colOff>
      <xdr:row>7</xdr:row>
      <xdr:rowOff>68580</xdr:rowOff>
    </xdr:to>
    <xdr:sp macro="" textlink="">
      <xdr:nvSpPr>
        <xdr:cNvPr id="68" name="Rectangle: Rounded Corners 67">
          <a:extLst>
            <a:ext uri="{FF2B5EF4-FFF2-40B4-BE49-F238E27FC236}">
              <a16:creationId xmlns:a16="http://schemas.microsoft.com/office/drawing/2014/main" id="{FBF0B6DD-8265-C6DD-5D5E-B154C60881A4}"/>
            </a:ext>
          </a:extLst>
        </xdr:cNvPr>
        <xdr:cNvSpPr/>
      </xdr:nvSpPr>
      <xdr:spPr>
        <a:xfrm>
          <a:off x="472440" y="586740"/>
          <a:ext cx="1447800" cy="762000"/>
        </a:xfrm>
        <a:prstGeom prst="roundRect">
          <a:avLst/>
        </a:prstGeom>
        <a:solidFill>
          <a:srgbClr val="760D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464820</xdr:colOff>
      <xdr:row>3</xdr:row>
      <xdr:rowOff>53340</xdr:rowOff>
    </xdr:from>
    <xdr:to>
      <xdr:col>3</xdr:col>
      <xdr:colOff>99060</xdr:colOff>
      <xdr:row>4</xdr:row>
      <xdr:rowOff>137160</xdr:rowOff>
    </xdr:to>
    <xdr:sp macro="" textlink="">
      <xdr:nvSpPr>
        <xdr:cNvPr id="69" name="TextBox 68">
          <a:extLst>
            <a:ext uri="{FF2B5EF4-FFF2-40B4-BE49-F238E27FC236}">
              <a16:creationId xmlns:a16="http://schemas.microsoft.com/office/drawing/2014/main" id="{56F34227-66EE-ECAF-F0CB-E631C7B2B07F}"/>
            </a:ext>
          </a:extLst>
        </xdr:cNvPr>
        <xdr:cNvSpPr txBox="1"/>
      </xdr:nvSpPr>
      <xdr:spPr>
        <a:xfrm>
          <a:off x="464820" y="601980"/>
          <a:ext cx="1463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panose="020B0604020202020204" pitchFamily="34" charset="0"/>
              <a:cs typeface="Arial" panose="020B0604020202020204" pitchFamily="34" charset="0"/>
            </a:rPr>
            <a:t>Total</a:t>
          </a:r>
          <a:r>
            <a:rPr lang="en-US" sz="1400" b="1" baseline="0"/>
            <a:t> </a:t>
          </a:r>
          <a:r>
            <a:rPr lang="en-US" sz="1400" b="1" baseline="0">
              <a:latin typeface="Arial" panose="020B0604020202020204" pitchFamily="34" charset="0"/>
              <a:cs typeface="Arial" panose="020B0604020202020204" pitchFamily="34" charset="0"/>
            </a:rPr>
            <a:t>Revenue</a:t>
          </a:r>
          <a:endParaRPr lang="en-US" sz="1400" b="1">
            <a:latin typeface="Arial" panose="020B0604020202020204" pitchFamily="34" charset="0"/>
            <a:cs typeface="Arial" panose="020B0604020202020204" pitchFamily="34" charset="0"/>
          </a:endParaRPr>
        </a:p>
      </xdr:txBody>
    </xdr:sp>
    <xdr:clientData/>
  </xdr:twoCellAnchor>
  <xdr:twoCellAnchor>
    <xdr:from>
      <xdr:col>0</xdr:col>
      <xdr:colOff>457200</xdr:colOff>
      <xdr:row>4</xdr:row>
      <xdr:rowOff>144780</xdr:rowOff>
    </xdr:from>
    <xdr:to>
      <xdr:col>3</xdr:col>
      <xdr:colOff>68580</xdr:colOff>
      <xdr:row>6</xdr:row>
      <xdr:rowOff>60960</xdr:rowOff>
    </xdr:to>
    <xdr:sp macro="" textlink="">
      <xdr:nvSpPr>
        <xdr:cNvPr id="42" name="TextBox 41">
          <a:extLst>
            <a:ext uri="{FF2B5EF4-FFF2-40B4-BE49-F238E27FC236}">
              <a16:creationId xmlns:a16="http://schemas.microsoft.com/office/drawing/2014/main" id="{1834637F-8168-5A60-1821-C9BD61BB6EAE}"/>
            </a:ext>
          </a:extLst>
        </xdr:cNvPr>
        <xdr:cNvSpPr txBox="1"/>
      </xdr:nvSpPr>
      <xdr:spPr>
        <a:xfrm>
          <a:off x="457200" y="876300"/>
          <a:ext cx="14401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760D46"/>
              </a:solidFill>
              <a:effectLst/>
              <a:latin typeface="Arial" panose="020B0604020202020204" pitchFamily="34" charset="0"/>
              <a:ea typeface="+mn-ea"/>
              <a:cs typeface="Arial" panose="020B0604020202020204" pitchFamily="34" charset="0"/>
            </a:rPr>
            <a:t> </a:t>
          </a:r>
          <a:r>
            <a:rPr lang="en-US" sz="1100" b="0" i="0" u="none" strike="noStrike">
              <a:solidFill>
                <a:schemeClr val="dk1"/>
              </a:solidFill>
              <a:effectLst/>
              <a:latin typeface="+mn-lt"/>
              <a:ea typeface="+mn-ea"/>
              <a:cs typeface="+mn-cs"/>
            </a:rPr>
            <a:t> </a:t>
          </a:r>
          <a:r>
            <a:rPr lang="en-US" sz="1200" b="1" i="0" u="none" strike="noStrike">
              <a:solidFill>
                <a:srgbClr val="FFFFFF"/>
              </a:solidFill>
              <a:effectLst/>
              <a:latin typeface="+mn-lt"/>
              <a:ea typeface="+mn-ea"/>
              <a:cs typeface="+mn-cs"/>
            </a:rPr>
            <a:t>$   </a:t>
          </a:r>
          <a:r>
            <a:rPr lang="en-US" sz="1200" b="1" i="0" u="none" strike="noStrike">
              <a:solidFill>
                <a:srgbClr val="FFFFFF"/>
              </a:solidFill>
              <a:effectLst/>
              <a:latin typeface="Arial" panose="020B0604020202020204" pitchFamily="34" charset="0"/>
              <a:ea typeface="+mn-ea"/>
              <a:cs typeface="Arial" panose="020B0604020202020204" pitchFamily="34" charset="0"/>
            </a:rPr>
            <a:t>10,919,008.6</a:t>
          </a:r>
          <a:r>
            <a:rPr lang="en-US" sz="1200" b="1" i="0" u="none" strike="noStrike">
              <a:solidFill>
                <a:srgbClr val="FFFFFF"/>
              </a:solidFill>
              <a:effectLst/>
              <a:latin typeface="+mn-lt"/>
              <a:ea typeface="+mn-ea"/>
              <a:cs typeface="+mn-cs"/>
            </a:rPr>
            <a:t> </a:t>
          </a:r>
          <a:r>
            <a:rPr lang="en-US" sz="1200" b="1" i="0" u="none" strike="noStrike">
              <a:solidFill>
                <a:srgbClr val="FFFFFF"/>
              </a:solidFill>
              <a:effectLst/>
              <a:latin typeface="Arial" panose="020B0604020202020204" pitchFamily="34" charset="0"/>
              <a:ea typeface="+mn-ea"/>
              <a:cs typeface="Arial" panose="020B0604020202020204" pitchFamily="34" charset="0"/>
            </a:rPr>
            <a:t> </a:t>
          </a:r>
          <a:endParaRPr lang="en-US" sz="1200" b="1">
            <a:solidFill>
              <a:srgbClr val="FFFFFF"/>
            </a:solidFill>
            <a:latin typeface="Arial" panose="020B0604020202020204" pitchFamily="34" charset="0"/>
            <a:cs typeface="Arial" panose="020B0604020202020204" pitchFamily="34" charset="0"/>
          </a:endParaRPr>
        </a:p>
      </xdr:txBody>
    </xdr:sp>
    <xdr:clientData/>
  </xdr:twoCellAnchor>
  <xdr:twoCellAnchor>
    <xdr:from>
      <xdr:col>0</xdr:col>
      <xdr:colOff>449580</xdr:colOff>
      <xdr:row>7</xdr:row>
      <xdr:rowOff>76200</xdr:rowOff>
    </xdr:from>
    <xdr:to>
      <xdr:col>3</xdr:col>
      <xdr:colOff>68580</xdr:colOff>
      <xdr:row>12</xdr:row>
      <xdr:rowOff>15240</xdr:rowOff>
    </xdr:to>
    <xdr:sp macro="" textlink="">
      <xdr:nvSpPr>
        <xdr:cNvPr id="70" name="Rectangle: Rounded Corners 69">
          <a:extLst>
            <a:ext uri="{FF2B5EF4-FFF2-40B4-BE49-F238E27FC236}">
              <a16:creationId xmlns:a16="http://schemas.microsoft.com/office/drawing/2014/main" id="{6F84A21C-D111-4EE7-B2A1-9E466835FCF1}"/>
            </a:ext>
          </a:extLst>
        </xdr:cNvPr>
        <xdr:cNvSpPr/>
      </xdr:nvSpPr>
      <xdr:spPr>
        <a:xfrm>
          <a:off x="449580" y="1356360"/>
          <a:ext cx="1447800" cy="853440"/>
        </a:xfrm>
        <a:prstGeom prst="roundRect">
          <a:avLst/>
        </a:prstGeom>
        <a:solidFill>
          <a:srgbClr val="760D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472440</xdr:colOff>
      <xdr:row>8</xdr:row>
      <xdr:rowOff>0</xdr:rowOff>
    </xdr:from>
    <xdr:to>
      <xdr:col>3</xdr:col>
      <xdr:colOff>350520</xdr:colOff>
      <xdr:row>9</xdr:row>
      <xdr:rowOff>137160</xdr:rowOff>
    </xdr:to>
    <xdr:sp macro="" textlink="">
      <xdr:nvSpPr>
        <xdr:cNvPr id="37" name="TextBox 36">
          <a:extLst>
            <a:ext uri="{FF2B5EF4-FFF2-40B4-BE49-F238E27FC236}">
              <a16:creationId xmlns:a16="http://schemas.microsoft.com/office/drawing/2014/main" id="{5BA3E2BC-CE59-788D-0305-D6216504C25B}"/>
            </a:ext>
          </a:extLst>
        </xdr:cNvPr>
        <xdr:cNvSpPr txBox="1"/>
      </xdr:nvSpPr>
      <xdr:spPr>
        <a:xfrm>
          <a:off x="472440" y="1463040"/>
          <a:ext cx="17068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FFFF"/>
              </a:solidFill>
              <a:latin typeface="Arial" panose="020B0604020202020204" pitchFamily="34" charset="0"/>
              <a:cs typeface="Arial" panose="020B0604020202020204" pitchFamily="34" charset="0"/>
            </a:rPr>
            <a:t>Gross Profit</a:t>
          </a:r>
        </a:p>
      </xdr:txBody>
    </xdr:sp>
    <xdr:clientData/>
  </xdr:twoCellAnchor>
  <xdr:twoCellAnchor>
    <xdr:from>
      <xdr:col>0</xdr:col>
      <xdr:colOff>335280</xdr:colOff>
      <xdr:row>9</xdr:row>
      <xdr:rowOff>114300</xdr:rowOff>
    </xdr:from>
    <xdr:to>
      <xdr:col>2</xdr:col>
      <xdr:colOff>525780</xdr:colOff>
      <xdr:row>11</xdr:row>
      <xdr:rowOff>7620</xdr:rowOff>
    </xdr:to>
    <xdr:sp macro="" textlink="">
      <xdr:nvSpPr>
        <xdr:cNvPr id="45" name="TextBox 44">
          <a:extLst>
            <a:ext uri="{FF2B5EF4-FFF2-40B4-BE49-F238E27FC236}">
              <a16:creationId xmlns:a16="http://schemas.microsoft.com/office/drawing/2014/main" id="{7805CB0D-F72E-4D4F-61D5-73DD71907359}"/>
            </a:ext>
          </a:extLst>
        </xdr:cNvPr>
        <xdr:cNvSpPr txBox="1"/>
      </xdr:nvSpPr>
      <xdr:spPr>
        <a:xfrm>
          <a:off x="335280" y="1760220"/>
          <a:ext cx="14097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760D46"/>
              </a:solidFill>
              <a:effectLst/>
              <a:latin typeface="Arial" panose="020B0604020202020204" pitchFamily="34" charset="0"/>
              <a:cs typeface="Arial" panose="020B0604020202020204" pitchFamily="34" charset="0"/>
            </a:rPr>
            <a:t> </a:t>
          </a:r>
          <a:r>
            <a:rPr lang="en-US" sz="1200" b="1" i="0" u="none" strike="noStrike">
              <a:solidFill>
                <a:srgbClr val="760D46"/>
              </a:solidFill>
              <a:effectLst/>
              <a:latin typeface="+mn-lt"/>
              <a:ea typeface="+mn-ea"/>
              <a:cs typeface="+mn-cs"/>
            </a:rPr>
            <a:t>  </a:t>
          </a:r>
          <a:r>
            <a:rPr lang="en-US" sz="1200" b="1" i="0" u="none" strike="noStrike">
              <a:solidFill>
                <a:srgbClr val="FFFFFF"/>
              </a:solidFill>
              <a:effectLst/>
              <a:latin typeface="+mn-lt"/>
              <a:ea typeface="+mn-ea"/>
              <a:cs typeface="+mn-cs"/>
            </a:rPr>
            <a:t>$     </a:t>
          </a:r>
          <a:r>
            <a:rPr lang="en-US" sz="1200" b="1" i="0" u="none" strike="noStrike">
              <a:solidFill>
                <a:srgbClr val="FFFFFF"/>
              </a:solidFill>
              <a:effectLst/>
              <a:latin typeface="Arial" panose="020B0604020202020204" pitchFamily="34" charset="0"/>
              <a:ea typeface="+mn-ea"/>
              <a:cs typeface="Arial" panose="020B0604020202020204" pitchFamily="34" charset="0"/>
            </a:rPr>
            <a:t>3,422,813.4</a:t>
          </a:r>
          <a:r>
            <a:rPr lang="en-US" sz="1200" b="1" i="0" u="none" strike="noStrike">
              <a:solidFill>
                <a:srgbClr val="FFFFFF"/>
              </a:solidFill>
              <a:effectLst/>
              <a:latin typeface="+mn-lt"/>
              <a:ea typeface="+mn-ea"/>
              <a:cs typeface="+mn-cs"/>
            </a:rPr>
            <a:t> </a:t>
          </a:r>
          <a:endParaRPr lang="en-US" sz="1200" b="1">
            <a:solidFill>
              <a:srgbClr val="FFFFFF"/>
            </a:solidFill>
            <a:latin typeface="Arial" panose="020B0604020202020204" pitchFamily="34" charset="0"/>
            <a:cs typeface="Arial" panose="020B0604020202020204" pitchFamily="34" charset="0"/>
          </a:endParaRPr>
        </a:p>
      </xdr:txBody>
    </xdr:sp>
    <xdr:clientData/>
  </xdr:twoCellAnchor>
  <xdr:twoCellAnchor>
    <xdr:from>
      <xdr:col>0</xdr:col>
      <xdr:colOff>449580</xdr:colOff>
      <xdr:row>12</xdr:row>
      <xdr:rowOff>38100</xdr:rowOff>
    </xdr:from>
    <xdr:to>
      <xdr:col>3</xdr:col>
      <xdr:colOff>68580</xdr:colOff>
      <xdr:row>16</xdr:row>
      <xdr:rowOff>53340</xdr:rowOff>
    </xdr:to>
    <xdr:sp macro="" textlink="">
      <xdr:nvSpPr>
        <xdr:cNvPr id="71" name="Rectangle: Rounded Corners 70">
          <a:extLst>
            <a:ext uri="{FF2B5EF4-FFF2-40B4-BE49-F238E27FC236}">
              <a16:creationId xmlns:a16="http://schemas.microsoft.com/office/drawing/2014/main" id="{DC81E066-C95A-4B68-9BB8-D6B3F90B3397}"/>
            </a:ext>
          </a:extLst>
        </xdr:cNvPr>
        <xdr:cNvSpPr/>
      </xdr:nvSpPr>
      <xdr:spPr>
        <a:xfrm>
          <a:off x="449580" y="2232660"/>
          <a:ext cx="1447800" cy="746760"/>
        </a:xfrm>
        <a:prstGeom prst="roundRect">
          <a:avLst/>
        </a:prstGeom>
        <a:solidFill>
          <a:srgbClr val="760D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533400</xdr:colOff>
      <xdr:row>12</xdr:row>
      <xdr:rowOff>91440</xdr:rowOff>
    </xdr:from>
    <xdr:to>
      <xdr:col>2</xdr:col>
      <xdr:colOff>358140</xdr:colOff>
      <xdr:row>14</xdr:row>
      <xdr:rowOff>53340</xdr:rowOff>
    </xdr:to>
    <xdr:sp macro="" textlink="">
      <xdr:nvSpPr>
        <xdr:cNvPr id="38" name="TextBox 37">
          <a:extLst>
            <a:ext uri="{FF2B5EF4-FFF2-40B4-BE49-F238E27FC236}">
              <a16:creationId xmlns:a16="http://schemas.microsoft.com/office/drawing/2014/main" id="{AC7FC062-DF3C-5E07-A0F7-C96CC894FAC9}"/>
            </a:ext>
          </a:extLst>
        </xdr:cNvPr>
        <xdr:cNvSpPr txBox="1"/>
      </xdr:nvSpPr>
      <xdr:spPr>
        <a:xfrm>
          <a:off x="533400" y="2286000"/>
          <a:ext cx="10439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FFFF"/>
              </a:solidFill>
              <a:effectLst/>
              <a:latin typeface="Arial" panose="020B0604020202020204" pitchFamily="34" charset="0"/>
              <a:ea typeface="+mn-ea"/>
              <a:cs typeface="Arial" panose="020B0604020202020204" pitchFamily="34" charset="0"/>
            </a:rPr>
            <a:t>Margin %</a:t>
          </a:r>
          <a:endParaRPr lang="en-US" sz="1400" b="1">
            <a:solidFill>
              <a:srgbClr val="FFFFFF"/>
            </a:solidFill>
            <a:latin typeface="Arial" panose="020B0604020202020204" pitchFamily="34" charset="0"/>
            <a:cs typeface="Arial" panose="020B0604020202020204" pitchFamily="34" charset="0"/>
          </a:endParaRPr>
        </a:p>
      </xdr:txBody>
    </xdr:sp>
    <xdr:clientData/>
  </xdr:twoCellAnchor>
  <xdr:twoCellAnchor>
    <xdr:from>
      <xdr:col>1</xdr:col>
      <xdr:colOff>114300</xdr:colOff>
      <xdr:row>13</xdr:row>
      <xdr:rowOff>152400</xdr:rowOff>
    </xdr:from>
    <xdr:to>
      <xdr:col>2</xdr:col>
      <xdr:colOff>213360</xdr:colOff>
      <xdr:row>15</xdr:row>
      <xdr:rowOff>0</xdr:rowOff>
    </xdr:to>
    <xdr:sp macro="" textlink="">
      <xdr:nvSpPr>
        <xdr:cNvPr id="44" name="TextBox 43">
          <a:extLst>
            <a:ext uri="{FF2B5EF4-FFF2-40B4-BE49-F238E27FC236}">
              <a16:creationId xmlns:a16="http://schemas.microsoft.com/office/drawing/2014/main" id="{391A7CB4-0E12-44BC-B3DE-87E168289B95}"/>
            </a:ext>
          </a:extLst>
        </xdr:cNvPr>
        <xdr:cNvSpPr txBox="1"/>
      </xdr:nvSpPr>
      <xdr:spPr>
        <a:xfrm>
          <a:off x="723900" y="2529840"/>
          <a:ext cx="7086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FFFFFF"/>
              </a:solidFill>
              <a:effectLst/>
              <a:latin typeface="+mn-lt"/>
              <a:ea typeface="+mn-ea"/>
              <a:cs typeface="+mn-cs"/>
            </a:rPr>
            <a:t>31%</a:t>
          </a:r>
          <a:r>
            <a:rPr lang="en-US" sz="1200" b="1">
              <a:solidFill>
                <a:srgbClr val="760D46"/>
              </a:solidFill>
              <a:effectLst/>
            </a:rPr>
            <a:t> </a:t>
          </a:r>
          <a:endParaRPr lang="en-US" sz="1200" b="1">
            <a:solidFill>
              <a:srgbClr val="760D46"/>
            </a:solidFill>
          </a:endParaRPr>
        </a:p>
      </xdr:txBody>
    </xdr:sp>
    <xdr:clientData/>
  </xdr:twoCellAnchor>
  <xdr:twoCellAnchor>
    <xdr:from>
      <xdr:col>0</xdr:col>
      <xdr:colOff>457200</xdr:colOff>
      <xdr:row>16</xdr:row>
      <xdr:rowOff>76200</xdr:rowOff>
    </xdr:from>
    <xdr:to>
      <xdr:col>3</xdr:col>
      <xdr:colOff>76200</xdr:colOff>
      <xdr:row>21</xdr:row>
      <xdr:rowOff>22860</xdr:rowOff>
    </xdr:to>
    <xdr:sp macro="" textlink="">
      <xdr:nvSpPr>
        <xdr:cNvPr id="72" name="Rectangle: Rounded Corners 71">
          <a:extLst>
            <a:ext uri="{FF2B5EF4-FFF2-40B4-BE49-F238E27FC236}">
              <a16:creationId xmlns:a16="http://schemas.microsoft.com/office/drawing/2014/main" id="{8C64A2BD-8B10-4DF2-A322-451CF6719C64}"/>
            </a:ext>
          </a:extLst>
        </xdr:cNvPr>
        <xdr:cNvSpPr/>
      </xdr:nvSpPr>
      <xdr:spPr>
        <a:xfrm>
          <a:off x="457200" y="3002280"/>
          <a:ext cx="1447800" cy="861060"/>
        </a:xfrm>
        <a:prstGeom prst="roundRect">
          <a:avLst/>
        </a:prstGeom>
        <a:solidFill>
          <a:srgbClr val="760D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533400</xdr:colOff>
      <xdr:row>16</xdr:row>
      <xdr:rowOff>91440</xdr:rowOff>
    </xdr:from>
    <xdr:to>
      <xdr:col>3</xdr:col>
      <xdr:colOff>266700</xdr:colOff>
      <xdr:row>19</xdr:row>
      <xdr:rowOff>106680</xdr:rowOff>
    </xdr:to>
    <xdr:sp macro="" textlink="">
      <xdr:nvSpPr>
        <xdr:cNvPr id="39" name="TextBox 38">
          <a:extLst>
            <a:ext uri="{FF2B5EF4-FFF2-40B4-BE49-F238E27FC236}">
              <a16:creationId xmlns:a16="http://schemas.microsoft.com/office/drawing/2014/main" id="{FFCD9844-AC8D-A671-AD78-BD8C9076599C}"/>
            </a:ext>
          </a:extLst>
        </xdr:cNvPr>
        <xdr:cNvSpPr txBox="1"/>
      </xdr:nvSpPr>
      <xdr:spPr>
        <a:xfrm>
          <a:off x="533400" y="3017520"/>
          <a:ext cx="156210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FFFF"/>
              </a:solidFill>
              <a:effectLst/>
              <a:latin typeface="Arial" panose="020B0604020202020204" pitchFamily="34" charset="0"/>
              <a:ea typeface="+mn-ea"/>
              <a:cs typeface="Arial" panose="020B0604020202020204" pitchFamily="34" charset="0"/>
            </a:rPr>
            <a:t>Avg Order </a:t>
          </a:r>
        </a:p>
        <a:p>
          <a:r>
            <a:rPr lang="en-US" sz="1400" b="1">
              <a:solidFill>
                <a:srgbClr val="FFFFFF"/>
              </a:solidFill>
              <a:effectLst/>
              <a:latin typeface="Arial" panose="020B0604020202020204" pitchFamily="34" charset="0"/>
              <a:ea typeface="+mn-ea"/>
              <a:cs typeface="Arial" panose="020B0604020202020204" pitchFamily="34" charset="0"/>
            </a:rPr>
            <a:t>Value</a:t>
          </a:r>
          <a:endParaRPr lang="en-US" sz="1400" b="1">
            <a:solidFill>
              <a:srgbClr val="FFFFFF"/>
            </a:solidFill>
            <a:latin typeface="Arial" panose="020B0604020202020204" pitchFamily="34" charset="0"/>
            <a:cs typeface="Arial" panose="020B0604020202020204" pitchFamily="34" charset="0"/>
          </a:endParaRPr>
        </a:p>
      </xdr:txBody>
    </xdr:sp>
    <xdr:clientData/>
  </xdr:twoCellAnchor>
  <xdr:twoCellAnchor>
    <xdr:from>
      <xdr:col>0</xdr:col>
      <xdr:colOff>548640</xdr:colOff>
      <xdr:row>19</xdr:row>
      <xdr:rowOff>15240</xdr:rowOff>
    </xdr:from>
    <xdr:to>
      <xdr:col>2</xdr:col>
      <xdr:colOff>434340</xdr:colOff>
      <xdr:row>20</xdr:row>
      <xdr:rowOff>144780</xdr:rowOff>
    </xdr:to>
    <xdr:sp macro="" textlink="">
      <xdr:nvSpPr>
        <xdr:cNvPr id="43" name="TextBox 42">
          <a:extLst>
            <a:ext uri="{FF2B5EF4-FFF2-40B4-BE49-F238E27FC236}">
              <a16:creationId xmlns:a16="http://schemas.microsoft.com/office/drawing/2014/main" id="{CEF27EEE-1409-5D6B-AE04-749C05024B44}"/>
            </a:ext>
          </a:extLst>
        </xdr:cNvPr>
        <xdr:cNvSpPr txBox="1"/>
      </xdr:nvSpPr>
      <xdr:spPr>
        <a:xfrm>
          <a:off x="548640" y="3489960"/>
          <a:ext cx="11049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1200" b="1" i="0" u="none" strike="noStrike">
              <a:solidFill>
                <a:srgbClr val="FFFFFF"/>
              </a:solidFill>
              <a:effectLst/>
              <a:latin typeface="+mn-lt"/>
              <a:ea typeface="+mn-ea"/>
              <a:cs typeface="+mn-cs"/>
            </a:rPr>
            <a:t>$   75,303.5 </a:t>
          </a:r>
          <a:endParaRPr lang="en-US" sz="1200" b="1">
            <a:solidFill>
              <a:srgbClr val="FFFFFF"/>
            </a:solidFill>
            <a:latin typeface="Arial" panose="020B0604020202020204" pitchFamily="34" charset="0"/>
            <a:cs typeface="Arial" panose="020B0604020202020204" pitchFamily="34" charset="0"/>
          </a:endParaRPr>
        </a:p>
      </xdr:txBody>
    </xdr:sp>
    <xdr:clientData/>
  </xdr:twoCellAnchor>
  <xdr:twoCellAnchor>
    <xdr:from>
      <xdr:col>0</xdr:col>
      <xdr:colOff>441960</xdr:colOff>
      <xdr:row>21</xdr:row>
      <xdr:rowOff>30480</xdr:rowOff>
    </xdr:from>
    <xdr:to>
      <xdr:col>3</xdr:col>
      <xdr:colOff>99060</xdr:colOff>
      <xdr:row>26</xdr:row>
      <xdr:rowOff>15240</xdr:rowOff>
    </xdr:to>
    <xdr:sp macro="" textlink="">
      <xdr:nvSpPr>
        <xdr:cNvPr id="73" name="Rectangle: Rounded Corners 72">
          <a:extLst>
            <a:ext uri="{FF2B5EF4-FFF2-40B4-BE49-F238E27FC236}">
              <a16:creationId xmlns:a16="http://schemas.microsoft.com/office/drawing/2014/main" id="{8F273E31-3CED-4852-871D-C731959E2F3A}"/>
            </a:ext>
          </a:extLst>
        </xdr:cNvPr>
        <xdr:cNvSpPr/>
      </xdr:nvSpPr>
      <xdr:spPr>
        <a:xfrm>
          <a:off x="441960" y="3870960"/>
          <a:ext cx="1485900" cy="899160"/>
        </a:xfrm>
        <a:prstGeom prst="roundRect">
          <a:avLst/>
        </a:prstGeom>
        <a:solidFill>
          <a:srgbClr val="760D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533400</xdr:colOff>
      <xdr:row>21</xdr:row>
      <xdr:rowOff>106680</xdr:rowOff>
    </xdr:from>
    <xdr:to>
      <xdr:col>2</xdr:col>
      <xdr:colOff>586740</xdr:colOff>
      <xdr:row>23</xdr:row>
      <xdr:rowOff>38100</xdr:rowOff>
    </xdr:to>
    <xdr:sp macro="" textlink="">
      <xdr:nvSpPr>
        <xdr:cNvPr id="41" name="TextBox 40">
          <a:extLst>
            <a:ext uri="{FF2B5EF4-FFF2-40B4-BE49-F238E27FC236}">
              <a16:creationId xmlns:a16="http://schemas.microsoft.com/office/drawing/2014/main" id="{211F18DE-EA69-10FF-39B3-C133418E95EC}"/>
            </a:ext>
          </a:extLst>
        </xdr:cNvPr>
        <xdr:cNvSpPr txBox="1"/>
      </xdr:nvSpPr>
      <xdr:spPr>
        <a:xfrm>
          <a:off x="533400" y="3947160"/>
          <a:ext cx="12725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FFFF"/>
              </a:solidFill>
              <a:latin typeface="Arial" panose="020B0604020202020204" pitchFamily="34" charset="0"/>
              <a:cs typeface="Arial" panose="020B0604020202020204" pitchFamily="34" charset="0"/>
            </a:rPr>
            <a:t>On-Time(%)</a:t>
          </a:r>
        </a:p>
      </xdr:txBody>
    </xdr:sp>
    <xdr:clientData/>
  </xdr:twoCellAnchor>
  <xdr:twoCellAnchor>
    <xdr:from>
      <xdr:col>1</xdr:col>
      <xdr:colOff>182880</xdr:colOff>
      <xdr:row>23</xdr:row>
      <xdr:rowOff>30480</xdr:rowOff>
    </xdr:from>
    <xdr:to>
      <xdr:col>2</xdr:col>
      <xdr:colOff>358140</xdr:colOff>
      <xdr:row>24</xdr:row>
      <xdr:rowOff>91440</xdr:rowOff>
    </xdr:to>
    <xdr:sp macro="" textlink="">
      <xdr:nvSpPr>
        <xdr:cNvPr id="46" name="TextBox 45">
          <a:extLst>
            <a:ext uri="{FF2B5EF4-FFF2-40B4-BE49-F238E27FC236}">
              <a16:creationId xmlns:a16="http://schemas.microsoft.com/office/drawing/2014/main" id="{B4F2BB27-086F-425B-52B9-2D47960E1E23}"/>
            </a:ext>
          </a:extLst>
        </xdr:cNvPr>
        <xdr:cNvSpPr txBox="1"/>
      </xdr:nvSpPr>
      <xdr:spPr>
        <a:xfrm>
          <a:off x="792480" y="4236720"/>
          <a:ext cx="7848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FFFFFF"/>
              </a:solidFill>
              <a:effectLst/>
              <a:latin typeface="Arial" panose="020B0604020202020204" pitchFamily="34" charset="0"/>
              <a:ea typeface="+mn-ea"/>
              <a:cs typeface="Arial" panose="020B0604020202020204" pitchFamily="34" charset="0"/>
            </a:rPr>
            <a:t>27%</a:t>
          </a:r>
          <a:r>
            <a:rPr lang="en-US" sz="1200" b="1">
              <a:solidFill>
                <a:srgbClr val="FFFFFF"/>
              </a:solidFill>
              <a:effectLst/>
              <a:latin typeface="Arial" panose="020B0604020202020204" pitchFamily="34" charset="0"/>
              <a:cs typeface="Arial" panose="020B0604020202020204" pitchFamily="34" charset="0"/>
            </a:rPr>
            <a:t> </a:t>
          </a:r>
          <a:endParaRPr lang="en-US" sz="1200" b="1">
            <a:solidFill>
              <a:srgbClr val="FFFFFF"/>
            </a:solidFill>
            <a:latin typeface="Arial" panose="020B0604020202020204" pitchFamily="34" charset="0"/>
            <a:cs typeface="Arial" panose="020B0604020202020204" pitchFamily="34" charset="0"/>
          </a:endParaRPr>
        </a:p>
      </xdr:txBody>
    </xdr:sp>
    <xdr:clientData/>
  </xdr:twoCellAnchor>
  <xdr:twoCellAnchor>
    <xdr:from>
      <xdr:col>3</xdr:col>
      <xdr:colOff>182880</xdr:colOff>
      <xdr:row>16</xdr:row>
      <xdr:rowOff>30480</xdr:rowOff>
    </xdr:from>
    <xdr:to>
      <xdr:col>7</xdr:col>
      <xdr:colOff>647700</xdr:colOff>
      <xdr:row>25</xdr:row>
      <xdr:rowOff>106680</xdr:rowOff>
    </xdr:to>
    <xdr:graphicFrame macro="">
      <xdr:nvGraphicFramePr>
        <xdr:cNvPr id="74" name="Chart 73">
          <a:extLst>
            <a:ext uri="{FF2B5EF4-FFF2-40B4-BE49-F238E27FC236}">
              <a16:creationId xmlns:a16="http://schemas.microsoft.com/office/drawing/2014/main" id="{042D0D99-0D73-479C-AA03-4D844C7D6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396240</xdr:colOff>
      <xdr:row>16</xdr:row>
      <xdr:rowOff>38100</xdr:rowOff>
    </xdr:from>
    <xdr:to>
      <xdr:col>15</xdr:col>
      <xdr:colOff>525780</xdr:colOff>
      <xdr:row>25</xdr:row>
      <xdr:rowOff>53340</xdr:rowOff>
    </xdr:to>
    <xdr:graphicFrame macro="">
      <xdr:nvGraphicFramePr>
        <xdr:cNvPr id="75" name="Chart 74">
          <a:extLst>
            <a:ext uri="{FF2B5EF4-FFF2-40B4-BE49-F238E27FC236}">
              <a16:creationId xmlns:a16="http://schemas.microsoft.com/office/drawing/2014/main" id="{815B3E8F-9534-4952-ABD9-C63C7324D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198120</xdr:colOff>
      <xdr:row>7</xdr:row>
      <xdr:rowOff>152400</xdr:rowOff>
    </xdr:from>
    <xdr:to>
      <xdr:col>8</xdr:col>
      <xdr:colOff>175260</xdr:colOff>
      <xdr:row>15</xdr:row>
      <xdr:rowOff>129540</xdr:rowOff>
    </xdr:to>
    <xdr:graphicFrame macro="">
      <xdr:nvGraphicFramePr>
        <xdr:cNvPr id="2" name="Chart 1">
          <a:extLst>
            <a:ext uri="{FF2B5EF4-FFF2-40B4-BE49-F238E27FC236}">
              <a16:creationId xmlns:a16="http://schemas.microsoft.com/office/drawing/2014/main" id="{C25779F0-1DBA-4FB2-9842-481C0E74E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160020</xdr:colOff>
      <xdr:row>3</xdr:row>
      <xdr:rowOff>7620</xdr:rowOff>
    </xdr:from>
    <xdr:to>
      <xdr:col>5</xdr:col>
      <xdr:colOff>381000</xdr:colOff>
      <xdr:row>7</xdr:row>
      <xdr:rowOff>71628</xdr:rowOff>
    </xdr:to>
    <mc:AlternateContent xmlns:mc="http://schemas.openxmlformats.org/markup-compatibility/2006">
      <mc:Choice xmlns:a14="http://schemas.microsoft.com/office/drawing/2010/main" Requires="a14">
        <xdr:graphicFrame macro="">
          <xdr:nvGraphicFramePr>
            <xdr:cNvPr id="4" name="Months 1">
              <a:extLst>
                <a:ext uri="{FF2B5EF4-FFF2-40B4-BE49-F238E27FC236}">
                  <a16:creationId xmlns:a16="http://schemas.microsoft.com/office/drawing/2014/main" id="{4007A8AC-9B52-437A-9098-0AC74B8C447F}"/>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988820" y="556260"/>
              <a:ext cx="1440180" cy="795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411480</xdr:colOff>
      <xdr:row>3</xdr:row>
      <xdr:rowOff>7620</xdr:rowOff>
    </xdr:from>
    <xdr:to>
      <xdr:col>7</xdr:col>
      <xdr:colOff>167640</xdr:colOff>
      <xdr:row>7</xdr:row>
      <xdr:rowOff>71628</xdr:rowOff>
    </xdr:to>
    <mc:AlternateContent xmlns:mc="http://schemas.openxmlformats.org/markup-compatibility/2006">
      <mc:Choice xmlns:a14="http://schemas.microsoft.com/office/drawing/2010/main" Requires="a14">
        <xdr:graphicFrame macro="">
          <xdr:nvGraphicFramePr>
            <xdr:cNvPr id="5" name="Region 2">
              <a:extLst>
                <a:ext uri="{FF2B5EF4-FFF2-40B4-BE49-F238E27FC236}">
                  <a16:creationId xmlns:a16="http://schemas.microsoft.com/office/drawing/2014/main" id="{FF5A72BE-1B1D-41DF-903B-9EE778B1392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459480" y="556260"/>
              <a:ext cx="1371600" cy="795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190500</xdr:colOff>
      <xdr:row>3</xdr:row>
      <xdr:rowOff>15239</xdr:rowOff>
    </xdr:from>
    <xdr:to>
      <xdr:col>9</xdr:col>
      <xdr:colOff>190500</xdr:colOff>
      <xdr:row>7</xdr:row>
      <xdr:rowOff>79247</xdr:rowOff>
    </xdr:to>
    <mc:AlternateContent xmlns:mc="http://schemas.openxmlformats.org/markup-compatibility/2006">
      <mc:Choice xmlns:a14="http://schemas.microsoft.com/office/drawing/2010/main" Requires="a14">
        <xdr:graphicFrame macro="">
          <xdr:nvGraphicFramePr>
            <xdr:cNvPr id="8" name="Country 3">
              <a:extLst>
                <a:ext uri="{FF2B5EF4-FFF2-40B4-BE49-F238E27FC236}">
                  <a16:creationId xmlns:a16="http://schemas.microsoft.com/office/drawing/2014/main" id="{F389FB90-6FBD-4AC8-A904-F2134BB8FAD0}"/>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dr:sp macro="" textlink="">
          <xdr:nvSpPr>
            <xdr:cNvPr id="0" name=""/>
            <xdr:cNvSpPr>
              <a:spLocks noTextEdit="1"/>
            </xdr:cNvSpPr>
          </xdr:nvSpPr>
          <xdr:spPr>
            <a:xfrm>
              <a:off x="4853940" y="563879"/>
              <a:ext cx="1371600" cy="795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205740</xdr:colOff>
      <xdr:row>3</xdr:row>
      <xdr:rowOff>0</xdr:rowOff>
    </xdr:from>
    <xdr:to>
      <xdr:col>11</xdr:col>
      <xdr:colOff>358140</xdr:colOff>
      <xdr:row>7</xdr:row>
      <xdr:rowOff>64008</xdr:rowOff>
    </xdr:to>
    <mc:AlternateContent xmlns:mc="http://schemas.openxmlformats.org/markup-compatibility/2006">
      <mc:Choice xmlns:a14="http://schemas.microsoft.com/office/drawing/2010/main" Requires="a14">
        <xdr:graphicFrame macro="">
          <xdr:nvGraphicFramePr>
            <xdr:cNvPr id="9" name="Channel 1">
              <a:extLst>
                <a:ext uri="{FF2B5EF4-FFF2-40B4-BE49-F238E27FC236}">
                  <a16:creationId xmlns:a16="http://schemas.microsoft.com/office/drawing/2014/main" id="{74FB7B54-1686-404D-AA38-C0FD80DC15B3}"/>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6240780" y="548640"/>
              <a:ext cx="1371600" cy="795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365760</xdr:colOff>
      <xdr:row>3</xdr:row>
      <xdr:rowOff>7620</xdr:rowOff>
    </xdr:from>
    <xdr:to>
      <xdr:col>13</xdr:col>
      <xdr:colOff>518160</xdr:colOff>
      <xdr:row>7</xdr:row>
      <xdr:rowOff>71628</xdr:rowOff>
    </xdr:to>
    <mc:AlternateContent xmlns:mc="http://schemas.openxmlformats.org/markup-compatibility/2006">
      <mc:Choice xmlns:a14="http://schemas.microsoft.com/office/drawing/2010/main" Requires="a14">
        <xdr:graphicFrame macro="">
          <xdr:nvGraphicFramePr>
            <xdr:cNvPr id="10" name="Salesperson 1">
              <a:extLst>
                <a:ext uri="{FF2B5EF4-FFF2-40B4-BE49-F238E27FC236}">
                  <a16:creationId xmlns:a16="http://schemas.microsoft.com/office/drawing/2014/main" id="{11AD678F-D1DE-4F65-BBF7-6137EE468F98}"/>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7620000" y="556260"/>
              <a:ext cx="1371600" cy="795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541020</xdr:colOff>
      <xdr:row>3</xdr:row>
      <xdr:rowOff>22860</xdr:rowOff>
    </xdr:from>
    <xdr:to>
      <xdr:col>16</xdr:col>
      <xdr:colOff>99060</xdr:colOff>
      <xdr:row>7</xdr:row>
      <xdr:rowOff>86868</xdr:rowOff>
    </xdr:to>
    <mc:AlternateContent xmlns:mc="http://schemas.openxmlformats.org/markup-compatibility/2006">
      <mc:Choice xmlns:a14="http://schemas.microsoft.com/office/drawing/2010/main" Requires="a14">
        <xdr:graphicFrame macro="">
          <xdr:nvGraphicFramePr>
            <xdr:cNvPr id="11" name="ProductCategory 2">
              <a:extLst>
                <a:ext uri="{FF2B5EF4-FFF2-40B4-BE49-F238E27FC236}">
                  <a16:creationId xmlns:a16="http://schemas.microsoft.com/office/drawing/2014/main" id="{90402281-A12E-4AC8-B91A-6B2BA9BD0D2D}"/>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dr:sp macro="" textlink="">
          <xdr:nvSpPr>
            <xdr:cNvPr id="0" name=""/>
            <xdr:cNvSpPr>
              <a:spLocks noTextEdit="1"/>
            </xdr:cNvSpPr>
          </xdr:nvSpPr>
          <xdr:spPr>
            <a:xfrm>
              <a:off x="9014460" y="571500"/>
              <a:ext cx="1386840" cy="795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320040</xdr:colOff>
      <xdr:row>7</xdr:row>
      <xdr:rowOff>144780</xdr:rowOff>
    </xdr:from>
    <xdr:to>
      <xdr:col>12</xdr:col>
      <xdr:colOff>182880</xdr:colOff>
      <xdr:row>16</xdr:row>
      <xdr:rowOff>0</xdr:rowOff>
    </xdr:to>
    <xdr:graphicFrame macro="">
      <xdr:nvGraphicFramePr>
        <xdr:cNvPr id="12" name="Chart 11">
          <a:extLst>
            <a:ext uri="{FF2B5EF4-FFF2-40B4-BE49-F238E27FC236}">
              <a16:creationId xmlns:a16="http://schemas.microsoft.com/office/drawing/2014/main" id="{B3ECB00A-97EA-4691-8E5D-CE6C4A223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190501</xdr:colOff>
      <xdr:row>0</xdr:row>
      <xdr:rowOff>0</xdr:rowOff>
    </xdr:from>
    <xdr:to>
      <xdr:col>2</xdr:col>
      <xdr:colOff>312421</xdr:colOff>
      <xdr:row>3</xdr:row>
      <xdr:rowOff>38099</xdr:rowOff>
    </xdr:to>
    <xdr:pic>
      <xdr:nvPicPr>
        <xdr:cNvPr id="17" name="Picture 16">
          <a:extLst>
            <a:ext uri="{FF2B5EF4-FFF2-40B4-BE49-F238E27FC236}">
              <a16:creationId xmlns:a16="http://schemas.microsoft.com/office/drawing/2014/main" id="{30E70B88-7444-56FA-CB59-1DBC4DC33AD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00101" y="0"/>
          <a:ext cx="731520" cy="586739"/>
        </a:xfrm>
        <a:prstGeom prst="rect">
          <a:avLst/>
        </a:prstGeom>
      </xdr:spPr>
    </xdr:pic>
    <xdr:clientData/>
  </xdr:twoCellAnchor>
  <xdr:twoCellAnchor>
    <xdr:from>
      <xdr:col>12</xdr:col>
      <xdr:colOff>281940</xdr:colOff>
      <xdr:row>7</xdr:row>
      <xdr:rowOff>83820</xdr:rowOff>
    </xdr:from>
    <xdr:to>
      <xdr:col>16</xdr:col>
      <xdr:colOff>220980</xdr:colOff>
      <xdr:row>15</xdr:row>
      <xdr:rowOff>137160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8CAD2C99-3413-4FE0-BBCD-2F4016B5FE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45780" y="1363980"/>
              <a:ext cx="2377440" cy="15163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7.746271296295" createdVersion="8" refreshedVersion="8" minRefreshableVersion="3" recordCount="631" xr:uid="{4B4839E2-D796-45AA-A3C7-E5DF84713169}">
  <cacheSource type="worksheet">
    <worksheetSource ref="A1:AF632" sheet="staging"/>
  </cacheSource>
  <cacheFields count="29">
    <cacheField name="OrderID" numFmtId="0">
      <sharedItems/>
    </cacheField>
    <cacheField name="OrderDate" numFmtId="14">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3-01-29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cacheField>
    <cacheField name="Month" numFmtId="14">
      <sharedItems count="33">
        <s v="Mar-2024"/>
        <s v="Oct-2024"/>
        <s v="Feb-2023"/>
        <s v="Mar-2025"/>
        <s v="Dec-2023"/>
        <s v="Jan-2023"/>
        <s v="Dec-2024"/>
        <s v="May-2024"/>
        <s v="May-2025"/>
        <s v="Jan-2024"/>
        <s v="Jan-2025"/>
        <s v="Sep-2025"/>
        <s v="Apr-2023"/>
        <s v="Jul-2025"/>
        <s v="Jul-2024"/>
        <s v="May-2023"/>
        <s v="Jun-2025"/>
        <s v="Jun-2024"/>
        <s v="Nov-2024"/>
        <s v="Apr-2025"/>
        <s v="Apr-2024"/>
        <s v="Aug-2024"/>
        <s v="Mar-2023"/>
        <s v="Jun-2023"/>
        <s v="Jul-2023"/>
        <s v="Aug-2023"/>
        <s v="Feb-2025"/>
        <s v="Sep-2023"/>
        <s v="Aug-2025"/>
        <s v="Sep-2024"/>
        <s v="Nov-2023"/>
        <s v="Feb-2024"/>
        <s v="Oct-2023"/>
      </sharedItems>
    </cacheField>
    <cacheField name="Quarter" numFmtId="14">
      <sharedItems/>
    </cacheField>
    <cacheField name="RequiredDate" numFmtId="14">
      <sharedItems containsSemiMixedTypes="0" containsNonDate="0" containsDate="1" containsString="0" minDate="2023-01-05T00:00:00" maxDate="2025-10-06T00:00:00" count="469">
        <d v="2024-04-06T00:00:00"/>
        <d v="2024-10-22T00:00:00"/>
        <d v="2023-03-25T00:00:00"/>
        <d v="2025-04-02T00:00:00"/>
        <d v="2023-12-31T00:00:00"/>
        <d v="2023-01-05T00:00:00"/>
        <d v="2025-01-14T00:00:00"/>
        <d v="2023-01-13T00:00:00"/>
        <d v="2024-05-29T00:00:00"/>
        <d v="2025-06-09T00:00:00"/>
        <d v="2024-02-09T00:00:00"/>
        <d v="2025-01-23T00:00:00"/>
        <d v="2025-03-31T00:00:00"/>
        <d v="2024-02-13T00:00:00"/>
        <d v="2025-09-30T00:00:00"/>
        <d v="2023-04-22T00:00:00"/>
        <d v="2025-01-08T00:00:00"/>
        <d v="2025-09-16T00:00:00"/>
        <d v="2025-08-05T00:00:00"/>
        <d v="2025-05-19T00:00:00"/>
        <d v="2024-07-24T00:00:00"/>
        <d v="2023-05-28T00:00:00"/>
        <d v="2025-06-29T00:00:00"/>
        <d v="2024-05-23T00:00:00"/>
        <d v="2023-02-12T00:00:00"/>
        <d v="2024-07-14T00:00:00"/>
        <d v="2024-12-30T00:00:00"/>
        <d v="2024-07-19T00:00:00"/>
        <d v="2023-05-14T00:00:00"/>
        <d v="2025-04-11T00:00:00"/>
        <d v="2025-01-15T00:00:00"/>
        <d v="2025-08-06T00:00:00"/>
        <d v="2024-05-08T00:00:00"/>
        <d v="2024-08-21T00:00:00"/>
        <d v="2024-03-25T00:00:00"/>
        <d v="2025-07-10T00:00:00"/>
        <d v="2024-05-06T00:00:00"/>
        <d v="2023-06-24T00:00:00"/>
        <d v="2024-09-19T00:00:00"/>
        <d v="2024-02-02T00:00:00"/>
        <d v="2024-11-14T00:00:00"/>
        <d v="2025-06-20T00:00:00"/>
        <d v="2024-06-02T00:00:00"/>
        <d v="2023-04-30T00:00:00"/>
        <d v="2023-07-03T00:00:00"/>
        <d v="2024-05-28T00:00:00"/>
        <d v="2024-11-08T00:00:00"/>
        <d v="2023-08-01T00:00:00"/>
        <d v="2024-11-22T00:00:00"/>
        <d v="2024-11-06T00:00:00"/>
        <d v="2023-04-05T00:00:00"/>
        <d v="2025-02-16T00:00:00"/>
        <d v="2023-09-01T00:00:00"/>
        <d v="2025-04-30T00:00:00"/>
        <d v="2025-03-01T00:00:00"/>
        <d v="2024-12-18T00:00:00"/>
        <d v="2025-06-18T00:00:00"/>
        <d v="2025-05-13T00:00:00"/>
        <d v="2024-04-09T00:00:00"/>
        <d v="2025-09-12T00:00:00"/>
        <d v="2025-05-25T00:00:00"/>
        <d v="2024-11-18T00:00:00"/>
        <d v="2023-02-26T00:00:00"/>
        <d v="2023-12-26T00:00:00"/>
        <d v="2023-04-09T00:00:00"/>
        <d v="2024-06-06T00:00:00"/>
        <d v="2023-09-07T00:00:00"/>
        <d v="2023-05-10T00:00:00"/>
        <d v="2024-03-21T00:00:00"/>
        <d v="2025-05-06T00:00:00"/>
        <d v="2024-05-07T00:00:00"/>
        <d v="2024-12-20T00:00:00"/>
        <d v="2023-05-18T00:00:00"/>
        <d v="2023-10-08T00:00:00"/>
        <d v="2024-09-25T00:00:00"/>
        <d v="2024-06-28T00:00:00"/>
        <d v="2023-06-16T00:00:00"/>
        <d v="2024-12-21T00:00:00"/>
        <d v="2023-02-11T00:00:00"/>
        <d v="2023-09-12T00:00:00"/>
        <d v="2025-05-24T00:00:00"/>
        <d v="2025-04-22T00:00:00"/>
        <d v="2025-04-17T00:00:00"/>
        <d v="2023-12-23T00:00:00"/>
        <d v="2024-04-25T00:00:00"/>
        <d v="2025-08-19T00:00:00"/>
        <d v="2024-01-25T00:00:00"/>
        <d v="2023-07-02T00:00:00"/>
        <d v="2025-05-15T00:00:00"/>
        <d v="2025-06-25T00:00:00"/>
        <d v="2023-06-23T00:00:00"/>
        <d v="2024-11-02T00:00:00"/>
        <d v="2023-04-27T00:00:00"/>
        <d v="2025-08-16T00:00:00"/>
        <d v="2024-05-26T00:00:00"/>
        <d v="2025-08-18T00:00:00"/>
        <d v="2023-03-20T00:00:00"/>
        <d v="2025-02-15T00:00:00"/>
        <d v="2024-01-22T00:00:00"/>
        <d v="2025-04-04T00:00:00"/>
        <d v="2024-12-28T00:00:00"/>
        <d v="2024-10-05T00:00:00"/>
        <d v="2024-05-27T00:00:00"/>
        <d v="2023-06-07T00:00:00"/>
        <d v="2024-09-04T00:00:00"/>
        <d v="2024-06-08T00:00:00"/>
        <d v="2024-07-07T00:00:00"/>
        <d v="2024-06-11T00:00:00"/>
        <d v="2024-07-26T00:00:00"/>
        <d v="2025-01-24T00:00:00"/>
        <d v="2023-12-05T00:00:00"/>
        <d v="2023-03-05T00:00:00"/>
        <d v="2025-06-10T00:00:00"/>
        <d v="2025-01-02T00:00:00"/>
        <d v="2023-06-19T00:00:00"/>
        <d v="2025-07-18T00:00:00"/>
        <d v="2025-07-12T00:00:00"/>
        <d v="2023-12-13T00:00:00"/>
        <d v="2024-01-20T00:00:00"/>
        <d v="2024-11-29T00:00:00"/>
        <d v="2023-09-04T00:00:00"/>
        <d v="2023-09-06T00:00:00"/>
        <d v="2024-06-26T00:00:00"/>
        <d v="2025-08-14T00:00:00"/>
        <d v="2024-06-13T00:00:00"/>
        <d v="2023-01-30T00:00:00"/>
        <d v="2025-02-28T00:00:00"/>
        <d v="2025-03-24T00:00:00"/>
        <d v="2023-01-31T00:00:00"/>
        <d v="2024-12-26T00:00:00"/>
        <d v="2023-04-17T00:00:00"/>
        <d v="2025-01-12T00:00:00"/>
        <d v="2023-04-12T00:00:00"/>
        <d v="2024-12-15T00:00:00"/>
        <d v="2024-02-14T00:00:00"/>
        <d v="2025-01-11T00:00:00"/>
        <d v="2023-08-25T00:00:00"/>
        <d v="2024-07-06T00:00:00"/>
        <d v="2023-07-14T00:00:00"/>
        <d v="2023-11-29T00:00:00"/>
        <d v="2025-09-28T00:00:00"/>
        <d v="2024-04-24T00:00:00"/>
        <d v="2023-09-16T00:00:00"/>
        <d v="2024-10-18T00:00:00"/>
        <d v="2025-05-16T00:00:00"/>
        <d v="2023-07-23T00:00:00"/>
        <d v="2024-03-04T00:00:00"/>
        <d v="2023-11-02T00:00:00"/>
        <d v="2024-08-17T00:00:00"/>
        <d v="2024-02-21T00:00:00"/>
        <d v="2024-09-18T00:00:00"/>
        <d v="2025-08-21T00:00:00"/>
        <d v="2023-03-04T00:00:00"/>
        <d v="2024-11-24T00:00:00"/>
        <d v="2024-04-07T00:00:00"/>
        <d v="2023-03-26T00:00:00"/>
        <d v="2024-06-16T00:00:00"/>
        <d v="2023-03-12T00:00:00"/>
        <d v="2024-06-14T00:00:00"/>
        <d v="2023-10-23T00:00:00"/>
        <d v="2024-07-15T00:00:00"/>
        <d v="2023-10-10T00:00:00"/>
        <d v="2023-03-09T00:00:00"/>
        <d v="2024-06-03T00:00:00"/>
        <d v="2025-05-04T00:00:00"/>
        <d v="2023-09-11T00:00:00"/>
        <d v="2023-04-16T00:00:00"/>
        <d v="2025-09-18T00:00:00"/>
        <d v="2024-10-11T00:00:00"/>
        <d v="2025-03-04T00:00:00"/>
        <d v="2023-08-23T00:00:00"/>
        <d v="2024-10-29T00:00:00"/>
        <d v="2023-07-21T00:00:00"/>
        <d v="2025-02-08T00:00:00"/>
        <d v="2023-07-31T00:00:00"/>
        <d v="2024-02-19T00:00:00"/>
        <d v="2023-08-22T00:00:00"/>
        <d v="2024-09-03T00:00:00"/>
        <d v="2023-11-13T00:00:00"/>
        <d v="2023-05-26T00:00:00"/>
        <d v="2024-10-01T00:00:00"/>
        <d v="2024-03-03T00:00:00"/>
        <d v="2023-02-21T00:00:00"/>
        <d v="2023-05-13T00:00:00"/>
        <d v="2023-01-19T00:00:00"/>
        <d v="2024-01-29T00:00:00"/>
        <d v="2023-02-03T00:00:00"/>
        <d v="2025-02-25T00:00:00"/>
        <d v="2023-04-28T00:00:00"/>
        <d v="2025-02-14T00:00:00"/>
        <d v="2024-10-07T00:00:00"/>
        <d v="2025-08-07T00:00:00"/>
        <d v="2024-10-23T00:00:00"/>
        <d v="2025-08-04T00:00:00"/>
        <d v="2025-02-06T00:00:00"/>
        <d v="2023-11-28T00:00:00"/>
        <d v="2024-03-30T00:00:00"/>
        <d v="2024-01-14T00:00:00"/>
        <d v="2023-01-21T00:00:00"/>
        <d v="2024-11-09T00:00:00"/>
        <d v="2024-10-14T00:00:00"/>
        <d v="2025-09-24T00:00:00"/>
        <d v="2023-10-02T00:00:00"/>
        <d v="2023-09-10T00:00:00"/>
        <d v="2025-07-17T00:00:00"/>
        <d v="2023-05-07T00:00:00"/>
        <d v="2023-12-20T00:00:00"/>
        <d v="2023-08-07T00:00:00"/>
        <d v="2023-10-29T00:00:00"/>
        <d v="2025-08-30T00:00:00"/>
        <d v="2023-04-01T00:00:00"/>
        <d v="2023-06-10T00:00:00"/>
        <d v="2024-09-08T00:00:00"/>
        <d v="2023-03-30T00:00:00"/>
        <d v="2024-10-02T00:00:00"/>
        <d v="2025-07-23T00:00:00"/>
        <d v="2023-12-07T00:00:00"/>
        <d v="2025-05-27T00:00:00"/>
        <d v="2025-08-08T00:00:00"/>
        <d v="2024-12-12T00:00:00"/>
        <d v="2024-03-26T00:00:00"/>
        <d v="2025-05-02T00:00:00"/>
        <d v="2023-03-24T00:00:00"/>
        <d v="2024-07-31T00:00:00"/>
        <d v="2024-11-20T00:00:00"/>
        <d v="2024-05-19T00:00:00"/>
        <d v="2023-10-06T00:00:00"/>
        <d v="2025-07-05T00:00:00"/>
        <d v="2023-10-13T00:00:00"/>
        <d v="2023-08-24T00:00:00"/>
        <d v="2025-06-27T00:00:00"/>
        <d v="2025-04-26T00:00:00"/>
        <d v="2025-09-11T00:00:00"/>
        <d v="2024-10-08T00:00:00"/>
        <d v="2023-05-05T00:00:00"/>
        <d v="2024-01-01T00:00:00"/>
        <d v="2024-01-23T00:00:00"/>
        <d v="2023-08-14T00:00:00"/>
        <d v="2025-03-09T00:00:00"/>
        <d v="2024-04-17T00:00:00"/>
        <d v="2023-08-13T00:00:00"/>
        <d v="2024-04-13T00:00:00"/>
        <d v="2024-01-27T00:00:00"/>
        <d v="2024-04-11T00:00:00"/>
        <d v="2025-07-14T00:00:00"/>
        <d v="2024-07-03T00:00:00"/>
        <d v="2023-11-14T00:00:00"/>
        <d v="2025-03-29T00:00:00"/>
        <d v="2025-05-28T00:00:00"/>
        <d v="2024-02-05T00:00:00"/>
        <d v="2025-04-13T00:00:00"/>
        <d v="2024-09-07T00:00:00"/>
        <d v="2024-01-30T00:00:00"/>
        <d v="2023-08-10T00:00:00"/>
        <d v="2025-08-26T00:00:00"/>
        <d v="2025-04-07T00:00:00"/>
        <d v="2023-11-09T00:00:00"/>
        <d v="2023-09-22T00:00:00"/>
        <d v="2024-03-16T00:00:00"/>
        <d v="2023-07-08T00:00:00"/>
        <d v="2024-04-05T00:00:00"/>
        <d v="2025-01-22T00:00:00"/>
        <d v="2023-10-31T00:00:00"/>
        <d v="2023-07-22T00:00:00"/>
        <d v="2025-07-08T00:00:00"/>
        <d v="2024-06-20T00:00:00"/>
        <d v="2025-04-12T00:00:00"/>
        <d v="2025-03-26T00:00:00"/>
        <d v="2025-02-04T00:00:00"/>
        <d v="2023-01-29T00:00:00"/>
        <d v="2023-06-22T00:00:00"/>
        <d v="2024-11-05T00:00:00"/>
        <d v="2024-06-24T00:00:00"/>
        <d v="2025-06-06T00:00:00"/>
        <d v="2023-11-30T00:00:00"/>
        <d v="2025-04-27T00:00:00"/>
        <d v="2023-04-15T00:00:00"/>
        <d v="2024-06-18T00:00:00"/>
        <d v="2023-02-27T00:00:00"/>
        <d v="2024-03-11T00:00:00"/>
        <d v="2023-05-29T00:00:00"/>
        <d v="2023-06-18T00:00:00"/>
        <d v="2025-05-17T00:00:00"/>
        <d v="2023-11-16T00:00:00"/>
        <d v="2025-09-26T00:00:00"/>
        <d v="2023-09-03T00:00:00"/>
        <d v="2023-12-06T00:00:00"/>
        <d v="2024-04-18T00:00:00"/>
        <d v="2023-08-19T00:00:00"/>
        <d v="2023-04-11T00:00:00"/>
        <d v="2024-11-04T00:00:00"/>
        <d v="2024-07-12T00:00:00"/>
        <d v="2023-12-18T00:00:00"/>
        <d v="2024-08-02T00:00:00"/>
        <d v="2023-05-16T00:00:00"/>
        <d v="2024-01-06T00:00:00"/>
        <d v="2023-03-08T00:00:00"/>
        <d v="2023-12-16T00:00:00"/>
        <d v="2024-08-20T00:00:00"/>
        <d v="2024-11-26T00:00:00"/>
        <d v="2024-04-21T00:00:00"/>
        <d v="2024-12-07T00:00:00"/>
        <d v="2024-02-03T00:00:00"/>
        <d v="2024-06-25T00:00:00"/>
        <d v="2023-06-28T00:00:00"/>
        <d v="2025-04-09T00:00:00"/>
        <d v="2024-06-15T00:00:00"/>
        <d v="2023-10-09T00:00:00"/>
        <d v="2024-01-03T00:00:00"/>
        <d v="2023-02-28T00:00:00"/>
        <d v="2023-04-08T00:00:00"/>
        <d v="2025-04-10T00:00:00"/>
        <d v="2024-03-19T00:00:00"/>
        <d v="2025-07-11T00:00:00"/>
        <d v="2023-04-04T00:00:00"/>
        <d v="2025-01-20T00:00:00"/>
        <d v="2025-02-17T00:00:00"/>
        <d v="2025-09-06T00:00:00"/>
        <d v="2025-08-17T00:00:00"/>
        <d v="2024-08-07T00:00:00"/>
        <d v="2025-05-26T00:00:00"/>
        <d v="2024-05-12T00:00:00"/>
        <d v="2023-10-03T00:00:00"/>
        <d v="2023-11-05T00:00:00"/>
        <d v="2025-06-30T00:00:00"/>
        <d v="2023-10-26T00:00:00"/>
        <d v="2023-06-20T00:00:00"/>
        <d v="2025-06-08T00:00:00"/>
        <d v="2025-09-14T00:00:00"/>
        <d v="2025-09-23T00:00:00"/>
        <d v="2024-10-04T00:00:00"/>
        <d v="2024-08-15T00:00:00"/>
        <d v="2024-08-08T00:00:00"/>
        <d v="2025-02-03T00:00:00"/>
        <d v="2025-03-21T00:00:00"/>
        <d v="2025-03-15T00:00:00"/>
        <d v="2023-12-19T00:00:00"/>
        <d v="2024-09-05T00:00:00"/>
        <d v="2024-05-21T00:00:00"/>
        <d v="2023-04-06T00:00:00"/>
        <d v="2023-09-13T00:00:00"/>
        <d v="2024-12-10T00:00:00"/>
        <d v="2025-06-14T00:00:00"/>
        <d v="2025-04-08T00:00:00"/>
        <d v="2024-02-11T00:00:00"/>
        <d v="2025-03-17T00:00:00"/>
        <d v="2025-07-06T00:00:00"/>
        <d v="2025-09-25T00:00:00"/>
        <d v="2024-03-06T00:00:00"/>
        <d v="2025-09-05T00:00:00"/>
        <d v="2024-09-12T00:00:00"/>
        <d v="2024-03-09T00:00:00"/>
        <d v="2024-11-12T00:00:00"/>
        <d v="2023-10-21T00:00:00"/>
        <d v="2024-12-19T00:00:00"/>
        <d v="2023-10-20T00:00:00"/>
        <d v="2025-01-13T00:00:00"/>
        <d v="2023-04-19T00:00:00"/>
        <d v="2024-01-08T00:00:00"/>
        <d v="2023-06-03T00:00:00"/>
        <d v="2023-09-28T00:00:00"/>
        <d v="2024-10-03T00:00:00"/>
        <d v="2024-01-13T00:00:00"/>
        <d v="2025-04-29T00:00:00"/>
        <d v="2024-07-09T00:00:00"/>
        <d v="2024-05-16T00:00:00"/>
        <d v="2025-06-24T00:00:00"/>
        <d v="2023-06-21T00:00:00"/>
        <d v="2024-12-29T00:00:00"/>
        <d v="2023-12-12T00:00:00"/>
        <d v="2023-05-19T00:00:00"/>
        <d v="2023-12-10T00:00:00"/>
        <d v="2024-05-18T00:00:00"/>
        <d v="2023-07-19T00:00:00"/>
        <d v="2023-06-15T00:00:00"/>
        <d v="2024-04-03T00:00:00"/>
        <d v="2025-04-19T00:00:00"/>
        <d v="2025-08-15T00:00:00"/>
        <d v="2025-06-05T00:00:00"/>
        <d v="2023-05-22T00:00:00"/>
        <d v="2023-09-19T00:00:00"/>
        <d v="2024-02-28T00:00:00"/>
        <d v="2025-09-03T00:00:00"/>
        <d v="2023-05-25T00:00:00"/>
        <d v="2023-03-18T00:00:00"/>
        <d v="2024-01-15T00:00:00"/>
        <d v="2023-08-15T00:00:00"/>
        <d v="2024-12-08T00:00:00"/>
        <d v="2023-11-24T00:00:00"/>
        <d v="2024-11-28T00:00:00"/>
        <d v="2024-05-24T00:00:00"/>
        <d v="2024-02-29T00:00:00"/>
        <d v="2024-06-17T00:00:00"/>
        <d v="2023-07-04T00:00:00"/>
        <d v="2024-09-13T00:00:00"/>
        <d v="2023-10-28T00:00:00"/>
        <d v="2025-10-05T00:00:00"/>
        <d v="2025-03-25T00:00:00"/>
        <d v="2025-03-27T00:00:00"/>
        <d v="2024-10-28T00:00:00"/>
        <d v="2023-04-20T00:00:00"/>
        <d v="2024-11-21T00:00:00"/>
        <d v="2024-03-23T00:00:00"/>
        <d v="2023-06-08T00:00:00"/>
        <d v="2025-01-05T00:00:00"/>
        <d v="2025-08-28T00:00:00"/>
        <d v="2023-10-30T00:00:00"/>
        <d v="2025-05-30T00:00:00"/>
        <d v="2023-05-27T00:00:00"/>
        <d v="2024-05-10T00:00:00"/>
        <d v="2024-04-27T00:00:00"/>
        <d v="2023-01-26T00:00:00"/>
        <d v="2024-06-23T00:00:00"/>
        <d v="2023-09-20T00:00:00"/>
        <d v="2024-02-08T00:00:00"/>
        <d v="2025-05-12T00:00:00"/>
        <d v="2023-07-11T00:00:00"/>
        <d v="2024-08-26T00:00:00"/>
        <d v="2023-07-13T00:00:00"/>
        <d v="2023-02-15T00:00:00"/>
        <d v="2023-07-09T00:00:00"/>
        <d v="2024-06-09T00:00:00"/>
        <d v="2023-03-06T00:00:00"/>
        <d v="2024-08-03T00:00:00"/>
        <d v="2025-08-23T00:00:00"/>
        <d v="2024-09-26T00:00:00"/>
        <d v="2023-05-20T00:00:00"/>
        <d v="2024-03-29T00:00:00"/>
        <d v="2024-05-22T00:00:00"/>
        <d v="2024-01-12T00:00:00"/>
        <d v="2023-05-02T00:00:00"/>
        <d v="2024-02-04T00:00:00"/>
        <d v="2024-11-07T00:00:00"/>
        <d v="2024-02-20T00:00:00"/>
        <d v="2025-04-14T00:00:00"/>
        <d v="2023-06-01T00:00:00"/>
        <d v="2024-01-02T00:00:00"/>
        <d v="2023-04-26T00:00:00"/>
        <d v="2023-07-12T00:00:00"/>
        <d v="2025-08-03T00:00:00"/>
        <d v="2023-07-01T00:00:00"/>
        <d v="2023-02-06T00:00:00"/>
        <d v="2024-08-09T00:00:00"/>
        <d v="2024-06-21T00:00:00"/>
        <d v="2025-02-27T00:00:00"/>
        <d v="2025-09-22T00:00:00"/>
        <d v="2024-07-21T00:00:00"/>
        <d v="2024-03-22T00:00:00"/>
        <d v="2024-09-02T00:00:00"/>
        <d v="2025-05-18T00:00:00"/>
        <d v="2023-04-25T00:00:00"/>
        <d v="2025-06-21T00:00:00"/>
        <d v="2024-12-24T00:00:00"/>
        <d v="2023-04-23T00:00:00"/>
        <d v="2024-02-01T00:00:00"/>
        <d v="2024-06-30T00:00:00"/>
        <d v="2023-10-11T00:00:00"/>
        <d v="2025-01-16T00:00:00"/>
        <d v="2025-07-16T00:00:00"/>
        <d v="2024-10-24T00:00:00"/>
        <d v="2023-09-14T00:00:00"/>
        <d v="2025-05-03T00:00:00"/>
        <d v="2024-08-23T00:00:00"/>
        <d v="2025-07-31T00:00:00"/>
        <d v="2023-08-02T00:00:00"/>
        <d v="2024-01-16T00:00:00"/>
        <d v="2023-08-30T00:00:00"/>
        <d v="2023-07-18T00:00:00"/>
        <d v="2025-03-10T00:00:00"/>
      </sharedItems>
    </cacheField>
    <cacheField name="Corrected Required_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OnTime" numFmtId="1">
      <sharedItems containsSemiMixedTypes="0" containsString="0" containsNumber="1" containsInteger="1" minValue="0" maxValue="1"/>
    </cacheField>
    <cacheField name="MeetsSLA" numFmtId="1">
      <sharedItems containsSemiMixedTypes="0" containsString="0" containsNumber="1" containsInteger="1" minValue="0" maxValue="1"/>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0">
      <sharedItems containsBlank="1" count="41">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Austin"/>
        <s v="Frankfurt"/>
        <s v="Beijing"/>
        <m/>
        <s v="New York"/>
        <s v="Ottawa"/>
      </sharedItems>
    </cacheField>
    <cacheField name="CustomerSegment" numFmtId="49">
      <sharedItems/>
    </cacheField>
    <cacheField name="Channel" numFmtId="49">
      <sharedItems containsBlank="1"/>
    </cacheField>
    <cacheField name="Salesperson" numFmtId="49">
      <sharedItems/>
    </cacheField>
    <cacheField name="ProductCategory" numFmtId="49">
      <sharedItems count="7">
        <s v="Components"/>
        <s v="Printers"/>
        <s v="Networking"/>
        <s v="Phones"/>
        <s v="Laptops"/>
        <s v="Monitors"/>
        <s v="Accessories"/>
      </sharedItems>
    </cacheField>
    <cacheField name="SKU" numFmtId="49">
      <sharedItems count="629">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2">
      <sharedItems containsSemiMixedTypes="0" containsString="0" containsNumber="1" minValue="5.34" maxValue="1495.79"/>
    </cacheField>
    <cacheField name="UnitPrice" numFmtId="2">
      <sharedItems containsSemiMixedTypes="0" containsString="0" containsNumber="1" minValue="4.22" maxValue="3661.07"/>
    </cacheField>
    <cacheField name="Discount" numFmtId="2">
      <sharedItems containsSemiMixedTypes="0" containsString="0" containsNumber="1" minValue="0" maxValue="0.3"/>
    </cacheField>
    <cacheField name="DiscountPct" numFmtId="2">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Revenue" numFmtId="0">
      <sharedItems containsSemiMixedTypes="0" containsString="0" containsNumber="1" minValue="18.659839999999999" maxValue="139277.83032000001"/>
    </cacheField>
    <cacheField name="CostOfGoods" numFmtId="0">
      <sharedItems containsSemiMixedTypes="0" containsString="0" containsNumber="1" minValue="22" maxValue="83258.290000000008"/>
    </cacheField>
    <cacheField name="GrossProfit" numFmtId="0">
      <sharedItems containsSemiMixedTypes="0" containsString="0" containsNumber="1" minValue="-68355.013999999996" maxValue="65188.659999999996"/>
    </cacheField>
    <cacheField name="MarginPct" numFmtId="0">
      <sharedItems containsSemiMixedTypes="0" containsString="0" containsNumber="1" minValue="-250.39750756449047" maxValue="0.59672531214528945"/>
    </cacheField>
    <cacheField name="Low_Medium_Cutoff" numFmtId="0">
      <sharedItems containsSemiMixedTypes="0" containsString="0" containsNumber="1" minValue="532.66700000000003" maxValue="532.66700000000003"/>
    </cacheField>
    <cacheField name="Medium_High_Cutoff" numFmtId="0">
      <sharedItems containsSemiMixedTypes="0" containsString="0" containsNumber="1" minValue="1025.2280000000001" maxValue="1025.2280000000001"/>
    </cacheField>
    <cacheField name="PriceBan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3.516582060183" createdVersion="8" refreshedVersion="8" minRefreshableVersion="3" recordCount="631" xr:uid="{B5F04690-08EA-4CC4-9F05-DE2B73CD371E}">
  <cacheSource type="worksheet">
    <worksheetSource name="Table2"/>
  </cacheSource>
  <cacheFields count="41">
    <cacheField name="OrderID" numFmtId="0">
      <sharedItems/>
    </cacheField>
    <cacheField name="OrderDate" numFmtId="14">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3-01-29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34"/>
    </cacheField>
    <cacheField name="Months" numFmtId="17">
      <sharedItems containsSemiMixedTypes="0" containsNonDate="0" containsDate="1" containsString="0" minDate="2023-01-01T00:00:00" maxDate="2025-09-02T00:00:00" count="33">
        <d v="2024-03-01T00:00:00"/>
        <d v="2024-10-01T00:00:00"/>
        <d v="2023-02-01T00:00:00"/>
        <d v="2025-03-01T00:00:00"/>
        <d v="2023-12-01T00:00:00"/>
        <d v="2023-01-01T00:00:00"/>
        <d v="2024-12-01T00:00:00"/>
        <d v="2024-05-01T00:00:00"/>
        <d v="2025-05-01T00:00:00"/>
        <d v="2024-01-01T00:00:00"/>
        <d v="2025-01-01T00:00:00"/>
        <d v="2025-09-01T00:00:00"/>
        <d v="2023-04-01T00:00:00"/>
        <d v="2025-07-01T00:00:00"/>
        <d v="2024-07-01T00:00:00"/>
        <d v="2023-05-01T00:00:00"/>
        <d v="2025-06-01T00:00:00"/>
        <d v="2024-06-01T00:00:00"/>
        <d v="2024-11-01T00:00:00"/>
        <d v="2025-04-01T00:00:00"/>
        <d v="2024-04-01T00:00:00"/>
        <d v="2024-08-01T00:00:00"/>
        <d v="2023-03-01T00:00:00"/>
        <d v="2023-06-01T00:00:00"/>
        <d v="2023-07-01T00:00:00"/>
        <d v="2023-08-01T00:00:00"/>
        <d v="2025-02-01T00:00:00"/>
        <d v="2023-09-01T00:00:00"/>
        <d v="2025-08-01T00:00:00"/>
        <d v="2024-09-01T00:00:00"/>
        <d v="2023-11-01T00:00:00"/>
        <d v="2024-02-01T00:00:00"/>
        <d v="2023-10-01T00:00:00"/>
      </sharedItems>
      <fieldGroup par="40"/>
    </cacheField>
    <cacheField name="FirstPurchase_Month" numFmtId="17">
      <sharedItems containsSemiMixedTypes="0" containsNonDate="0" containsDate="1" containsString="0" minDate="2023-01-01T00:00:00" maxDate="2025-07-02T00:00:00"/>
    </cacheField>
    <cacheField name="CohortMonthIndex" numFmtId="17">
      <sharedItems containsNonDate="0" containsString="0" containsBlank="1"/>
    </cacheField>
    <cacheField name="Quarter" numFmtId="14">
      <sharedItems/>
    </cacheField>
    <cacheField name="RequiredDate" numFmtId="14">
      <sharedItems containsSemiMixedTypes="0" containsNonDate="0" containsDate="1" containsString="0" minDate="2023-01-05T00:00:00" maxDate="2025-10-06T00:00:00"/>
    </cacheField>
    <cacheField name="Corrected Required_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OnTime" numFmtId="1">
      <sharedItems containsSemiMixedTypes="0" containsString="0" containsNumber="1" containsInteger="1" minValue="0" maxValue="1"/>
    </cacheField>
    <cacheField name="MeetsSLA" numFmtId="1">
      <sharedItems containsSemiMixedTypes="0" containsString="0" containsNumber="1" containsInteger="1" minValue="0" maxValue="1"/>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0">
      <sharedItems containsBlank="1"/>
    </cacheField>
    <cacheField name="CustomerSegment" numFmtId="49">
      <sharedItems/>
    </cacheField>
    <cacheField name="Channel" numFmtId="49">
      <sharedItems count="6">
        <s v="Retail"/>
        <s v="Online"/>
        <s v="Marketplace"/>
        <s v="Distributor"/>
        <s v="Direct"/>
        <s v="Not Provided"/>
      </sharedItems>
    </cacheField>
    <cacheField name="Salesperson" numFmtId="49">
      <sharedItems count="16">
        <s v="C. Otieno"/>
        <s v="J. Njeri"/>
        <s v="I. Johnson"/>
        <s v="G. Dubois"/>
        <s v="L. Okafor"/>
        <s v="B. Chen"/>
        <s v="E. Garcia"/>
        <s v="O. Wang"/>
        <s v="A. Patel"/>
        <s v="F. Müller"/>
        <s v="H. Kim"/>
        <s v="K. Singh"/>
        <s v="M. Rossi"/>
        <s v="N. Brown"/>
        <s v="D. Smith"/>
        <s v="Unassigned"/>
      </sharedItems>
    </cacheField>
    <cacheField name="ProductCategory" numFmtId="49">
      <sharedItems count="7">
        <s v="Components"/>
        <s v="Printers"/>
        <s v="Networking"/>
        <s v="Phones"/>
        <s v="Laptops"/>
        <s v="Monitors"/>
        <s v="Accessories"/>
      </sharedItems>
    </cacheField>
    <cacheField name="SKU" numFmtId="49">
      <sharedItems count="629">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2">
      <sharedItems containsSemiMixedTypes="0" containsString="0" containsNumber="1" minValue="5.34" maxValue="1495.79"/>
    </cacheField>
    <cacheField name="UnitPrice" numFmtId="2">
      <sharedItems containsSemiMixedTypes="0" containsString="0" containsNumber="1" minValue="4.22" maxValue="3661.07"/>
    </cacheField>
    <cacheField name="Discount" numFmtId="2">
      <sharedItems containsSemiMixedTypes="0" containsString="0" containsNumber="1" minValue="0" maxValue="0.3"/>
    </cacheField>
    <cacheField name="DiscountPct" numFmtId="2">
      <sharedItems containsSemiMixedTypes="0" containsString="0" containsNumber="1" minValue="0" maxValue="0.56499999999999995"/>
    </cacheField>
    <cacheField name="High Discount Flag" numFmtId="1">
      <sharedItems containsSemiMixedTypes="0" containsString="0" containsNumber="1" containsInteger="1" minValue="0" maxValue="1"/>
    </cacheField>
    <cacheField name="Quantity" numFmtId="1">
      <sharedItems containsSemiMixedTypes="0" containsString="0" containsNumber="1" containsInteger="1" minValue="2" maxValue="61"/>
    </cacheField>
    <cacheField name="GrossRevenue" numFmtId="0">
      <sharedItems containsSemiMixedTypes="0" containsString="0" containsNumber="1" minValue="18.659839999999999" maxValue="139277.83032000001"/>
    </cacheField>
    <cacheField name="CostOfGoods" numFmtId="0">
      <sharedItems containsSemiMixedTypes="0" containsString="0" containsNumber="1" minValue="22" maxValue="83258.290000000008"/>
    </cacheField>
    <cacheField name="GrossProfit" numFmtId="0">
      <sharedItems containsSemiMixedTypes="0" containsString="0" containsNumber="1" minValue="-68355.013999999996" maxValue="65188.659999999996"/>
    </cacheField>
    <cacheField name="MarginPct" numFmtId="0">
      <sharedItems containsSemiMixedTypes="0" containsString="0" containsNumber="1" minValue="-250.39750756449047" maxValue="0.59672531214528945"/>
    </cacheField>
    <cacheField name="Low_Medium_Cutoff" numFmtId="0">
      <sharedItems/>
    </cacheField>
    <cacheField name="Medium_High_Cutoff" numFmtId="0">
      <sharedItems/>
    </cacheField>
    <cacheField name="PriceBand" numFmtId="0">
      <sharedItems/>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Date)" numFmtId="0" databaseField="0">
      <fieldGroup base="1">
        <rangePr groupBy="quarters" startDate="2023-01-02T00:00:00" endDate="2025-09-16T00:00:00"/>
        <groupItems count="6">
          <s v="&lt;1/2/2023"/>
          <s v="Qtr1"/>
          <s v="Qtr2"/>
          <s v="Qtr3"/>
          <s v="Qtr4"/>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 name="Revenue per Order" numFmtId="0" formula="GrossRevenue /OrderID" databaseField="0"/>
    <cacheField name="GP per Order" numFmtId="0" formula="GrossProfit /OrderID" databaseField="0"/>
    <cacheField name="Sum of Revenue per Orderv" numFmtId="0" formula=" IF(OrderID =0,0,GrossRevenue /OrderID )" databaseField="0"/>
    <cacheField name="Months (Months)" numFmtId="0" databaseField="0">
      <fieldGroup base="2">
        <rangePr groupBy="months" startDate="2023-01-01T00:00:00" endDate="2025-09-02T00:00:00"/>
        <groupItems count="14">
          <s v="&lt;1/1/2023"/>
          <s v="Jan"/>
          <s v="Feb"/>
          <s v="Mar"/>
          <s v="Apr"/>
          <s v="May"/>
          <s v="Jun"/>
          <s v="Jul"/>
          <s v="Aug"/>
          <s v="Sep"/>
          <s v="Oct"/>
          <s v="Nov"/>
          <s v="Dec"/>
          <s v="&gt;9/2/2025"/>
        </groupItems>
      </fieldGroup>
    </cacheField>
    <cacheField name="Quarters (Months)" numFmtId="0" databaseField="0">
      <fieldGroup base="2">
        <rangePr groupBy="quarters" startDate="2023-01-01T00:00:00" endDate="2025-09-02T00:00:00"/>
        <groupItems count="6">
          <s v="&lt;1/1/2023"/>
          <s v="Qtr1"/>
          <s v="Qtr2"/>
          <s v="Qtr3"/>
          <s v="Qtr4"/>
          <s v="&gt;9/2/2025"/>
        </groupItems>
      </fieldGroup>
    </cacheField>
    <cacheField name="Years (Months)" numFmtId="0" databaseField="0">
      <fieldGroup base="2">
        <rangePr groupBy="years" startDate="2023-01-01T00:00:00" endDate="2025-09-02T00:00:00"/>
        <groupItems count="5">
          <s v="&lt;1/1/2023"/>
          <s v="2023"/>
          <s v="2024"/>
          <s v="2025"/>
          <s v="&gt;9/2/2025"/>
        </groupItems>
      </fieldGroup>
    </cacheField>
  </cacheFields>
  <extLst>
    <ext xmlns:x14="http://schemas.microsoft.com/office/spreadsheetml/2009/9/main" uri="{725AE2AE-9491-48be-B2B4-4EB974FC3084}">
      <x14:pivotCacheDefinition pivotCacheId="291761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s v="ORD-2024-275203"/>
    <x v="0"/>
    <x v="0"/>
    <s v="Q1-2024"/>
    <x v="0"/>
    <d v="2024-04-06T00:00:00"/>
    <n v="26"/>
    <n v="0"/>
    <n v="0"/>
    <x v="0"/>
    <x v="0"/>
    <x v="0"/>
    <s v="Corporate"/>
    <s v="Retail"/>
    <s v="C. Otieno"/>
    <x v="0"/>
    <x v="0"/>
    <n v="279.24"/>
    <n v="608.9"/>
    <n v="0.112"/>
    <n v="0.112"/>
    <n v="9"/>
    <n v="4866.3287999999993"/>
    <n v="2513.16"/>
    <n v="2353.1687999999995"/>
    <n v="0.48356140670149533"/>
    <n v="532.66700000000003"/>
    <n v="1025.2280000000001"/>
    <s v="High"/>
  </r>
  <r>
    <s v="ORD-2024-358795"/>
    <x v="1"/>
    <x v="1"/>
    <s v="Q4-2024"/>
    <x v="1"/>
    <d v="2024-10-26T00:00:00"/>
    <n v="3"/>
    <n v="1"/>
    <n v="1"/>
    <x v="0"/>
    <x v="1"/>
    <x v="1"/>
    <s v="Education"/>
    <s v="Online"/>
    <s v="J. Njeri"/>
    <x v="1"/>
    <x v="1"/>
    <n v="1084.3900000000001"/>
    <n v="759.33"/>
    <n v="0.23699999999999999"/>
    <n v="0.23699999999999999"/>
    <n v="31"/>
    <n v="17960.432489999999"/>
    <n v="33616.090000000004"/>
    <n v="-15655.657510000005"/>
    <n v="-0.87167486187856302"/>
    <n v="532.66700000000003"/>
    <n v="1025.2280000000001"/>
    <s v="High"/>
  </r>
  <r>
    <s v="ORD-2023-373538"/>
    <x v="2"/>
    <x v="2"/>
    <s v="Q1-2023"/>
    <x v="2"/>
    <d v="2023-03-25T00:00:00"/>
    <n v="25"/>
    <n v="0"/>
    <n v="0"/>
    <x v="0"/>
    <x v="0"/>
    <x v="2"/>
    <s v="Corporate"/>
    <s v="Retail"/>
    <s v="I. Johnson"/>
    <x v="2"/>
    <x v="2"/>
    <n v="1460.76"/>
    <n v="30.66"/>
    <n v="0.13100000000000001"/>
    <n v="0.13100000000000001"/>
    <n v="12"/>
    <n v="319.72248000000002"/>
    <n v="17529.12"/>
    <n v="-17209.397519999999"/>
    <n v="-53.826047890032626"/>
    <n v="532.66700000000003"/>
    <n v="1025.2280000000001"/>
    <s v="Low"/>
  </r>
  <r>
    <s v="ORD-2025-168148"/>
    <x v="3"/>
    <x v="3"/>
    <s v="Q1-2025"/>
    <x v="3"/>
    <d v="2025-04-02T00:00:00"/>
    <n v="4"/>
    <n v="1"/>
    <n v="1"/>
    <x v="0"/>
    <x v="1"/>
    <x v="3"/>
    <s v="Non-Profit"/>
    <s v="Marketplace"/>
    <s v="G. Dubois"/>
    <x v="3"/>
    <x v="3"/>
    <n v="259.93"/>
    <n v="255.94"/>
    <n v="7.1999999999999995E-2"/>
    <n v="7.1999999999999995E-2"/>
    <n v="22"/>
    <n v="5225.2710400000005"/>
    <n v="5718.46"/>
    <n v="-493.1889599999995"/>
    <n v="-9.4385335463861311E-2"/>
    <n v="532.66700000000003"/>
    <n v="1025.2280000000001"/>
    <s v="High"/>
  </r>
  <r>
    <s v="ORD-2023-824839"/>
    <x v="4"/>
    <x v="4"/>
    <s v="Q4-2023"/>
    <x v="4"/>
    <d v="2023-12-31T00:00:00"/>
    <n v="25"/>
    <n v="0"/>
    <n v="0"/>
    <x v="1"/>
    <x v="2"/>
    <x v="4"/>
    <s v="Consumer"/>
    <s v="Retail"/>
    <s v="L. Okafor"/>
    <x v="1"/>
    <x v="4"/>
    <n v="663.03"/>
    <n v="813.51"/>
    <n v="0.10199999999999999"/>
    <n v="0.10199999999999999"/>
    <n v="15"/>
    <n v="10957.9797"/>
    <n v="9945.4499999999989"/>
    <n v="1012.529700000001"/>
    <n v="9.2401129379715952E-2"/>
    <n v="532.66700000000003"/>
    <n v="1025.2280000000001"/>
    <s v="High"/>
  </r>
  <r>
    <s v="ORD-2023-723587"/>
    <x v="5"/>
    <x v="5"/>
    <s v="Q1-2023"/>
    <x v="5"/>
    <d v="2023-01-05T00:00:00"/>
    <n v="3"/>
    <n v="1"/>
    <n v="1"/>
    <x v="2"/>
    <x v="3"/>
    <x v="5"/>
    <s v="Corporate"/>
    <s v="Distributor"/>
    <s v="B. Chen"/>
    <x v="4"/>
    <x v="5"/>
    <n v="315.87"/>
    <n v="591.67999999999995"/>
    <n v="0"/>
    <n v="0"/>
    <n v="7"/>
    <n v="4141.7599999999993"/>
    <n v="2211.09"/>
    <n v="1930.6699999999992"/>
    <n v="0.46614724175229844"/>
    <n v="532.66700000000003"/>
    <n v="1025.2280000000001"/>
    <s v="High"/>
  </r>
  <r>
    <s v="ORD-2024-336584"/>
    <x v="6"/>
    <x v="6"/>
    <s v="Q4-2024"/>
    <x v="6"/>
    <d v="2025-01-14T00:00:00"/>
    <n v="18"/>
    <n v="0"/>
    <n v="0"/>
    <x v="1"/>
    <x v="4"/>
    <x v="6"/>
    <s v="Small Business"/>
    <s v="Marketplace"/>
    <s v="E. Garcia"/>
    <x v="5"/>
    <x v="6"/>
    <n v="586.07000000000005"/>
    <n v="845.97"/>
    <n v="0.14699999999999999"/>
    <n v="0.14699999999999999"/>
    <n v="4"/>
    <n v="2886.4496399999998"/>
    <n v="2344.2800000000002"/>
    <n v="542.16963999999962"/>
    <n v="0.18783270370862928"/>
    <n v="532.66700000000003"/>
    <n v="1025.2280000000001"/>
    <s v="High"/>
  </r>
  <r>
    <s v="ORD-2023-112666"/>
    <x v="7"/>
    <x v="5"/>
    <s v="Q1-2023"/>
    <x v="7"/>
    <d v="2023-01-18T00:00:00"/>
    <n v="3"/>
    <n v="1"/>
    <n v="1"/>
    <x v="0"/>
    <x v="1"/>
    <x v="7"/>
    <s v="Education"/>
    <s v="Online"/>
    <s v="O. Wang"/>
    <x v="1"/>
    <x v="7"/>
    <n v="28.38"/>
    <n v="47.22"/>
    <n v="0.19400000000000001"/>
    <n v="0.19400000000000001"/>
    <n v="18"/>
    <n v="685.06776000000002"/>
    <n v="510.84"/>
    <n v="174.22776000000005"/>
    <n v="0.25432193743871417"/>
    <n v="532.66700000000003"/>
    <n v="1025.2280000000001"/>
    <s v="Medium"/>
  </r>
  <r>
    <s v="ORD-2024-589570"/>
    <x v="8"/>
    <x v="7"/>
    <s v="Q2-2024"/>
    <x v="8"/>
    <d v="2024-05-29T00:00:00"/>
    <n v="25"/>
    <n v="0"/>
    <n v="0"/>
    <x v="0"/>
    <x v="1"/>
    <x v="7"/>
    <s v="Non-Profit"/>
    <s v="Marketplace"/>
    <s v="O. Wang"/>
    <x v="5"/>
    <x v="8"/>
    <n v="1295.3399999999999"/>
    <n v="2530.81"/>
    <n v="3.1E-2"/>
    <n v="3.1E-2"/>
    <n v="6"/>
    <n v="14714.12934"/>
    <n v="7772.0399999999991"/>
    <n v="6942.0893400000004"/>
    <n v="0.4717974933880798"/>
    <n v="532.66700000000003"/>
    <n v="1025.2280000000001"/>
    <s v="High"/>
  </r>
  <r>
    <s v="ORD-2025-997421"/>
    <x v="9"/>
    <x v="8"/>
    <s v="Q2-2025"/>
    <x v="9"/>
    <d v="2025-06-09T00:00:00"/>
    <n v="19"/>
    <n v="0"/>
    <n v="0"/>
    <x v="2"/>
    <x v="5"/>
    <x v="8"/>
    <s v="Non-Profit"/>
    <s v="Online"/>
    <s v="A. Patel"/>
    <x v="0"/>
    <x v="9"/>
    <n v="1331.38"/>
    <n v="2309.56"/>
    <n v="0.14899999999999999"/>
    <n v="0.14899999999999999"/>
    <n v="31"/>
    <n v="60928.502359999999"/>
    <n v="41272.780000000006"/>
    <n v="19655.722359999992"/>
    <n v="0.32260307735553528"/>
    <n v="532.66700000000003"/>
    <n v="1025.2280000000001"/>
    <s v="High"/>
  </r>
  <r>
    <s v="ORD-2024-210687"/>
    <x v="10"/>
    <x v="9"/>
    <s v="Q1-2024"/>
    <x v="10"/>
    <d v="2024-02-09T00:00:00"/>
    <n v="12"/>
    <n v="0"/>
    <n v="0"/>
    <x v="3"/>
    <x v="6"/>
    <x v="9"/>
    <s v="Corporate"/>
    <s v="Online"/>
    <s v="G. Dubois"/>
    <x v="6"/>
    <x v="10"/>
    <n v="644.16999999999996"/>
    <n v="700.12"/>
    <n v="6.0000000000000001E-3"/>
    <n v="6.0000000000000001E-3"/>
    <n v="23"/>
    <n v="16006.14344"/>
    <n v="14815.91"/>
    <n v="1190.23344"/>
    <n v="7.436103796405813E-2"/>
    <n v="532.66700000000003"/>
    <n v="1025.2280000000001"/>
    <s v="High"/>
  </r>
  <r>
    <s v="ORD-2025-515515"/>
    <x v="11"/>
    <x v="10"/>
    <s v="Q1-2025"/>
    <x v="11"/>
    <d v="2025-01-23T00:00:00"/>
    <n v="20"/>
    <n v="0"/>
    <n v="0"/>
    <x v="1"/>
    <x v="2"/>
    <x v="4"/>
    <s v="Corporate"/>
    <s v="Distributor"/>
    <s v="F. Müller"/>
    <x v="3"/>
    <x v="11"/>
    <n v="908.6"/>
    <n v="691.37"/>
    <n v="0.25"/>
    <n v="0.25"/>
    <n v="20"/>
    <n v="10370.549999999999"/>
    <n v="18172"/>
    <n v="-7801.4500000000007"/>
    <n v="-0.75226964818645115"/>
    <n v="532.66700000000003"/>
    <n v="1025.2280000000001"/>
    <s v="High"/>
  </r>
  <r>
    <s v="ORD-2025-487261"/>
    <x v="12"/>
    <x v="3"/>
    <s v="Q1-2025"/>
    <x v="12"/>
    <d v="2025-03-31T00:00:00"/>
    <n v="25"/>
    <n v="0"/>
    <n v="0"/>
    <x v="2"/>
    <x v="5"/>
    <x v="10"/>
    <s v="Non-Profit"/>
    <s v="Online"/>
    <s v="J. Njeri"/>
    <x v="0"/>
    <x v="12"/>
    <n v="331.57"/>
    <n v="548.4"/>
    <n v="9.4E-2"/>
    <n v="9.4E-2"/>
    <n v="10"/>
    <n v="4968.5039999999999"/>
    <n v="3315.7"/>
    <n v="1652.8040000000001"/>
    <n v="0.33265626836568918"/>
    <n v="532.66700000000003"/>
    <n v="1025.2280000000001"/>
    <s v="High"/>
  </r>
  <r>
    <s v="ORD-2024-890180"/>
    <x v="13"/>
    <x v="9"/>
    <s v="Q1-2024"/>
    <x v="13"/>
    <d v="2024-02-13T00:00:00"/>
    <n v="24"/>
    <n v="0"/>
    <n v="0"/>
    <x v="3"/>
    <x v="7"/>
    <x v="11"/>
    <s v="Corporate"/>
    <s v="Retail"/>
    <s v="H. Kim"/>
    <x v="1"/>
    <x v="13"/>
    <n v="643.53"/>
    <n v="1439.01"/>
    <n v="0"/>
    <n v="0"/>
    <n v="15"/>
    <n v="21585.15"/>
    <n v="9652.9499999999989"/>
    <n v="11932.200000000003"/>
    <n v="0.55279671440782208"/>
    <n v="532.66700000000003"/>
    <n v="1025.2280000000001"/>
    <s v="High"/>
  </r>
  <r>
    <s v="ORD-2025-840976"/>
    <x v="14"/>
    <x v="11"/>
    <s v="Q3-2025"/>
    <x v="14"/>
    <d v="2025-09-30T00:00:00"/>
    <n v="29"/>
    <n v="0"/>
    <n v="0"/>
    <x v="2"/>
    <x v="5"/>
    <x v="10"/>
    <s v="Education"/>
    <s v="Retail"/>
    <s v="K. Singh"/>
    <x v="6"/>
    <x v="14"/>
    <n v="780.59"/>
    <n v="631.57000000000005"/>
    <n v="0"/>
    <n v="0"/>
    <n v="12"/>
    <n v="7578.84"/>
    <n v="9367.08"/>
    <n v="-1788.2399999999998"/>
    <n v="-0.23595167598207639"/>
    <n v="532.66700000000003"/>
    <n v="1025.2280000000001"/>
    <s v="High"/>
  </r>
  <r>
    <s v="ORD-2023-937291"/>
    <x v="15"/>
    <x v="12"/>
    <s v="Q2-2023"/>
    <x v="15"/>
    <d v="2023-04-26T00:00:00"/>
    <n v="3"/>
    <n v="1"/>
    <n v="1"/>
    <x v="0"/>
    <x v="0"/>
    <x v="2"/>
    <s v="Small Business"/>
    <s v="Direct"/>
    <s v="E. Garcia"/>
    <x v="4"/>
    <x v="15"/>
    <n v="756.51"/>
    <n v="850.8"/>
    <n v="7.3999999999999996E-2"/>
    <n v="7.3999999999999996E-2"/>
    <n v="9"/>
    <n v="7090.5672000000004"/>
    <n v="6808.59"/>
    <n v="281.97720000000027"/>
    <n v="3.9767932810791252E-2"/>
    <n v="532.66700000000003"/>
    <n v="1025.2280000000001"/>
    <s v="High"/>
  </r>
  <r>
    <s v="ORD-2024-206081"/>
    <x v="16"/>
    <x v="6"/>
    <s v="Q4-2024"/>
    <x v="16"/>
    <d v="2025-01-08T00:00:00"/>
    <n v="29"/>
    <n v="0"/>
    <n v="0"/>
    <x v="3"/>
    <x v="7"/>
    <x v="11"/>
    <s v="Small Business"/>
    <s v="Retail"/>
    <s v="K. Singh"/>
    <x v="1"/>
    <x v="16"/>
    <n v="891.08"/>
    <n v="1040.0999999999999"/>
    <n v="0.109"/>
    <n v="0.109"/>
    <n v="28"/>
    <n v="25948.414799999995"/>
    <n v="24950.240000000002"/>
    <n v="998.17479999999341"/>
    <n v="3.8467660074556598E-2"/>
    <n v="532.66700000000003"/>
    <n v="1025.2280000000001"/>
    <s v="High"/>
  </r>
  <r>
    <s v="ORD-2025-233883"/>
    <x v="17"/>
    <x v="11"/>
    <s v="Q3-2025"/>
    <x v="17"/>
    <d v="2025-09-16T00:00:00"/>
    <n v="8"/>
    <n v="0"/>
    <n v="0"/>
    <x v="1"/>
    <x v="2"/>
    <x v="4"/>
    <s v="Corporate"/>
    <s v="Distributor"/>
    <s v="C. Otieno"/>
    <x v="3"/>
    <x v="17"/>
    <n v="1225.57"/>
    <n v="2705.57"/>
    <n v="0.183"/>
    <n v="0.183"/>
    <n v="16"/>
    <n v="35367.211040000002"/>
    <n v="19609.12"/>
    <n v="15758.091040000003"/>
    <n v="0.44555650775453404"/>
    <n v="532.66700000000003"/>
    <n v="1025.2280000000001"/>
    <s v="High"/>
  </r>
  <r>
    <s v="ORD-2025-843974"/>
    <x v="18"/>
    <x v="13"/>
    <s v="Q3-2025"/>
    <x v="18"/>
    <d v="2025-08-05T00:00:00"/>
    <n v="16"/>
    <n v="0"/>
    <n v="0"/>
    <x v="2"/>
    <x v="5"/>
    <x v="10"/>
    <s v="Enterprise"/>
    <s v="Marketplace"/>
    <s v="G. Dubois"/>
    <x v="6"/>
    <x v="18"/>
    <n v="1068.17"/>
    <n v="2375.37"/>
    <n v="0.109"/>
    <n v="0.109"/>
    <n v="18"/>
    <n v="38096.18406"/>
    <n v="19227.060000000001"/>
    <n v="18869.124059999998"/>
    <n v="0.49530220744108822"/>
    <n v="532.66700000000003"/>
    <n v="1025.2280000000001"/>
    <s v="High"/>
  </r>
  <r>
    <s v="ORD-2025-745263"/>
    <x v="9"/>
    <x v="8"/>
    <s v="Q2-2025"/>
    <x v="19"/>
    <d v="2025-05-24T00:00:00"/>
    <n v="3"/>
    <n v="1"/>
    <n v="1"/>
    <x v="3"/>
    <x v="8"/>
    <x v="12"/>
    <s v="Enterprise"/>
    <s v="Online"/>
    <s v="M. Rossi"/>
    <x v="4"/>
    <x v="19"/>
    <n v="1015.16"/>
    <n v="2148.14"/>
    <n v="3.7999999999999999E-2"/>
    <n v="3.7999999999999999E-2"/>
    <n v="19"/>
    <n v="39263.702919999996"/>
    <n v="19288.04"/>
    <n v="19975.662919999995"/>
    <n v="0.50875647059322227"/>
    <n v="532.66700000000003"/>
    <n v="1025.2280000000001"/>
    <s v="High"/>
  </r>
  <r>
    <s v="ORD-2024-798002"/>
    <x v="19"/>
    <x v="14"/>
    <s v="Q3-2024"/>
    <x v="20"/>
    <d v="2024-07-28T00:00:00"/>
    <n v="3"/>
    <n v="1"/>
    <n v="1"/>
    <x v="0"/>
    <x v="0"/>
    <x v="13"/>
    <s v="Non-Profit"/>
    <s v="Direct"/>
    <s v="J. Njeri"/>
    <x v="4"/>
    <x v="20"/>
    <n v="1494.4"/>
    <n v="3661.07"/>
    <n v="7.1999999999999995E-2"/>
    <n v="7.1999999999999995E-2"/>
    <n v="7"/>
    <n v="23782.310720000001"/>
    <n v="10460.800000000001"/>
    <n v="13321.51072"/>
    <n v="0.56014366630897339"/>
    <n v="532.66700000000003"/>
    <n v="1025.2280000000001"/>
    <s v="High"/>
  </r>
  <r>
    <s v="ORD-2023-867836"/>
    <x v="20"/>
    <x v="15"/>
    <s v="Q2-2023"/>
    <x v="21"/>
    <d v="2023-05-28T00:00:00"/>
    <n v="17"/>
    <n v="0"/>
    <n v="0"/>
    <x v="1"/>
    <x v="9"/>
    <x v="14"/>
    <s v="Enterprise"/>
    <s v="Marketplace"/>
    <s v="E. Garcia"/>
    <x v="2"/>
    <x v="21"/>
    <n v="1331.19"/>
    <n v="2903.09"/>
    <n v="0.14299999999999999"/>
    <n v="0.14299999999999999"/>
    <n v="8"/>
    <n v="19903.585040000002"/>
    <n v="10649.52"/>
    <n v="9254.0650400000013"/>
    <n v="0.46494463290920784"/>
    <n v="532.66700000000003"/>
    <n v="1025.2280000000001"/>
    <s v="High"/>
  </r>
  <r>
    <s v="ORD-2025-580047"/>
    <x v="21"/>
    <x v="16"/>
    <s v="Q2-2025"/>
    <x v="22"/>
    <d v="2025-06-29T00:00:00"/>
    <n v="15"/>
    <n v="0"/>
    <n v="0"/>
    <x v="0"/>
    <x v="1"/>
    <x v="1"/>
    <s v="Consumer"/>
    <s v="Marketplace"/>
    <s v="M. Rossi"/>
    <x v="6"/>
    <x v="22"/>
    <n v="730.99"/>
    <n v="1242.8399999999999"/>
    <n v="0.12"/>
    <n v="0.12"/>
    <n v="10"/>
    <n v="10936.992"/>
    <n v="7309.9"/>
    <n v="3627.0920000000006"/>
    <n v="0.33163524303574515"/>
    <n v="532.66700000000003"/>
    <n v="1025.2280000000001"/>
    <s v="High"/>
  </r>
  <r>
    <s v="ORD-2024-500109"/>
    <x v="22"/>
    <x v="7"/>
    <s v="Q2-2024"/>
    <x v="23"/>
    <d v="2024-05-23T00:00:00"/>
    <n v="5"/>
    <n v="1"/>
    <n v="1"/>
    <x v="2"/>
    <x v="10"/>
    <x v="15"/>
    <s v="Enterprise"/>
    <s v="Retail"/>
    <s v="H. Kim"/>
    <x v="4"/>
    <x v="23"/>
    <n v="1274.5899999999999"/>
    <n v="2553.69"/>
    <n v="0.01"/>
    <n v="0.01"/>
    <n v="8"/>
    <n v="20225.2248"/>
    <n v="10196.719999999999"/>
    <n v="10028.504800000001"/>
    <n v="0.49584145042481803"/>
    <n v="532.66700000000003"/>
    <n v="1025.2280000000001"/>
    <s v="High"/>
  </r>
  <r>
    <s v="ORD-2023-271836"/>
    <x v="23"/>
    <x v="2"/>
    <s v="Q1-2023"/>
    <x v="24"/>
    <d v="2023-02-12T00:00:00"/>
    <n v="5"/>
    <n v="1"/>
    <n v="1"/>
    <x v="2"/>
    <x v="5"/>
    <x v="8"/>
    <s v="Education"/>
    <s v="Online"/>
    <s v="N. Brown"/>
    <x v="0"/>
    <x v="24"/>
    <n v="948.55"/>
    <n v="2089.16"/>
    <n v="7.0000000000000001E-3"/>
    <n v="7.0000000000000001E-3"/>
    <n v="12"/>
    <n v="24894.430559999997"/>
    <n v="11382.599999999999"/>
    <n v="13511.830559999999"/>
    <n v="0.54276519912492427"/>
    <n v="532.66700000000003"/>
    <n v="1025.2280000000001"/>
    <s v="High"/>
  </r>
  <r>
    <s v="ORD-2024-215294"/>
    <x v="24"/>
    <x v="17"/>
    <s v="Q2-2024"/>
    <x v="25"/>
    <d v="2024-07-14T00:00:00"/>
    <n v="14"/>
    <n v="0"/>
    <n v="0"/>
    <x v="2"/>
    <x v="5"/>
    <x v="10"/>
    <s v="Education"/>
    <s v="Retail"/>
    <s v="C. Otieno"/>
    <x v="6"/>
    <x v="25"/>
    <n v="1491.85"/>
    <n v="2583.02"/>
    <n v="0.16800000000000001"/>
    <n v="0.16800000000000001"/>
    <n v="4"/>
    <n v="8596.2905599999995"/>
    <n v="5967.4"/>
    <n v="2628.8905599999998"/>
    <n v="0.30581685689321325"/>
    <n v="532.66700000000003"/>
    <n v="1025.2280000000001"/>
    <s v="High"/>
  </r>
  <r>
    <s v="ORD-2024-788105"/>
    <x v="25"/>
    <x v="18"/>
    <s v="Q4-2024"/>
    <x v="26"/>
    <d v="2024-12-30T00:00:00"/>
    <n v="30"/>
    <n v="0"/>
    <n v="0"/>
    <x v="3"/>
    <x v="7"/>
    <x v="11"/>
    <s v="Consumer"/>
    <s v="Marketplace"/>
    <s v="F. Müller"/>
    <x v="1"/>
    <x v="26"/>
    <n v="117.64"/>
    <n v="175.67"/>
    <n v="0"/>
    <n v="0"/>
    <n v="10"/>
    <n v="1756.6999999999998"/>
    <n v="1176.4000000000001"/>
    <n v="580.29999999999973"/>
    <n v="0.33033528775545046"/>
    <n v="532.66700000000003"/>
    <n v="1025.2280000000001"/>
    <s v="High"/>
  </r>
  <r>
    <s v="ORD-2024-855073"/>
    <x v="26"/>
    <x v="14"/>
    <s v="Q3-2024"/>
    <x v="27"/>
    <d v="2024-07-19T00:00:00"/>
    <n v="0"/>
    <n v="1"/>
    <n v="1"/>
    <x v="0"/>
    <x v="0"/>
    <x v="0"/>
    <s v="Small Business"/>
    <s v="Retail"/>
    <s v="A. Patel"/>
    <x v="3"/>
    <x v="27"/>
    <n v="857.24"/>
    <n v="758.23"/>
    <n v="0.125"/>
    <n v="0.125"/>
    <n v="6"/>
    <n v="3980.7075"/>
    <n v="5143.4400000000005"/>
    <n v="-1162.7325000000005"/>
    <n v="-0.29209192084572921"/>
    <n v="532.66700000000003"/>
    <n v="1025.2280000000001"/>
    <s v="High"/>
  </r>
  <r>
    <s v="ORD-2023-897079"/>
    <x v="27"/>
    <x v="12"/>
    <s v="Q2-2023"/>
    <x v="28"/>
    <d v="2023-05-14T00:00:00"/>
    <n v="30"/>
    <n v="0"/>
    <n v="0"/>
    <x v="0"/>
    <x v="0"/>
    <x v="16"/>
    <s v="Consumer"/>
    <s v="Marketplace"/>
    <s v="M. Rossi"/>
    <x v="3"/>
    <x v="28"/>
    <n v="209.25"/>
    <n v="434.8"/>
    <n v="0"/>
    <n v="0"/>
    <n v="9"/>
    <n v="3913.2000000000003"/>
    <n v="1883.25"/>
    <n v="2029.9500000000003"/>
    <n v="0.51874425022999082"/>
    <n v="532.66700000000003"/>
    <n v="1025.2280000000001"/>
    <s v="High"/>
  </r>
  <r>
    <s v="ORD-2025-548982"/>
    <x v="28"/>
    <x v="19"/>
    <s v="Q2-2025"/>
    <x v="29"/>
    <d v="2025-04-11T00:00:00"/>
    <n v="4"/>
    <n v="1"/>
    <n v="1"/>
    <x v="3"/>
    <x v="7"/>
    <x v="17"/>
    <s v="Education"/>
    <s v="Retail"/>
    <s v="E. Garcia"/>
    <x v="2"/>
    <x v="29"/>
    <n v="754.77"/>
    <n v="1666.18"/>
    <n v="0.13900000000000001"/>
    <n v="0.13900000000000001"/>
    <n v="14"/>
    <n v="20084.133720000002"/>
    <n v="10566.779999999999"/>
    <n v="9517.3537200000028"/>
    <n v="0.47387424584424653"/>
    <n v="532.66700000000003"/>
    <n v="1025.2280000000001"/>
    <s v="High"/>
  </r>
  <r>
    <s v="ORD-2024-170313"/>
    <x v="6"/>
    <x v="6"/>
    <s v="Q4-2024"/>
    <x v="30"/>
    <d v="2025-01-15T00:00:00"/>
    <n v="19"/>
    <n v="0"/>
    <n v="0"/>
    <x v="1"/>
    <x v="4"/>
    <x v="18"/>
    <s v="Non-Profit"/>
    <s v="Distributor"/>
    <s v="G. Dubois"/>
    <x v="0"/>
    <x v="30"/>
    <n v="495.59"/>
    <n v="631.78"/>
    <n v="8.6999999999999994E-2"/>
    <n v="8.6999999999999994E-2"/>
    <n v="17"/>
    <n v="9805.8573800000013"/>
    <n v="8425.0299999999988"/>
    <n v="1380.8273800000024"/>
    <n v="0.14081658813601899"/>
    <n v="532.66700000000003"/>
    <n v="1025.2280000000001"/>
    <s v="High"/>
  </r>
  <r>
    <s v="ORD-2023-562894"/>
    <x v="29"/>
    <x v="2"/>
    <s v="Q1-2023"/>
    <x v="2"/>
    <d v="2023-03-25T00:00:00"/>
    <n v="30"/>
    <n v="0"/>
    <n v="0"/>
    <x v="2"/>
    <x v="3"/>
    <x v="19"/>
    <s v="Enterprise"/>
    <s v="Online"/>
    <s v="D. Smith"/>
    <x v="3"/>
    <x v="31"/>
    <n v="1242.6600000000001"/>
    <n v="1794.07"/>
    <n v="8.8999999999999996E-2"/>
    <n v="8.8999999999999996E-2"/>
    <n v="16"/>
    <n v="26150.364320000001"/>
    <n v="19882.560000000001"/>
    <n v="6267.8043199999993"/>
    <n v="0.23968325042440553"/>
    <n v="532.66700000000003"/>
    <n v="1025.2280000000001"/>
    <s v="High"/>
  </r>
  <r>
    <s v="ORD-2025-474710"/>
    <x v="30"/>
    <x v="13"/>
    <s v="Q3-2025"/>
    <x v="31"/>
    <d v="2025-08-06T00:00:00"/>
    <n v="13"/>
    <n v="0"/>
    <n v="0"/>
    <x v="0"/>
    <x v="11"/>
    <x v="20"/>
    <s v="Education"/>
    <s v="Marketplace"/>
    <s v="D. Smith"/>
    <x v="2"/>
    <x v="32"/>
    <n v="1463.9"/>
    <n v="2633.02"/>
    <n v="8.4000000000000005E-2"/>
    <n v="8.4000000000000005E-2"/>
    <n v="4"/>
    <n v="9647.3852800000004"/>
    <n v="5855.6"/>
    <n v="3791.7852800000001"/>
    <n v="0.39303761277791527"/>
    <n v="532.66700000000003"/>
    <n v="1025.2280000000001"/>
    <s v="High"/>
  </r>
  <r>
    <s v="ORD-2024-629525"/>
    <x v="31"/>
    <x v="20"/>
    <s v="Q2-2024"/>
    <x v="32"/>
    <d v="2024-05-08T00:00:00"/>
    <n v="20"/>
    <n v="0"/>
    <n v="0"/>
    <x v="3"/>
    <x v="8"/>
    <x v="21"/>
    <s v="Non-Profit"/>
    <s v="Marketplace"/>
    <s v="D. Smith"/>
    <x v="4"/>
    <x v="33"/>
    <n v="645.33000000000004"/>
    <n v="1321.85"/>
    <n v="0"/>
    <n v="0"/>
    <n v="10"/>
    <n v="13218.5"/>
    <n v="6453.3"/>
    <n v="6765.2"/>
    <n v="0.51179785906116426"/>
    <n v="532.66700000000003"/>
    <n v="1025.2280000000001"/>
    <s v="High"/>
  </r>
  <r>
    <s v="ORD-2024-167215"/>
    <x v="32"/>
    <x v="21"/>
    <s v="Q3-2024"/>
    <x v="33"/>
    <d v="2024-08-26T00:00:00"/>
    <n v="3"/>
    <n v="1"/>
    <n v="1"/>
    <x v="0"/>
    <x v="11"/>
    <x v="20"/>
    <s v="Education"/>
    <s v="Retail"/>
    <s v="E. Garcia"/>
    <x v="0"/>
    <x v="34"/>
    <n v="1432.52"/>
    <n v="3036.87"/>
    <n v="0"/>
    <n v="0"/>
    <n v="9"/>
    <n v="27331.829999999998"/>
    <n v="12892.68"/>
    <n v="14439.149999999998"/>
    <n v="0.52829064135112791"/>
    <n v="532.66700000000003"/>
    <n v="1025.2280000000001"/>
    <s v="High"/>
  </r>
  <r>
    <s v="ORD-2023-864121"/>
    <x v="33"/>
    <x v="22"/>
    <s v="Q1-2023"/>
    <x v="15"/>
    <d v="2023-04-22T00:00:00"/>
    <n v="26"/>
    <n v="0"/>
    <n v="0"/>
    <x v="1"/>
    <x v="4"/>
    <x v="18"/>
    <s v="Non-Profit"/>
    <s v="Marketplace"/>
    <s v="J. Njeri"/>
    <x v="1"/>
    <x v="35"/>
    <n v="178.53"/>
    <n v="199.37"/>
    <n v="0.10100000000000001"/>
    <n v="0.10100000000000001"/>
    <n v="37"/>
    <n v="6631.6443100000006"/>
    <n v="6605.61"/>
    <n v="26.034310000000914"/>
    <n v="3.9257699573457538E-3"/>
    <n v="532.66700000000003"/>
    <n v="1025.2280000000001"/>
    <s v="High"/>
  </r>
  <r>
    <s v="ORD-2024-692673"/>
    <x v="34"/>
    <x v="0"/>
    <s v="Q1-2024"/>
    <x v="34"/>
    <d v="2024-03-25T00:00:00"/>
    <n v="18"/>
    <n v="0"/>
    <n v="0"/>
    <x v="3"/>
    <x v="6"/>
    <x v="22"/>
    <s v="Corporate"/>
    <s v="Online"/>
    <s v="B. Chen"/>
    <x v="0"/>
    <x v="36"/>
    <n v="712.84"/>
    <n v="927.51"/>
    <n v="0.24299999999999999"/>
    <n v="0.24299999999999999"/>
    <n v="27"/>
    <n v="18957.37689"/>
    <n v="19246.68"/>
    <n v="-289.30311000000074"/>
    <n v="-1.5260714163076427E-2"/>
    <n v="532.66700000000003"/>
    <n v="1025.2280000000001"/>
    <s v="High"/>
  </r>
  <r>
    <s v="ORD-2025-718992"/>
    <x v="35"/>
    <x v="16"/>
    <s v="Q2-2025"/>
    <x v="35"/>
    <d v="2025-07-10T00:00:00"/>
    <n v="16"/>
    <n v="0"/>
    <n v="0"/>
    <x v="1"/>
    <x v="9"/>
    <x v="23"/>
    <s v="Enterprise"/>
    <s v="Direct"/>
    <s v="N. Brown"/>
    <x v="0"/>
    <x v="37"/>
    <n v="757.19"/>
    <n v="1735.41"/>
    <n v="0.13600000000000001"/>
    <n v="0.13600000000000001"/>
    <n v="8"/>
    <n v="11995.153920000001"/>
    <n v="6057.52"/>
    <n v="5937.6339200000002"/>
    <n v="0.4950027285685718"/>
    <n v="532.66700000000003"/>
    <n v="1025.2280000000001"/>
    <s v="High"/>
  </r>
  <r>
    <s v="ORD-2024-599522"/>
    <x v="36"/>
    <x v="20"/>
    <s v="Q2-2024"/>
    <x v="36"/>
    <d v="2024-05-06T00:00:00"/>
    <n v="17"/>
    <n v="0"/>
    <n v="0"/>
    <x v="0"/>
    <x v="1"/>
    <x v="1"/>
    <s v="Non-Profit"/>
    <s v="Online"/>
    <s v="A. Patel"/>
    <x v="1"/>
    <x v="38"/>
    <n v="865.33"/>
    <n v="1395.64"/>
    <n v="0.17499999999999999"/>
    <n v="0.17499999999999999"/>
    <n v="13"/>
    <n v="14968.239"/>
    <n v="11249.29"/>
    <n v="3718.9489999999987"/>
    <n v="0.24845601409758347"/>
    <n v="532.66700000000003"/>
    <n v="1025.2280000000001"/>
    <s v="High"/>
  </r>
  <r>
    <s v="ORD-2023-651638"/>
    <x v="37"/>
    <x v="23"/>
    <s v="Q2-2023"/>
    <x v="37"/>
    <d v="2023-06-24T00:00:00"/>
    <n v="7"/>
    <n v="1"/>
    <n v="1"/>
    <x v="2"/>
    <x v="10"/>
    <x v="24"/>
    <s v="Corporate"/>
    <s v="Retail"/>
    <s v="I. Johnson"/>
    <x v="1"/>
    <x v="39"/>
    <n v="313.99"/>
    <n v="454.42"/>
    <n v="0.129"/>
    <n v="0.129"/>
    <n v="9"/>
    <n v="3562.1983800000003"/>
    <n v="2825.91"/>
    <n v="736.28838000000042"/>
    <n v="0.20669493988147858"/>
    <n v="532.66700000000003"/>
    <n v="1025.2280000000001"/>
    <s v="High"/>
  </r>
  <r>
    <s v="ORD-2024-635626"/>
    <x v="38"/>
    <x v="21"/>
    <s v="Q3-2024"/>
    <x v="38"/>
    <d v="2024-09-19T00:00:00"/>
    <n v="23"/>
    <n v="0"/>
    <n v="0"/>
    <x v="3"/>
    <x v="6"/>
    <x v="9"/>
    <s v="Small Business"/>
    <s v="Direct"/>
    <s v="D. Smith"/>
    <x v="5"/>
    <x v="40"/>
    <n v="1024.01"/>
    <n v="1580.97"/>
    <n v="3.6999999999999998E-2"/>
    <n v="3.6999999999999998E-2"/>
    <n v="27"/>
    <n v="41106.800970000004"/>
    <n v="27648.27"/>
    <n v="13458.530970000003"/>
    <n v="0.3274039976942531"/>
    <n v="532.66700000000003"/>
    <n v="1025.2280000000001"/>
    <s v="High"/>
  </r>
  <r>
    <s v="ORD-2024-296582"/>
    <x v="39"/>
    <x v="9"/>
    <s v="Q1-2024"/>
    <x v="39"/>
    <d v="2024-02-02T00:00:00"/>
    <n v="22"/>
    <n v="0"/>
    <n v="0"/>
    <x v="0"/>
    <x v="11"/>
    <x v="25"/>
    <s v="Consumer"/>
    <s v="Online"/>
    <s v="K. Singh"/>
    <x v="2"/>
    <x v="41"/>
    <n v="1206.2"/>
    <n v="1759.79"/>
    <n v="0"/>
    <n v="0"/>
    <n v="6"/>
    <n v="10558.74"/>
    <n v="7237.2000000000007"/>
    <n v="3321.5399999999991"/>
    <n v="0.31457730751964713"/>
    <n v="532.66700000000003"/>
    <n v="1025.2280000000001"/>
    <s v="High"/>
  </r>
  <r>
    <s v="ORD-2024-998320"/>
    <x v="40"/>
    <x v="1"/>
    <s v="Q4-2024"/>
    <x v="40"/>
    <d v="2024-11-14T00:00:00"/>
    <n v="20"/>
    <n v="0"/>
    <n v="0"/>
    <x v="0"/>
    <x v="0"/>
    <x v="13"/>
    <s v="Corporate"/>
    <s v="Direct"/>
    <s v="H. Kim"/>
    <x v="1"/>
    <x v="42"/>
    <n v="1396.48"/>
    <n v="3204.5"/>
    <n v="0.3"/>
    <n v="0.318"/>
    <n v="14"/>
    <n v="31404.1"/>
    <n v="19550.72"/>
    <n v="11853.379999999997"/>
    <n v="0.3774468938769141"/>
    <n v="532.66700000000003"/>
    <n v="1025.2280000000001"/>
    <s v="High"/>
  </r>
  <r>
    <s v="ORD-2025-820255"/>
    <x v="41"/>
    <x v="8"/>
    <s v="Q2-2025"/>
    <x v="41"/>
    <d v="2025-06-20T00:00:00"/>
    <n v="22"/>
    <n v="0"/>
    <n v="0"/>
    <x v="3"/>
    <x v="6"/>
    <x v="9"/>
    <s v="Corporate"/>
    <s v="Direct"/>
    <s v="A. Patel"/>
    <x v="1"/>
    <x v="43"/>
    <n v="483.47"/>
    <n v="1135.43"/>
    <n v="0.14599999999999999"/>
    <n v="0.14599999999999999"/>
    <n v="11"/>
    <n v="10666.229420000001"/>
    <n v="5318.17"/>
    <n v="5348.0594200000014"/>
    <n v="0.50140112399719983"/>
    <n v="532.66700000000003"/>
    <n v="1025.2280000000001"/>
    <s v="High"/>
  </r>
  <r>
    <s v="ORD-2024-389336"/>
    <x v="42"/>
    <x v="7"/>
    <s v="Q2-2024"/>
    <x v="42"/>
    <d v="2024-06-02T00:00:00"/>
    <n v="13"/>
    <n v="0"/>
    <n v="0"/>
    <x v="2"/>
    <x v="3"/>
    <x v="26"/>
    <s v="Enterprise"/>
    <s v="Marketplace"/>
    <s v="K. Singh"/>
    <x v="0"/>
    <x v="44"/>
    <n v="675.43"/>
    <n v="996.36"/>
    <n v="0.182"/>
    <n v="0.182"/>
    <n v="22"/>
    <n v="17930.494560000003"/>
    <n v="14859.46"/>
    <n v="3071.0345600000037"/>
    <n v="0.17127439233332575"/>
    <n v="532.66700000000003"/>
    <n v="1025.2280000000001"/>
    <s v="High"/>
  </r>
  <r>
    <s v="ORD-2023-308124"/>
    <x v="43"/>
    <x v="12"/>
    <s v="Q2-2023"/>
    <x v="43"/>
    <d v="2023-04-30T00:00:00"/>
    <n v="11"/>
    <n v="0"/>
    <n v="0"/>
    <x v="1"/>
    <x v="4"/>
    <x v="18"/>
    <s v="Small Business"/>
    <s v="Retail"/>
    <s v="A. Patel"/>
    <x v="2"/>
    <x v="45"/>
    <n v="826.55"/>
    <n v="1397.05"/>
    <n v="0.16900000000000001"/>
    <n v="0.16900000000000001"/>
    <n v="28"/>
    <n v="32506.559399999998"/>
    <n v="23143.399999999998"/>
    <n v="9363.1594000000005"/>
    <n v="0.28803907804527601"/>
    <n v="532.66700000000003"/>
    <n v="1025.2280000000001"/>
    <s v="High"/>
  </r>
  <r>
    <s v="ORD-2023-128295"/>
    <x v="44"/>
    <x v="23"/>
    <s v="Q2-2023"/>
    <x v="44"/>
    <d v="2023-07-03T00:00:00"/>
    <n v="10"/>
    <n v="0"/>
    <n v="0"/>
    <x v="0"/>
    <x v="1"/>
    <x v="7"/>
    <s v="Consumer"/>
    <s v="Online"/>
    <s v="J. Njeri"/>
    <x v="1"/>
    <x v="46"/>
    <n v="337.75"/>
    <n v="548.89"/>
    <n v="0"/>
    <n v="0"/>
    <n v="13"/>
    <n v="7135.57"/>
    <n v="4390.75"/>
    <n v="2744.8199999999997"/>
    <n v="0.38466723751571352"/>
    <n v="532.66700000000003"/>
    <n v="1025.2280000000001"/>
    <s v="High"/>
  </r>
  <r>
    <s v="ORD-2024-548345"/>
    <x v="45"/>
    <x v="7"/>
    <s v="Q2-2024"/>
    <x v="45"/>
    <d v="2024-05-28T00:00:00"/>
    <n v="14"/>
    <n v="0"/>
    <n v="0"/>
    <x v="3"/>
    <x v="8"/>
    <x v="12"/>
    <s v="Consumer"/>
    <s v="Retail"/>
    <s v="B. Chen"/>
    <x v="2"/>
    <x v="47"/>
    <n v="1421.14"/>
    <n v="3524"/>
    <n v="0"/>
    <n v="0"/>
    <n v="31"/>
    <n v="109244"/>
    <n v="44055.340000000004"/>
    <n v="65188.659999999996"/>
    <n v="0.59672531214528945"/>
    <n v="532.66700000000003"/>
    <n v="1025.2280000000001"/>
    <s v="High"/>
  </r>
  <r>
    <s v="ORD-2024-966651"/>
    <x v="46"/>
    <x v="1"/>
    <s v="Q4-2024"/>
    <x v="46"/>
    <d v="2024-11-08T00:00:00"/>
    <n v="25"/>
    <n v="0"/>
    <n v="0"/>
    <x v="0"/>
    <x v="1"/>
    <x v="3"/>
    <s v="Enterprise"/>
    <s v="Online"/>
    <s v="O. Wang"/>
    <x v="2"/>
    <x v="48"/>
    <n v="859.35"/>
    <n v="1825.61"/>
    <n v="0.187"/>
    <n v="0.187"/>
    <n v="24"/>
    <n v="35621.302319999995"/>
    <n v="20624.400000000001"/>
    <n v="14996.902319999994"/>
    <n v="0.42100937762681989"/>
    <n v="532.66700000000003"/>
    <n v="1025.2280000000001"/>
    <s v="High"/>
  </r>
  <r>
    <s v="ORD-2023-292714"/>
    <x v="47"/>
    <x v="24"/>
    <s v="Q3-2023"/>
    <x v="47"/>
    <d v="2023-08-01T00:00:00"/>
    <n v="22"/>
    <n v="0"/>
    <n v="0"/>
    <x v="3"/>
    <x v="7"/>
    <x v="11"/>
    <s v="Consumer"/>
    <s v="Marketplace"/>
    <s v="B. Chen"/>
    <x v="1"/>
    <x v="49"/>
    <n v="1303.56"/>
    <n v="1791.37"/>
    <n v="0.126"/>
    <n v="0.126"/>
    <n v="22"/>
    <n v="34444.462359999998"/>
    <n v="28678.32"/>
    <n v="5766.142359999998"/>
    <n v="0.16740404596055358"/>
    <n v="532.66700000000003"/>
    <n v="1025.2280000000001"/>
    <s v="High"/>
  </r>
  <r>
    <s v="ORD-2024-468501"/>
    <x v="48"/>
    <x v="18"/>
    <s v="Q4-2024"/>
    <x v="48"/>
    <d v="2024-11-22T00:00:00"/>
    <n v="16"/>
    <n v="0"/>
    <n v="0"/>
    <x v="2"/>
    <x v="3"/>
    <x v="5"/>
    <s v="Non-Profit"/>
    <s v="Distributor"/>
    <s v="D. Smith"/>
    <x v="6"/>
    <x v="50"/>
    <n v="1454.11"/>
    <n v="2629.75"/>
    <n v="0.29199999999999998"/>
    <n v="0.29199999999999998"/>
    <n v="8"/>
    <n v="14894.903999999999"/>
    <n v="11632.88"/>
    <n v="3262.0239999999994"/>
    <n v="0.21900268709351867"/>
    <n v="532.66700000000003"/>
    <n v="1025.2280000000001"/>
    <s v="High"/>
  </r>
  <r>
    <s v="ORD-2024-260775"/>
    <x v="49"/>
    <x v="1"/>
    <s v="Q4-2024"/>
    <x v="49"/>
    <d v="2024-11-06T00:00:00"/>
    <n v="20"/>
    <n v="0"/>
    <n v="0"/>
    <x v="1"/>
    <x v="4"/>
    <x v="6"/>
    <s v="Enterprise"/>
    <s v="Distributor"/>
    <s v="O. Wang"/>
    <x v="5"/>
    <x v="51"/>
    <n v="72.94"/>
    <n v="106.3"/>
    <n v="0.29499999999999998"/>
    <n v="0.29499999999999998"/>
    <n v="8"/>
    <n v="599.53200000000004"/>
    <n v="583.52"/>
    <n v="16.012000000000057"/>
    <n v="2.6707498515508857E-2"/>
    <n v="532.66700000000003"/>
    <n v="1025.2280000000001"/>
    <s v="Medium"/>
  </r>
  <r>
    <s v="ORD-2023-419187"/>
    <x v="50"/>
    <x v="22"/>
    <s v="Q1-2023"/>
    <x v="50"/>
    <d v="2023-04-05T00:00:00"/>
    <n v="5"/>
    <n v="1"/>
    <n v="1"/>
    <x v="0"/>
    <x v="0"/>
    <x v="16"/>
    <s v="Education"/>
    <s v="Marketplace"/>
    <s v="B. Chen"/>
    <x v="4"/>
    <x v="52"/>
    <n v="533.26"/>
    <n v="385.72"/>
    <n v="0"/>
    <n v="0"/>
    <n v="15"/>
    <n v="5785.8"/>
    <n v="7998.9"/>
    <n v="-2213.0999999999995"/>
    <n v="-0.38250544436378708"/>
    <n v="532.66700000000003"/>
    <n v="1025.2280000000001"/>
    <s v="High"/>
  </r>
  <r>
    <s v="ORD-2025-578007"/>
    <x v="51"/>
    <x v="10"/>
    <s v="Q1-2025"/>
    <x v="51"/>
    <d v="2025-02-16T00:00:00"/>
    <n v="26"/>
    <n v="0"/>
    <n v="0"/>
    <x v="3"/>
    <x v="7"/>
    <x v="17"/>
    <s v="Corporate"/>
    <s v="Distributor"/>
    <s v="O. Wang"/>
    <x v="4"/>
    <x v="53"/>
    <n v="204.11"/>
    <n v="236.87"/>
    <n v="0.182"/>
    <n v="0.182"/>
    <n v="13"/>
    <n v="2518.8755800000004"/>
    <n v="2653.4300000000003"/>
    <n v="-134.55441999999994"/>
    <n v="-5.3418446337075494E-2"/>
    <n v="532.66700000000003"/>
    <n v="1025.2280000000001"/>
    <s v="High"/>
  </r>
  <r>
    <s v="ORD-2023-235230"/>
    <x v="52"/>
    <x v="25"/>
    <s v="Q3-2023"/>
    <x v="52"/>
    <d v="2023-09-01T00:00:00"/>
    <n v="2"/>
    <n v="1"/>
    <n v="1"/>
    <x v="3"/>
    <x v="6"/>
    <x v="22"/>
    <s v="Corporate"/>
    <s v="Direct"/>
    <s v="N. Brown"/>
    <x v="2"/>
    <x v="54"/>
    <n v="44.42"/>
    <n v="41.9"/>
    <n v="0.14399999999999999"/>
    <n v="0.14399999999999999"/>
    <n v="6"/>
    <n v="215.19839999999996"/>
    <n v="266.52"/>
    <n v="-51.321600000000018"/>
    <n v="-0.23848504449847224"/>
    <n v="532.66700000000003"/>
    <n v="1025.2280000000001"/>
    <s v="Low"/>
  </r>
  <r>
    <s v="ORD-2025-765220"/>
    <x v="53"/>
    <x v="19"/>
    <s v="Q2-2025"/>
    <x v="53"/>
    <d v="2025-04-30T00:00:00"/>
    <n v="24"/>
    <n v="0"/>
    <n v="0"/>
    <x v="2"/>
    <x v="5"/>
    <x v="10"/>
    <s v="Education"/>
    <s v="Online"/>
    <s v="K. Singh"/>
    <x v="5"/>
    <x v="55"/>
    <n v="855.78"/>
    <n v="977.38"/>
    <n v="0.14699999999999999"/>
    <n v="0.14699999999999999"/>
    <n v="38"/>
    <n v="31680.795320000001"/>
    <n v="32519.64"/>
    <n v="-838.84467999999833"/>
    <n v="-2.6478018355506307E-2"/>
    <n v="532.66700000000003"/>
    <n v="1025.2280000000001"/>
    <s v="High"/>
  </r>
  <r>
    <s v="ORD-2025-931538"/>
    <x v="54"/>
    <x v="26"/>
    <s v="Q1-2025"/>
    <x v="54"/>
    <d v="2025-03-01T00:00:00"/>
    <n v="20"/>
    <n v="0"/>
    <n v="0"/>
    <x v="2"/>
    <x v="5"/>
    <x v="8"/>
    <s v="Corporate"/>
    <s v="Distributor"/>
    <s v="B. Chen"/>
    <x v="4"/>
    <x v="56"/>
    <n v="1154.6400000000001"/>
    <n v="2794.13"/>
    <n v="3.5000000000000003E-2"/>
    <n v="3.5000000000000003E-2"/>
    <n v="11"/>
    <n v="29659.68995"/>
    <n v="12701.04"/>
    <n v="16958.649949999999"/>
    <n v="0.57177435025749479"/>
    <n v="532.66700000000003"/>
    <n v="1025.2280000000001"/>
    <s v="High"/>
  </r>
  <r>
    <s v="ORD-2024-289089"/>
    <x v="55"/>
    <x v="6"/>
    <s v="Q4-2024"/>
    <x v="55"/>
    <d v="2024-12-18T00:00:00"/>
    <n v="1"/>
    <n v="1"/>
    <n v="1"/>
    <x v="3"/>
    <x v="6"/>
    <x v="22"/>
    <s v="Education"/>
    <s v="Retail"/>
    <s v="L. Okafor"/>
    <x v="6"/>
    <x v="57"/>
    <n v="346.82"/>
    <n v="701.95"/>
    <n v="0.14699999999999999"/>
    <n v="0.14699999999999999"/>
    <n v="8"/>
    <n v="4790.1068000000005"/>
    <n v="2774.56"/>
    <n v="2015.5468000000005"/>
    <n v="0.42077283120284509"/>
    <n v="532.66700000000003"/>
    <n v="1025.2280000000001"/>
    <s v="High"/>
  </r>
  <r>
    <s v="ORD-2025-639542"/>
    <x v="56"/>
    <x v="16"/>
    <s v="Q2-2025"/>
    <x v="56"/>
    <d v="2025-06-18T00:00:00"/>
    <n v="9"/>
    <n v="0"/>
    <n v="0"/>
    <x v="3"/>
    <x v="7"/>
    <x v="11"/>
    <s v="Small Business"/>
    <s v="Marketplace"/>
    <s v="H. Kim"/>
    <x v="6"/>
    <x v="58"/>
    <n v="1225.5"/>
    <n v="5.27"/>
    <n v="7.4999999999999997E-2"/>
    <n v="7.4999999999999997E-2"/>
    <n v="56"/>
    <n v="272.98599999999999"/>
    <n v="68628"/>
    <n v="-68355.013999999996"/>
    <n v="-250.39750756449047"/>
    <n v="532.66700000000003"/>
    <n v="1025.2280000000001"/>
    <s v="Low"/>
  </r>
  <r>
    <s v="ORD-2025-762301"/>
    <x v="57"/>
    <x v="8"/>
    <s v="Q2-2025"/>
    <x v="57"/>
    <d v="2025-05-13T00:00:00"/>
    <n v="11"/>
    <n v="0"/>
    <n v="0"/>
    <x v="0"/>
    <x v="0"/>
    <x v="16"/>
    <s v="Small Business"/>
    <s v="Online"/>
    <s v="A. Patel"/>
    <x v="6"/>
    <x v="59"/>
    <n v="1057.5999999999999"/>
    <n v="1437.06"/>
    <n v="0.20499999999999999"/>
    <n v="0.20499999999999999"/>
    <n v="4"/>
    <n v="4569.8508000000002"/>
    <n v="4230.3999999999996"/>
    <n v="339.45080000000053"/>
    <n v="7.4280499485891424E-2"/>
    <n v="532.66700000000003"/>
    <n v="1025.2280000000001"/>
    <s v="High"/>
  </r>
  <r>
    <s v="ORD-2024-906395"/>
    <x v="58"/>
    <x v="0"/>
    <s v="Q1-2024"/>
    <x v="58"/>
    <d v="2024-04-09T00:00:00"/>
    <n v="30"/>
    <n v="0"/>
    <n v="0"/>
    <x v="3"/>
    <x v="7"/>
    <x v="17"/>
    <s v="Corporate"/>
    <s v="Direct"/>
    <s v="I. Johnson"/>
    <x v="0"/>
    <x v="60"/>
    <n v="1176.56"/>
    <n v="1911.89"/>
    <n v="0.11899999999999999"/>
    <n v="0.11899999999999999"/>
    <n v="20"/>
    <n v="33687.501800000005"/>
    <n v="23531.199999999997"/>
    <n v="10156.301800000008"/>
    <n v="0.30148575160892477"/>
    <n v="532.66700000000003"/>
    <n v="1025.2280000000001"/>
    <s v="High"/>
  </r>
  <r>
    <s v="ORD-2025-779574"/>
    <x v="59"/>
    <x v="11"/>
    <s v="Q3-2025"/>
    <x v="59"/>
    <d v="2025-09-12T00:00:00"/>
    <n v="2"/>
    <n v="1"/>
    <n v="1"/>
    <x v="1"/>
    <x v="2"/>
    <x v="27"/>
    <s v="Consumer"/>
    <s v="Online"/>
    <s v="O. Wang"/>
    <x v="0"/>
    <x v="61"/>
    <n v="1470.15"/>
    <n v="2593.7800000000002"/>
    <n v="0.11"/>
    <n v="0.11"/>
    <n v="12"/>
    <n v="27701.570400000001"/>
    <n v="17641.800000000003"/>
    <n v="10059.770399999998"/>
    <n v="0.36314801849645306"/>
    <n v="532.66700000000003"/>
    <n v="1025.2280000000001"/>
    <s v="High"/>
  </r>
  <r>
    <s v="ORD-2025-526650"/>
    <x v="60"/>
    <x v="19"/>
    <s v="Q2-2025"/>
    <x v="60"/>
    <d v="2025-05-25T00:00:00"/>
    <n v="28"/>
    <n v="0"/>
    <n v="0"/>
    <x v="3"/>
    <x v="7"/>
    <x v="28"/>
    <s v="Small Business"/>
    <s v="Marketplace"/>
    <s v="I. Johnson"/>
    <x v="3"/>
    <x v="62"/>
    <n v="603.45000000000005"/>
    <n v="1244.08"/>
    <n v="0.2"/>
    <n v="0.2"/>
    <n v="11"/>
    <n v="10947.904"/>
    <n v="6637.9500000000007"/>
    <n v="4309.9539999999997"/>
    <n v="0.39367846119220623"/>
    <n v="532.66700000000003"/>
    <n v="1025.2280000000001"/>
    <s v="High"/>
  </r>
  <r>
    <s v="ORD-2024-247979"/>
    <x v="61"/>
    <x v="18"/>
    <s v="Q4-2024"/>
    <x v="61"/>
    <d v="2024-11-18T00:00:00"/>
    <n v="16"/>
    <n v="0"/>
    <n v="0"/>
    <x v="1"/>
    <x v="4"/>
    <x v="29"/>
    <s v="Small Business"/>
    <s v="Distributor"/>
    <s v="O. Wang"/>
    <x v="5"/>
    <x v="63"/>
    <n v="1233.58"/>
    <n v="1912.51"/>
    <n v="0.255"/>
    <n v="0.255"/>
    <n v="51"/>
    <n v="72665.817450000002"/>
    <n v="62912.579999999994"/>
    <n v="9753.2374500000078"/>
    <n v="0.134220432553601"/>
    <n v="532.66700000000003"/>
    <n v="1025.2280000000001"/>
    <s v="High"/>
  </r>
  <r>
    <s v="ORD-2023-480975"/>
    <x v="62"/>
    <x v="2"/>
    <s v="Q1-2023"/>
    <x v="62"/>
    <d v="2023-02-26T00:00:00"/>
    <n v="11"/>
    <n v="0"/>
    <n v="0"/>
    <x v="0"/>
    <x v="11"/>
    <x v="20"/>
    <s v="Non-Profit"/>
    <s v="Retail"/>
    <s v="K. Singh"/>
    <x v="4"/>
    <x v="64"/>
    <n v="498.5"/>
    <n v="755.87"/>
    <n v="0.13"/>
    <n v="0.13"/>
    <n v="40"/>
    <n v="26304.275999999998"/>
    <n v="19940"/>
    <n v="6364.275999999998"/>
    <n v="0.24194834330357537"/>
    <n v="532.66700000000003"/>
    <n v="1025.2280000000001"/>
    <s v="High"/>
  </r>
  <r>
    <s v="ORD-2023-239789"/>
    <x v="63"/>
    <x v="4"/>
    <s v="Q4-2023"/>
    <x v="63"/>
    <d v="2023-12-26T00:00:00"/>
    <n v="23"/>
    <n v="0"/>
    <n v="0"/>
    <x v="2"/>
    <x v="5"/>
    <x v="30"/>
    <s v="Education"/>
    <s v="Retail"/>
    <s v="O. Wang"/>
    <x v="3"/>
    <x v="65"/>
    <n v="1303.1099999999999"/>
    <n v="1145.67"/>
    <n v="0.184"/>
    <n v="0.184"/>
    <n v="13"/>
    <n v="12153.267360000002"/>
    <n v="16940.43"/>
    <n v="-4787.1626399999986"/>
    <n v="-0.39389922875851208"/>
    <n v="532.66700000000003"/>
    <n v="1025.2280000000001"/>
    <s v="High"/>
  </r>
  <r>
    <s v="ORD-2023-548874"/>
    <x v="64"/>
    <x v="22"/>
    <s v="Q1-2023"/>
    <x v="64"/>
    <d v="2023-04-09T00:00:00"/>
    <n v="21"/>
    <n v="0"/>
    <n v="0"/>
    <x v="3"/>
    <x v="8"/>
    <x v="31"/>
    <s v="Consumer"/>
    <s v="Retail"/>
    <s v="L. Okafor"/>
    <x v="6"/>
    <x v="66"/>
    <n v="1082.17"/>
    <n v="1234.0999999999999"/>
    <n v="0.189"/>
    <n v="0.189"/>
    <n v="16"/>
    <n v="16013.681599999998"/>
    <n v="17314.72"/>
    <n v="-1301.0384000000031"/>
    <n v="-8.124542703534228E-2"/>
    <n v="532.66700000000003"/>
    <n v="1025.2280000000001"/>
    <s v="High"/>
  </r>
  <r>
    <s v="ORD-2024-347736"/>
    <x v="65"/>
    <x v="7"/>
    <s v="Q2-2024"/>
    <x v="65"/>
    <d v="2024-06-06T00:00:00"/>
    <n v="15"/>
    <n v="0"/>
    <n v="0"/>
    <x v="1"/>
    <x v="2"/>
    <x v="32"/>
    <s v="Corporate"/>
    <s v="Distributor"/>
    <s v="C. Otieno"/>
    <x v="5"/>
    <x v="67"/>
    <n v="673.88"/>
    <n v="1228.01"/>
    <n v="0.105"/>
    <n v="0.105"/>
    <n v="13"/>
    <n v="14287.896349999999"/>
    <n v="8760.44"/>
    <n v="5527.4563499999986"/>
    <n v="0.38686285332689996"/>
    <n v="532.66700000000003"/>
    <n v="1025.2280000000001"/>
    <s v="High"/>
  </r>
  <r>
    <s v="ORD-2023-749324"/>
    <x v="66"/>
    <x v="25"/>
    <s v="Q3-2023"/>
    <x v="66"/>
    <d v="2023-09-07T00:00:00"/>
    <n v="19"/>
    <n v="0"/>
    <n v="0"/>
    <x v="0"/>
    <x v="11"/>
    <x v="20"/>
    <s v="Enterprise"/>
    <s v="Retail"/>
    <s v="D. Smith"/>
    <x v="5"/>
    <x v="68"/>
    <n v="494.61"/>
    <n v="605.23"/>
    <n v="0.20399999999999999"/>
    <n v="0.20399999999999999"/>
    <n v="18"/>
    <n v="8671.7354400000004"/>
    <n v="8902.98"/>
    <n v="-231.24455999999918"/>
    <n v="-2.6666468505639647E-2"/>
    <n v="532.66700000000003"/>
    <n v="1025.2280000000001"/>
    <s v="High"/>
  </r>
  <r>
    <s v="ORD-2023-809913"/>
    <x v="67"/>
    <x v="12"/>
    <s v="Q2-2023"/>
    <x v="67"/>
    <d v="2023-05-10T00:00:00"/>
    <n v="19"/>
    <n v="0"/>
    <n v="0"/>
    <x v="1"/>
    <x v="9"/>
    <x v="23"/>
    <s v="Corporate"/>
    <s v="Retail"/>
    <s v="A. Patel"/>
    <x v="0"/>
    <x v="69"/>
    <n v="882.33"/>
    <n v="1880.15"/>
    <n v="0.05"/>
    <n v="0.05"/>
    <n v="5"/>
    <n v="8930.7124999999996"/>
    <n v="4411.6500000000005"/>
    <n v="4519.0624999999991"/>
    <n v="0.50601365792482955"/>
    <n v="532.66700000000003"/>
    <n v="1025.2280000000001"/>
    <s v="High"/>
  </r>
  <r>
    <s v="ORD-2024-287210"/>
    <x v="68"/>
    <x v="0"/>
    <s v="Q1-2024"/>
    <x v="68"/>
    <d v="2024-03-21T00:00:00"/>
    <n v="3"/>
    <n v="1"/>
    <n v="1"/>
    <x v="3"/>
    <x v="6"/>
    <x v="22"/>
    <s v="Small Business"/>
    <s v="Online"/>
    <s v="M. Rossi"/>
    <x v="6"/>
    <x v="70"/>
    <n v="910.63"/>
    <n v="1269.4000000000001"/>
    <n v="6.8000000000000005E-2"/>
    <n v="6.8000000000000005E-2"/>
    <n v="9"/>
    <n v="10647.727199999999"/>
    <n v="8195.67"/>
    <n v="2452.0571999999993"/>
    <n v="0.23028925834989455"/>
    <n v="532.66700000000003"/>
    <n v="1025.2280000000001"/>
    <s v="High"/>
  </r>
  <r>
    <s v="ORD-2025-640677"/>
    <x v="69"/>
    <x v="19"/>
    <s v="Q2-2025"/>
    <x v="69"/>
    <d v="2025-05-06T00:00:00"/>
    <n v="27"/>
    <n v="0"/>
    <n v="0"/>
    <x v="2"/>
    <x v="5"/>
    <x v="10"/>
    <s v="Enterprise"/>
    <s v="Marketplace"/>
    <s v="F. Müller"/>
    <x v="4"/>
    <x v="71"/>
    <n v="264.19"/>
    <n v="620.92999999999995"/>
    <n v="0.14199999999999999"/>
    <n v="0.14199999999999999"/>
    <n v="12"/>
    <n v="6393.0952799999995"/>
    <n v="3170.2799999999997"/>
    <n v="3222.8152799999998"/>
    <n v="0.50410875152794532"/>
    <n v="532.66700000000003"/>
    <n v="1025.2280000000001"/>
    <s v="High"/>
  </r>
  <r>
    <s v="ORD-2024-939873"/>
    <x v="70"/>
    <x v="20"/>
    <s v="Q2-2024"/>
    <x v="70"/>
    <d v="2024-05-07T00:00:00"/>
    <n v="25"/>
    <n v="0"/>
    <n v="0"/>
    <x v="0"/>
    <x v="11"/>
    <x v="20"/>
    <s v="Education"/>
    <s v="Distributor"/>
    <s v="A. Patel"/>
    <x v="4"/>
    <x v="72"/>
    <n v="1376.51"/>
    <n v="1455.91"/>
    <n v="0.185"/>
    <n v="0.185"/>
    <n v="17"/>
    <n v="20171.63305"/>
    <n v="23400.67"/>
    <n v="-3229.0369499999979"/>
    <n v="-0.1600781127634085"/>
    <n v="532.66700000000003"/>
    <n v="1025.2280000000001"/>
    <s v="High"/>
  </r>
  <r>
    <s v="ORD-2024-800947"/>
    <x v="71"/>
    <x v="6"/>
    <s v="Q4-2024"/>
    <x v="71"/>
    <d v="2024-12-20T00:00:00"/>
    <n v="5"/>
    <n v="1"/>
    <n v="1"/>
    <x v="1"/>
    <x v="9"/>
    <x v="14"/>
    <s v="Small Business"/>
    <s v="Direct"/>
    <s v="J. Njeri"/>
    <x v="2"/>
    <x v="73"/>
    <n v="717.55"/>
    <n v="546.42999999999995"/>
    <n v="4.7E-2"/>
    <n v="4.7E-2"/>
    <n v="18"/>
    <n v="9373.460219999999"/>
    <n v="12915.9"/>
    <n v="-3542.4397800000006"/>
    <n v="-0.37792231437026369"/>
    <n v="532.66700000000003"/>
    <n v="1025.2280000000001"/>
    <s v="High"/>
  </r>
  <r>
    <s v="ORD-2023-382272"/>
    <x v="72"/>
    <x v="15"/>
    <s v="Q2-2023"/>
    <x v="72"/>
    <d v="2023-05-23T00:00:00"/>
    <n v="3"/>
    <n v="1"/>
    <n v="1"/>
    <x v="0"/>
    <x v="11"/>
    <x v="25"/>
    <s v="Corporate"/>
    <s v="Distributor"/>
    <s v="A. Patel"/>
    <x v="0"/>
    <x v="74"/>
    <n v="917.88"/>
    <n v="1347.92"/>
    <n v="0.3"/>
    <n v="0.34300000000000003"/>
    <n v="5"/>
    <n v="4717.72"/>
    <n v="4589.3999999999996"/>
    <n v="128.32000000000062"/>
    <n v="2.7199579457873848E-2"/>
    <n v="532.66700000000003"/>
    <n v="1025.2280000000001"/>
    <s v="High"/>
  </r>
  <r>
    <s v="ORD-2023-722117"/>
    <x v="73"/>
    <x v="27"/>
    <s v="Q3-2023"/>
    <x v="73"/>
    <d v="2023-10-08T00:00:00"/>
    <n v="20"/>
    <n v="0"/>
    <n v="0"/>
    <x v="1"/>
    <x v="4"/>
    <x v="18"/>
    <s v="Small Business"/>
    <s v="Direct"/>
    <s v="B. Chen"/>
    <x v="0"/>
    <x v="75"/>
    <n v="825.64"/>
    <n v="1108.43"/>
    <n v="0.114"/>
    <n v="0.114"/>
    <n v="7"/>
    <n v="6874.4828600000001"/>
    <n v="5779.48"/>
    <n v="1095.0028600000005"/>
    <n v="0.15928512475773349"/>
    <n v="532.66700000000003"/>
    <n v="1025.2280000000001"/>
    <s v="High"/>
  </r>
  <r>
    <s v="ORD-2024-446699"/>
    <x v="74"/>
    <x v="21"/>
    <s v="Q3-2024"/>
    <x v="74"/>
    <d v="2024-09-25T00:00:00"/>
    <n v="28"/>
    <n v="0"/>
    <n v="0"/>
    <x v="2"/>
    <x v="5"/>
    <x v="30"/>
    <s v="Non-Profit"/>
    <s v="Online"/>
    <s v="Unassigned"/>
    <x v="6"/>
    <x v="76"/>
    <n v="1394.65"/>
    <n v="3144.1"/>
    <n v="0.13400000000000001"/>
    <n v="0.13400000000000001"/>
    <n v="13"/>
    <n v="35396.277799999996"/>
    <n v="18130.45"/>
    <n v="17265.827799999995"/>
    <n v="0.4877865378263021"/>
    <n v="532.66700000000003"/>
    <n v="1025.2280000000001"/>
    <s v="High"/>
  </r>
  <r>
    <s v="ORD-2024-451005"/>
    <x v="24"/>
    <x v="17"/>
    <s v="Q2-2024"/>
    <x v="75"/>
    <d v="2024-07-03T00:00:00"/>
    <n v="3"/>
    <n v="1"/>
    <n v="1"/>
    <x v="2"/>
    <x v="5"/>
    <x v="30"/>
    <s v="Small Business"/>
    <s v="Direct"/>
    <s v="L. Okafor"/>
    <x v="6"/>
    <x v="77"/>
    <n v="1112.98"/>
    <n v="2095.73"/>
    <n v="7.1999999999999995E-2"/>
    <n v="7.1999999999999995E-2"/>
    <n v="17"/>
    <n v="33062.236480000007"/>
    <n v="18920.66"/>
    <n v="14141.576480000007"/>
    <n v="0.42772594916724777"/>
    <n v="532.66700000000003"/>
    <n v="1025.2280000000001"/>
    <s v="High"/>
  </r>
  <r>
    <s v="ORD-2023-290279"/>
    <x v="75"/>
    <x v="23"/>
    <s v="Q2-2023"/>
    <x v="76"/>
    <d v="2023-06-16T00:00:00"/>
    <n v="2"/>
    <n v="1"/>
    <n v="1"/>
    <x v="3"/>
    <x v="8"/>
    <x v="31"/>
    <s v="Non-Profit"/>
    <s v="Direct"/>
    <s v="K. Singh"/>
    <x v="0"/>
    <x v="78"/>
    <n v="357.36"/>
    <n v="703.62"/>
    <n v="0.25700000000000001"/>
    <n v="0.25700000000000001"/>
    <n v="20"/>
    <n v="10455.7932"/>
    <n v="7147.2000000000007"/>
    <n v="3308.5931999999993"/>
    <n v="0.31643636563125593"/>
    <n v="532.66700000000003"/>
    <n v="1025.2280000000001"/>
    <s v="High"/>
  </r>
  <r>
    <s v="ORD-2024-192263"/>
    <x v="76"/>
    <x v="18"/>
    <s v="Q4-2024"/>
    <x v="77"/>
    <d v="2024-12-21T00:00:00"/>
    <n v="30"/>
    <n v="0"/>
    <n v="0"/>
    <x v="3"/>
    <x v="7"/>
    <x v="11"/>
    <s v="Small Business"/>
    <s v="Direct"/>
    <s v="I. Johnson"/>
    <x v="5"/>
    <x v="79"/>
    <n v="1122.68"/>
    <n v="1997.19"/>
    <n v="0.186"/>
    <n v="0.186"/>
    <n v="3"/>
    <n v="4877.1379800000004"/>
    <n v="3368.04"/>
    <n v="1509.0979800000005"/>
    <n v="0.30942285951073306"/>
    <n v="532.66700000000003"/>
    <n v="1025.2280000000001"/>
    <s v="High"/>
  </r>
  <r>
    <s v="ORD-2023-159379"/>
    <x v="77"/>
    <x v="2"/>
    <s v="Q1-2023"/>
    <x v="78"/>
    <d v="2023-02-11T00:00:00"/>
    <n v="3"/>
    <n v="1"/>
    <n v="1"/>
    <x v="0"/>
    <x v="11"/>
    <x v="33"/>
    <s v="Corporate"/>
    <s v="Direct"/>
    <s v="M. Rossi"/>
    <x v="2"/>
    <x v="80"/>
    <n v="1410.05"/>
    <n v="2763.95"/>
    <n v="0.161"/>
    <n v="0.161"/>
    <n v="26"/>
    <n v="60292.805299999993"/>
    <n v="36661.299999999996"/>
    <n v="23631.505299999997"/>
    <n v="0.39194569206750779"/>
    <n v="532.66700000000003"/>
    <n v="1025.2280000000001"/>
    <s v="High"/>
  </r>
  <r>
    <s v="ORD-2023-343322"/>
    <x v="66"/>
    <x v="25"/>
    <s v="Q3-2023"/>
    <x v="79"/>
    <d v="2023-09-12T00:00:00"/>
    <n v="24"/>
    <n v="0"/>
    <n v="0"/>
    <x v="2"/>
    <x v="3"/>
    <x v="26"/>
    <s v="Enterprise"/>
    <s v="Retail"/>
    <s v="I. Johnson"/>
    <x v="1"/>
    <x v="81"/>
    <n v="1183.95"/>
    <n v="1503.53"/>
    <n v="0.24099999999999999"/>
    <n v="0.24099999999999999"/>
    <n v="16"/>
    <n v="18258.868320000001"/>
    <n v="18943.2"/>
    <n v="-684.33167999999932"/>
    <n v="-3.7479413729623705E-2"/>
    <n v="532.66700000000003"/>
    <n v="1025.2280000000001"/>
    <s v="High"/>
  </r>
  <r>
    <s v="ORD-2025-114382"/>
    <x v="78"/>
    <x v="8"/>
    <s v="Q2-2025"/>
    <x v="80"/>
    <d v="2025-05-24T00:00:00"/>
    <n v="10"/>
    <n v="0"/>
    <n v="0"/>
    <x v="3"/>
    <x v="7"/>
    <x v="28"/>
    <s v="Small Business"/>
    <s v="Marketplace"/>
    <s v="K. Singh"/>
    <x v="0"/>
    <x v="82"/>
    <n v="170.39"/>
    <n v="388.04"/>
    <n v="8.4000000000000005E-2"/>
    <n v="8.4000000000000005E-2"/>
    <n v="15"/>
    <n v="5331.6696000000002"/>
    <n v="2555.85"/>
    <n v="2775.8196000000003"/>
    <n v="0.52062858508711796"/>
    <n v="532.66700000000003"/>
    <n v="1025.2280000000001"/>
    <s v="High"/>
  </r>
  <r>
    <s v="ORD-2025-488349"/>
    <x v="79"/>
    <x v="19"/>
    <s v="Q2-2025"/>
    <x v="81"/>
    <d v="2025-04-26T00:00:00"/>
    <n v="3"/>
    <n v="1"/>
    <n v="1"/>
    <x v="2"/>
    <x v="10"/>
    <x v="24"/>
    <s v="Non-Profit"/>
    <s v="Distributor"/>
    <s v="D. Smith"/>
    <x v="5"/>
    <x v="83"/>
    <n v="23.24"/>
    <n v="44.57"/>
    <n v="0.215"/>
    <n v="0.215"/>
    <n v="15"/>
    <n v="524.81174999999996"/>
    <n v="348.59999999999997"/>
    <n v="176.21174999999999"/>
    <n v="0.33576182316802167"/>
    <n v="532.66700000000003"/>
    <n v="1025.2280000000001"/>
    <s v="Low"/>
  </r>
  <r>
    <s v="ORD-2025-330203"/>
    <x v="80"/>
    <x v="3"/>
    <s v="Q1-2025"/>
    <x v="82"/>
    <d v="2025-04-17T00:00:00"/>
    <n v="23"/>
    <n v="0"/>
    <n v="0"/>
    <x v="3"/>
    <x v="8"/>
    <x v="21"/>
    <s v="Consumer"/>
    <s v="Retail"/>
    <s v="H. Kim"/>
    <x v="2"/>
    <x v="84"/>
    <n v="1421.19"/>
    <n v="1808.26"/>
    <n v="0.104"/>
    <n v="0.104"/>
    <n v="13"/>
    <n v="21062.61248"/>
    <n v="18475.47"/>
    <n v="2587.1424799999986"/>
    <n v="0.12283103449093123"/>
    <n v="532.66700000000003"/>
    <n v="1025.2280000000001"/>
    <s v="High"/>
  </r>
  <r>
    <s v="ORD-2023-841426"/>
    <x v="81"/>
    <x v="4"/>
    <s v="Q4-2023"/>
    <x v="83"/>
    <d v="2023-12-23T00:00:00"/>
    <n v="1"/>
    <n v="1"/>
    <n v="1"/>
    <x v="0"/>
    <x v="11"/>
    <x v="33"/>
    <s v="Non-Profit"/>
    <s v="Marketplace"/>
    <s v="D. Smith"/>
    <x v="0"/>
    <x v="85"/>
    <n v="1186.18"/>
    <n v="1285.0899999999999"/>
    <n v="7.0000000000000007E-2"/>
    <n v="7.0000000000000007E-2"/>
    <n v="11"/>
    <n v="13146.470699999998"/>
    <n v="13047.980000000001"/>
    <n v="98.49069999999665"/>
    <n v="7.4917977796121861E-3"/>
    <n v="532.66700000000003"/>
    <n v="1025.2280000000001"/>
    <s v="High"/>
  </r>
  <r>
    <s v="ORD-2024-594592"/>
    <x v="82"/>
    <x v="20"/>
    <s v="Q2-2024"/>
    <x v="84"/>
    <d v="2024-04-25T00:00:00"/>
    <n v="19"/>
    <n v="0"/>
    <n v="0"/>
    <x v="1"/>
    <x v="9"/>
    <x v="23"/>
    <s v="Corporate"/>
    <s v="Retail"/>
    <s v="K. Singh"/>
    <x v="0"/>
    <x v="86"/>
    <n v="1366.48"/>
    <n v="1678.14"/>
    <n v="0.154"/>
    <n v="0.154"/>
    <n v="10"/>
    <n v="14197.064400000001"/>
    <n v="13664.8"/>
    <n v="532.26440000000184"/>
    <n v="3.7491159087790132E-2"/>
    <n v="532.66700000000003"/>
    <n v="1025.2280000000001"/>
    <s v="High"/>
  </r>
  <r>
    <s v="ORD-2025-863978"/>
    <x v="83"/>
    <x v="28"/>
    <s v="Q3-2025"/>
    <x v="85"/>
    <d v="2025-08-19T00:00:00"/>
    <n v="12"/>
    <n v="0"/>
    <n v="0"/>
    <x v="0"/>
    <x v="0"/>
    <x v="16"/>
    <s v="Corporate"/>
    <m/>
    <s v="M. Rossi"/>
    <x v="0"/>
    <x v="87"/>
    <n v="601.51"/>
    <n v="679.35"/>
    <n v="0.188"/>
    <n v="0.188"/>
    <n v="3"/>
    <n v="1654.8966000000003"/>
    <n v="1804.53"/>
    <n v="-149.63339999999971"/>
    <n v="-9.0418579626062243E-2"/>
    <n v="532.66700000000003"/>
    <n v="1025.2280000000001"/>
    <s v="High"/>
  </r>
  <r>
    <s v="ORD-2024-604471"/>
    <x v="84"/>
    <x v="9"/>
    <s v="Q1-2024"/>
    <x v="86"/>
    <d v="2024-01-25T00:00:00"/>
    <n v="4"/>
    <n v="1"/>
    <n v="1"/>
    <x v="1"/>
    <x v="4"/>
    <x v="18"/>
    <s v="Consumer"/>
    <s v="Direct"/>
    <s v="C. Otieno"/>
    <x v="5"/>
    <x v="88"/>
    <n v="523.70000000000005"/>
    <n v="1109.92"/>
    <n v="0.03"/>
    <n v="0.03"/>
    <n v="11"/>
    <n v="11842.8464"/>
    <n v="5760.7000000000007"/>
    <n v="6082.1463999999996"/>
    <n v="0.51357133197302973"/>
    <n v="532.66700000000003"/>
    <n v="1025.2280000000001"/>
    <s v="High"/>
  </r>
  <r>
    <s v="ORD-2023-258768"/>
    <x v="85"/>
    <x v="23"/>
    <s v="Q2-2023"/>
    <x v="87"/>
    <d v="2023-07-02T00:00:00"/>
    <n v="3"/>
    <n v="1"/>
    <n v="1"/>
    <x v="1"/>
    <x v="2"/>
    <x v="32"/>
    <s v="Education"/>
    <s v="Marketplace"/>
    <s v="F. Müller"/>
    <x v="5"/>
    <x v="89"/>
    <n v="55.65"/>
    <n v="83.57"/>
    <n v="6.6000000000000003E-2"/>
    <n v="6.6000000000000003E-2"/>
    <n v="8"/>
    <n v="624.43503999999996"/>
    <n v="445.2"/>
    <n v="179.23503999999997"/>
    <n v="0.2870355257449998"/>
    <n v="532.66700000000003"/>
    <n v="1025.2280000000001"/>
    <s v="Medium"/>
  </r>
  <r>
    <s v="ORD-2025-626047"/>
    <x v="86"/>
    <x v="19"/>
    <s v="Q2-2025"/>
    <x v="88"/>
    <d v="2025-05-15T00:00:00"/>
    <n v="17"/>
    <n v="0"/>
    <n v="0"/>
    <x v="1"/>
    <x v="2"/>
    <x v="32"/>
    <s v="Education"/>
    <s v="Direct"/>
    <s v="N. Brown"/>
    <x v="2"/>
    <x v="90"/>
    <n v="691.19"/>
    <n v="1284.3"/>
    <n v="7.3999999999999996E-2"/>
    <n v="7.3999999999999996E-2"/>
    <n v="7"/>
    <n v="8324.8326000000015"/>
    <n v="4838.33"/>
    <n v="3486.5026000000016"/>
    <n v="0.41880753253825198"/>
    <n v="532.66700000000003"/>
    <n v="1025.2280000000001"/>
    <s v="High"/>
  </r>
  <r>
    <s v="ORD-2025-526752"/>
    <x v="56"/>
    <x v="16"/>
    <s v="Q2-2025"/>
    <x v="89"/>
    <d v="2025-06-25T00:00:00"/>
    <n v="16"/>
    <n v="0"/>
    <n v="0"/>
    <x v="1"/>
    <x v="4"/>
    <x v="34"/>
    <s v="Enterprise"/>
    <s v="Distributor"/>
    <s v="M. Rossi"/>
    <x v="3"/>
    <x v="91"/>
    <n v="527.33000000000004"/>
    <n v="911.72"/>
    <n v="0.14399999999999999"/>
    <n v="0.14399999999999999"/>
    <n v="25"/>
    <n v="19510.808000000001"/>
    <n v="13183.250000000002"/>
    <n v="6327.5579999999991"/>
    <n v="0.32431040272652978"/>
    <n v="532.66700000000003"/>
    <n v="1025.2280000000001"/>
    <s v="High"/>
  </r>
  <r>
    <s v="ORD-2023-374486"/>
    <x v="87"/>
    <x v="23"/>
    <s v="Q2-2023"/>
    <x v="90"/>
    <d v="2023-06-27T00:00:00"/>
    <n v="3"/>
    <n v="1"/>
    <n v="1"/>
    <x v="2"/>
    <x v="5"/>
    <x v="30"/>
    <s v="Non-Profit"/>
    <s v="Retail"/>
    <s v="E. Garcia"/>
    <x v="1"/>
    <x v="92"/>
    <n v="804.01"/>
    <n v="1405.07"/>
    <n v="9.6000000000000002E-2"/>
    <n v="9.6000000000000002E-2"/>
    <n v="8"/>
    <n v="10161.46624"/>
    <n v="6432.08"/>
    <n v="3729.3862399999998"/>
    <n v="0.36701260939287439"/>
    <n v="532.66700000000003"/>
    <n v="1025.2280000000001"/>
    <s v="High"/>
  </r>
  <r>
    <s v="ORD-2024-997336"/>
    <x v="88"/>
    <x v="1"/>
    <s v="Q4-2024"/>
    <x v="91"/>
    <d v="2024-11-02T00:00:00"/>
    <n v="29"/>
    <n v="0"/>
    <n v="0"/>
    <x v="0"/>
    <x v="1"/>
    <x v="7"/>
    <s v="Corporate"/>
    <s v="Distributor"/>
    <s v="F. Müller"/>
    <x v="6"/>
    <x v="93"/>
    <n v="412.09"/>
    <n v="968.94"/>
    <n v="9.9000000000000005E-2"/>
    <n v="9.9000000000000005E-2"/>
    <n v="23"/>
    <n v="20079.343620000003"/>
    <n v="9478.07"/>
    <n v="10601.273620000004"/>
    <n v="0.52796913189137418"/>
    <n v="532.66700000000003"/>
    <n v="1025.2280000000001"/>
    <s v="High"/>
  </r>
  <r>
    <s v="ORD-2025-725646"/>
    <x v="59"/>
    <x v="11"/>
    <s v="Q3-2025"/>
    <x v="14"/>
    <d v="2025-09-30T00:00:00"/>
    <n v="20"/>
    <n v="0"/>
    <n v="0"/>
    <x v="0"/>
    <x v="0"/>
    <x v="13"/>
    <s v="Corporate"/>
    <s v="Direct"/>
    <s v="L. Okafor"/>
    <x v="3"/>
    <x v="94"/>
    <n v="1009.48"/>
    <n v="1088.81"/>
    <n v="0.16"/>
    <n v="0.16"/>
    <n v="6"/>
    <n v="5487.6023999999998"/>
    <n v="6056.88"/>
    <n v="-569.27760000000035"/>
    <n v="-0.10373885688219693"/>
    <n v="532.66700000000003"/>
    <n v="1025.2280000000001"/>
    <s v="High"/>
  </r>
  <r>
    <s v="ORD-2023-868734"/>
    <x v="89"/>
    <x v="12"/>
    <s v="Q2-2023"/>
    <x v="92"/>
    <d v="2023-04-27T00:00:00"/>
    <n v="21"/>
    <n v="0"/>
    <n v="0"/>
    <x v="3"/>
    <x v="8"/>
    <x v="31"/>
    <s v="Enterprise"/>
    <s v="Distributor"/>
    <s v="I. Johnson"/>
    <x v="1"/>
    <x v="95"/>
    <n v="1084.79"/>
    <n v="2484.9899999999998"/>
    <n v="3.4000000000000002E-2"/>
    <n v="3.4000000000000002E-2"/>
    <n v="18"/>
    <n v="43209.006119999991"/>
    <n v="19526.22"/>
    <n v="23682.78611999999"/>
    <n v="0.54809837685755114"/>
    <n v="532.66700000000003"/>
    <n v="1025.2280000000001"/>
    <s v="High"/>
  </r>
  <r>
    <s v="ORD-2025-262491"/>
    <x v="90"/>
    <x v="28"/>
    <s v="Q3-2025"/>
    <x v="93"/>
    <d v="2025-08-16T00:00:00"/>
    <n v="15"/>
    <n v="0"/>
    <n v="0"/>
    <x v="1"/>
    <x v="4"/>
    <x v="18"/>
    <s v="Enterprise"/>
    <s v="Direct"/>
    <s v="O. Wang"/>
    <x v="5"/>
    <x v="96"/>
    <n v="24.44"/>
    <n v="28.69"/>
    <n v="0.14599999999999999"/>
    <n v="0.14599999999999999"/>
    <n v="6"/>
    <n v="147.00756000000001"/>
    <n v="146.64000000000001"/>
    <n v="0.36755999999999744"/>
    <n v="2.5002795774584476E-3"/>
    <n v="532.66700000000003"/>
    <n v="1025.2280000000001"/>
    <s v="Low"/>
  </r>
  <r>
    <s v="ORD-2024-638884"/>
    <x v="91"/>
    <x v="7"/>
    <s v="Q2-2024"/>
    <x v="94"/>
    <d v="2024-05-31T00:00:00"/>
    <n v="3"/>
    <n v="1"/>
    <n v="1"/>
    <x v="0"/>
    <x v="1"/>
    <x v="7"/>
    <s v="Enterprise"/>
    <s v="Online"/>
    <s v="F. Müller"/>
    <x v="6"/>
    <x v="97"/>
    <n v="1227.08"/>
    <n v="1896.62"/>
    <n v="0"/>
    <n v="0"/>
    <n v="18"/>
    <n v="34139.159999999996"/>
    <n v="22087.439999999999"/>
    <n v="12051.719999999998"/>
    <n v="0.353017473189147"/>
    <n v="532.66700000000003"/>
    <n v="1025.2280000000001"/>
    <s v="High"/>
  </r>
  <r>
    <s v="ORD-2025-541501"/>
    <x v="92"/>
    <x v="13"/>
    <s v="Q3-2025"/>
    <x v="95"/>
    <d v="2025-08-18T00:00:00"/>
    <n v="27"/>
    <n v="0"/>
    <n v="0"/>
    <x v="1"/>
    <x v="9"/>
    <x v="14"/>
    <s v="Non-Profit"/>
    <s v="Marketplace"/>
    <s v="M. Rossi"/>
    <x v="2"/>
    <x v="98"/>
    <n v="547.32000000000005"/>
    <n v="419.17"/>
    <n v="9.1999999999999998E-2"/>
    <n v="9.1999999999999998E-2"/>
    <n v="14"/>
    <n v="5328.4890400000004"/>
    <n v="7662.4800000000005"/>
    <n v="-2333.9909600000001"/>
    <n v="-0.43802116181137907"/>
    <n v="532.66700000000003"/>
    <n v="1025.2280000000001"/>
    <s v="High"/>
  </r>
  <r>
    <s v="ORD-2023-422918"/>
    <x v="2"/>
    <x v="2"/>
    <s v="Q1-2023"/>
    <x v="96"/>
    <d v="2023-03-20T00:00:00"/>
    <n v="20"/>
    <n v="0"/>
    <n v="0"/>
    <x v="3"/>
    <x v="6"/>
    <x v="9"/>
    <s v="Small Business"/>
    <s v="Direct"/>
    <s v="H. Kim"/>
    <x v="4"/>
    <x v="99"/>
    <n v="1200.78"/>
    <n v="2001.17"/>
    <n v="0.29199999999999998"/>
    <n v="0.29199999999999998"/>
    <n v="18"/>
    <n v="25502.910479999999"/>
    <n v="21614.04"/>
    <n v="3888.8704799999978"/>
    <n v="0.15248732034132906"/>
    <n v="532.66700000000003"/>
    <n v="1025.2280000000001"/>
    <s v="High"/>
  </r>
  <r>
    <s v="ORD-2025-328504"/>
    <x v="93"/>
    <x v="10"/>
    <s v="Q1-2025"/>
    <x v="97"/>
    <d v="2025-02-15T00:00:00"/>
    <n v="19"/>
    <n v="0"/>
    <n v="0"/>
    <x v="1"/>
    <x v="9"/>
    <x v="14"/>
    <s v="Non-Profit"/>
    <s v="Direct"/>
    <s v="L. Okafor"/>
    <x v="3"/>
    <x v="100"/>
    <n v="1253.22"/>
    <n v="3104.71"/>
    <n v="0"/>
    <n v="0"/>
    <n v="17"/>
    <n v="52780.07"/>
    <n v="21304.74"/>
    <n v="31475.329999999998"/>
    <n v="0.59634877331538205"/>
    <n v="532.66700000000003"/>
    <n v="1025.2280000000001"/>
    <s v="High"/>
  </r>
  <r>
    <s v="ORD-2024-851883"/>
    <x v="94"/>
    <x v="9"/>
    <s v="Q1-2024"/>
    <x v="98"/>
    <d v="2024-01-22T00:00:00"/>
    <n v="9"/>
    <n v="0"/>
    <n v="0"/>
    <x v="1"/>
    <x v="4"/>
    <x v="29"/>
    <s v="Enterprise"/>
    <s v="Marketplace"/>
    <s v="J. Njeri"/>
    <x v="0"/>
    <x v="101"/>
    <n v="313.60000000000002"/>
    <n v="334.28"/>
    <n v="0.14000000000000001"/>
    <n v="0.14000000000000001"/>
    <n v="22"/>
    <n v="6324.5775999999996"/>
    <n v="6899.2000000000007"/>
    <n v="-574.62240000000111"/>
    <n v="-9.0855458868905517E-2"/>
    <n v="532.66700000000003"/>
    <n v="1025.2280000000001"/>
    <s v="High"/>
  </r>
  <r>
    <s v="ORD-2025-662997"/>
    <x v="95"/>
    <x v="3"/>
    <s v="Q1-2025"/>
    <x v="99"/>
    <d v="2025-04-04T00:00:00"/>
    <n v="4"/>
    <n v="1"/>
    <n v="1"/>
    <x v="0"/>
    <x v="0"/>
    <x v="16"/>
    <s v="Corporate"/>
    <s v="Direct"/>
    <s v="C. Otieno"/>
    <x v="4"/>
    <x v="102"/>
    <n v="862.08"/>
    <n v="1952.83"/>
    <n v="0"/>
    <n v="0"/>
    <n v="7"/>
    <n v="13669.81"/>
    <n v="6034.56"/>
    <n v="7635.2499999999991"/>
    <n v="0.5585483631447693"/>
    <n v="532.66700000000003"/>
    <n v="1025.2280000000001"/>
    <s v="High"/>
  </r>
  <r>
    <s v="ORD-2024-478165"/>
    <x v="96"/>
    <x v="6"/>
    <s v="Q4-2024"/>
    <x v="100"/>
    <d v="2024-12-28T00:00:00"/>
    <n v="23"/>
    <n v="0"/>
    <n v="0"/>
    <x v="2"/>
    <x v="3"/>
    <x v="26"/>
    <s v="Corporate"/>
    <s v="Direct"/>
    <s v="F. Müller"/>
    <x v="6"/>
    <x v="103"/>
    <n v="107.03"/>
    <n v="242.29"/>
    <n v="0.18"/>
    <n v="0.18"/>
    <n v="30"/>
    <n v="5960.3340000000007"/>
    <n v="3210.9"/>
    <n v="2749.4340000000007"/>
    <n v="0.46128857879440988"/>
    <n v="532.66700000000003"/>
    <n v="1025.2280000000001"/>
    <s v="High"/>
  </r>
  <r>
    <s v="ORD-2024-771210"/>
    <x v="97"/>
    <x v="29"/>
    <s v="Q3-2024"/>
    <x v="101"/>
    <d v="2024-10-05T00:00:00"/>
    <n v="21"/>
    <n v="0"/>
    <n v="0"/>
    <x v="1"/>
    <x v="9"/>
    <x v="23"/>
    <s v="Small Business"/>
    <s v="Online"/>
    <s v="H. Kim"/>
    <x v="4"/>
    <x v="104"/>
    <n v="1405.56"/>
    <n v="2968.87"/>
    <n v="0.16900000000000001"/>
    <n v="0.16900000000000001"/>
    <n v="5"/>
    <n v="12335.654849999999"/>
    <n v="7027.7999999999993"/>
    <n v="5307.8548499999997"/>
    <n v="0.4302856163327235"/>
    <n v="532.66700000000003"/>
    <n v="1025.2280000000001"/>
    <s v="High"/>
  </r>
  <r>
    <s v="ORD-2024-155337"/>
    <x v="98"/>
    <x v="7"/>
    <s v="Q2-2024"/>
    <x v="102"/>
    <d v="2024-05-27T00:00:00"/>
    <n v="6"/>
    <n v="1"/>
    <n v="1"/>
    <x v="0"/>
    <x v="11"/>
    <x v="20"/>
    <s v="Non-Profit"/>
    <s v="Online"/>
    <s v="M. Rossi"/>
    <x v="0"/>
    <x v="105"/>
    <n v="1157.51"/>
    <n v="1394.3"/>
    <n v="0.27800000000000002"/>
    <n v="0.27800000000000002"/>
    <n v="12"/>
    <n v="12080.215199999999"/>
    <n v="13890.119999999999"/>
    <n v="-1809.9048000000003"/>
    <n v="-0.14982388724333326"/>
    <n v="532.66700000000003"/>
    <n v="1025.2280000000001"/>
    <s v="High"/>
  </r>
  <r>
    <s v="ORD-2023-251563"/>
    <x v="20"/>
    <x v="15"/>
    <s v="Q2-2023"/>
    <x v="103"/>
    <d v="2023-06-07T00:00:00"/>
    <n v="27"/>
    <n v="0"/>
    <n v="0"/>
    <x v="0"/>
    <x v="0"/>
    <x v="13"/>
    <s v="Corporate"/>
    <s v="Online"/>
    <s v="J. Njeri"/>
    <x v="3"/>
    <x v="106"/>
    <n v="12.85"/>
    <n v="15.41"/>
    <n v="0.13700000000000001"/>
    <n v="0.13700000000000001"/>
    <n v="39"/>
    <n v="518.65436999999997"/>
    <n v="501.15"/>
    <n v="17.504369999999994"/>
    <n v="3.3749585489851353E-2"/>
    <n v="532.66700000000003"/>
    <n v="1025.2280000000001"/>
    <s v="Low"/>
  </r>
  <r>
    <s v="ORD-2024-286833"/>
    <x v="99"/>
    <x v="21"/>
    <s v="Q3-2024"/>
    <x v="104"/>
    <d v="2024-09-04T00:00:00"/>
    <n v="21"/>
    <n v="0"/>
    <n v="0"/>
    <x v="3"/>
    <x v="8"/>
    <x v="31"/>
    <s v="Non-Profit"/>
    <s v="Online"/>
    <s v="J. Njeri"/>
    <x v="3"/>
    <x v="107"/>
    <n v="1138.8"/>
    <n v="2250.81"/>
    <n v="0.123"/>
    <n v="0.123"/>
    <n v="12"/>
    <n v="23687.524440000001"/>
    <n v="13665.599999999999"/>
    <n v="10021.924440000003"/>
    <n v="0.42308872188756258"/>
    <n v="532.66700000000003"/>
    <n v="1025.2280000000001"/>
    <s v="High"/>
  </r>
  <r>
    <s v="ORD-2024-792558"/>
    <x v="100"/>
    <x v="1"/>
    <s v="Q4-2024"/>
    <x v="46"/>
    <d v="2024-11-08T00:00:00"/>
    <n v="23"/>
    <n v="0"/>
    <n v="0"/>
    <x v="1"/>
    <x v="2"/>
    <x v="4"/>
    <s v="Small Business"/>
    <s v="Retail"/>
    <s v="J. Njeri"/>
    <x v="2"/>
    <x v="108"/>
    <n v="82.14"/>
    <n v="166.04"/>
    <n v="0"/>
    <n v="0"/>
    <n v="10"/>
    <n v="1660.3999999999999"/>
    <n v="821.4"/>
    <n v="838.99999999999989"/>
    <n v="0.50529992772825827"/>
    <n v="532.66700000000003"/>
    <n v="1025.2280000000001"/>
    <s v="High"/>
  </r>
  <r>
    <s v="ORD-2024-166150"/>
    <x v="101"/>
    <x v="17"/>
    <s v="Q2-2024"/>
    <x v="105"/>
    <d v="2024-06-08T00:00:00"/>
    <n v="6"/>
    <n v="1"/>
    <n v="1"/>
    <x v="0"/>
    <x v="0"/>
    <x v="0"/>
    <s v="Consumer"/>
    <s v="Marketplace"/>
    <s v="A. Patel"/>
    <x v="6"/>
    <x v="109"/>
    <n v="292.94"/>
    <n v="356.55"/>
    <n v="0.22900000000000001"/>
    <n v="0.22900000000000001"/>
    <n v="2"/>
    <n v="549.80010000000004"/>
    <n v="585.88"/>
    <n v="-36.079899999999952"/>
    <n v="-6.5623669402751925E-2"/>
    <n v="532.66700000000003"/>
    <n v="1025.2280000000001"/>
    <s v="Medium"/>
  </r>
  <r>
    <s v="ORD-2024-909942"/>
    <x v="102"/>
    <x v="17"/>
    <s v="Q2-2024"/>
    <x v="106"/>
    <d v="2024-07-07T00:00:00"/>
    <n v="28"/>
    <n v="0"/>
    <n v="0"/>
    <x v="1"/>
    <x v="9"/>
    <x v="14"/>
    <s v="Corporate"/>
    <s v="Online"/>
    <s v="J. Njeri"/>
    <x v="0"/>
    <x v="110"/>
    <n v="550.22"/>
    <n v="1025.05"/>
    <n v="0"/>
    <n v="0"/>
    <n v="27"/>
    <n v="27676.35"/>
    <n v="14855.94"/>
    <n v="12820.409999999998"/>
    <n v="0.46322618408858102"/>
    <n v="532.66700000000003"/>
    <n v="1025.2280000000001"/>
    <s v="High"/>
  </r>
  <r>
    <s v="ORD-2024-223618"/>
    <x v="103"/>
    <x v="17"/>
    <s v="Q2-2024"/>
    <x v="107"/>
    <d v="2024-06-11T00:00:00"/>
    <n v="1"/>
    <n v="1"/>
    <n v="1"/>
    <x v="3"/>
    <x v="8"/>
    <x v="12"/>
    <s v="Small Business"/>
    <s v="Marketplace"/>
    <s v="M. Rossi"/>
    <x v="4"/>
    <x v="111"/>
    <n v="1187.1300000000001"/>
    <n v="1795.17"/>
    <n v="1.2E-2"/>
    <n v="1.2E-2"/>
    <n v="17"/>
    <n v="30151.675319999998"/>
    <n v="20181.210000000003"/>
    <n v="9970.4653199999957"/>
    <n v="0.33067699271046663"/>
    <n v="532.66700000000003"/>
    <n v="1025.2280000000001"/>
    <s v="High"/>
  </r>
  <r>
    <s v="ORD-2024-919471"/>
    <x v="104"/>
    <x v="17"/>
    <s v="Q2-2024"/>
    <x v="108"/>
    <d v="2024-07-26T00:00:00"/>
    <n v="27"/>
    <n v="0"/>
    <n v="0"/>
    <x v="0"/>
    <x v="11"/>
    <x v="25"/>
    <s v="Enterprise"/>
    <s v="Distributor"/>
    <s v="B. Chen"/>
    <x v="2"/>
    <x v="112"/>
    <n v="5.36"/>
    <n v="4.37"/>
    <n v="0.11799999999999999"/>
    <n v="0.11799999999999999"/>
    <n v="9"/>
    <n v="34.689059999999998"/>
    <n v="48.24"/>
    <n v="-13.550940000000004"/>
    <n v="-0.39064016148030545"/>
    <n v="532.66700000000003"/>
    <n v="1025.2280000000001"/>
    <s v="Low"/>
  </r>
  <r>
    <s v="ORD-2025-649239"/>
    <x v="105"/>
    <x v="10"/>
    <s v="Q1-2025"/>
    <x v="109"/>
    <d v="2025-01-24T00:00:00"/>
    <n v="7"/>
    <n v="1"/>
    <n v="1"/>
    <x v="2"/>
    <x v="10"/>
    <x v="35"/>
    <s v="Enterprise"/>
    <s v="Online"/>
    <s v="G. Dubois"/>
    <x v="6"/>
    <x v="113"/>
    <n v="142.09"/>
    <n v="218.5"/>
    <n v="0.11899999999999999"/>
    <n v="0.11899999999999999"/>
    <n v="11"/>
    <n v="2117.4834999999998"/>
    <n v="1562.99"/>
    <n v="554.49349999999981"/>
    <n v="0.26186437816398561"/>
    <n v="532.66700000000003"/>
    <n v="1025.2280000000001"/>
    <s v="High"/>
  </r>
  <r>
    <s v="ORD-2023-975863"/>
    <x v="106"/>
    <x v="30"/>
    <s v="Q4-2023"/>
    <x v="110"/>
    <d v="2023-12-05T00:00:00"/>
    <n v="15"/>
    <n v="0"/>
    <n v="0"/>
    <x v="1"/>
    <x v="2"/>
    <x v="27"/>
    <s v="Enterprise"/>
    <s v="Retail"/>
    <s v="L. Okafor"/>
    <x v="2"/>
    <x v="114"/>
    <n v="354.24"/>
    <n v="249.87"/>
    <n v="0"/>
    <n v="0"/>
    <n v="6"/>
    <n v="1499.22"/>
    <n v="2125.44"/>
    <n v="-626.22"/>
    <n v="-0.41769720254532355"/>
    <n v="532.66700000000003"/>
    <n v="1025.2280000000001"/>
    <s v="High"/>
  </r>
  <r>
    <s v="ORD-2023-869884"/>
    <x v="107"/>
    <x v="22"/>
    <s v="Q1-2023"/>
    <x v="111"/>
    <d v="2023-03-05T00:00:00"/>
    <n v="3"/>
    <n v="1"/>
    <n v="1"/>
    <x v="2"/>
    <x v="5"/>
    <x v="10"/>
    <s v="Enterprise"/>
    <s v="Direct"/>
    <s v="G. Dubois"/>
    <x v="5"/>
    <x v="115"/>
    <n v="1473.58"/>
    <n v="3436.52"/>
    <n v="0.108"/>
    <n v="0.108"/>
    <n v="8"/>
    <n v="24523.006720000001"/>
    <n v="11788.64"/>
    <n v="12734.366720000002"/>
    <n v="0.51928243813652564"/>
    <n v="532.66700000000003"/>
    <n v="1025.2280000000001"/>
    <s v="High"/>
  </r>
  <r>
    <s v="ORD-2025-698069"/>
    <x v="108"/>
    <x v="16"/>
    <s v="Q2-2025"/>
    <x v="112"/>
    <d v="2025-06-10T00:00:00"/>
    <n v="7"/>
    <n v="1"/>
    <n v="1"/>
    <x v="2"/>
    <x v="3"/>
    <x v="5"/>
    <s v="Consumer"/>
    <s v="Distributor"/>
    <s v="O. Wang"/>
    <x v="1"/>
    <x v="116"/>
    <n v="75.180000000000007"/>
    <n v="53.45"/>
    <n v="0.157"/>
    <n v="0.157"/>
    <n v="17"/>
    <n v="765.99195000000009"/>
    <n v="1278.0600000000002"/>
    <n v="-512.06805000000008"/>
    <n v="-0.66850317421743144"/>
    <n v="532.66700000000003"/>
    <n v="1025.2280000000001"/>
    <s v="Medium"/>
  </r>
  <r>
    <s v="ORD-2024-474999"/>
    <x v="6"/>
    <x v="6"/>
    <s v="Q4-2024"/>
    <x v="113"/>
    <d v="2025-01-02T00:00:00"/>
    <n v="6"/>
    <n v="1"/>
    <n v="1"/>
    <x v="3"/>
    <x v="6"/>
    <x v="36"/>
    <s v="Education"/>
    <s v="Direct"/>
    <s v="F. Müller"/>
    <x v="4"/>
    <x v="117"/>
    <n v="1391.99"/>
    <n v="3469.7"/>
    <n v="0.184"/>
    <n v="0.184"/>
    <n v="23"/>
    <n v="65119.329599999997"/>
    <n v="32015.77"/>
    <n v="33103.559599999993"/>
    <n v="0.50835227886006973"/>
    <n v="532.66700000000003"/>
    <n v="1025.2280000000001"/>
    <s v="High"/>
  </r>
  <r>
    <s v="ORD-2023-427304"/>
    <x v="109"/>
    <x v="23"/>
    <s v="Q2-2023"/>
    <x v="114"/>
    <d v="2023-06-19T00:00:00"/>
    <n v="10"/>
    <n v="0"/>
    <n v="0"/>
    <x v="1"/>
    <x v="9"/>
    <x v="37"/>
    <s v="Enterprise"/>
    <s v="Retail"/>
    <s v="F. Müller"/>
    <x v="5"/>
    <x v="118"/>
    <n v="339.61"/>
    <n v="621.02"/>
    <n v="7.0999999999999994E-2"/>
    <n v="7.0999999999999994E-2"/>
    <n v="10"/>
    <n v="5769.2758000000003"/>
    <n v="3396.1000000000004"/>
    <n v="2373.1758"/>
    <n v="0.41134726129750981"/>
    <n v="532.66700000000003"/>
    <n v="1025.2280000000001"/>
    <s v="High"/>
  </r>
  <r>
    <s v="ORD-2025-956101"/>
    <x v="110"/>
    <x v="13"/>
    <s v="Q3-2025"/>
    <x v="115"/>
    <d v="2025-07-18T00:00:00"/>
    <n v="9"/>
    <n v="0"/>
    <n v="0"/>
    <x v="2"/>
    <x v="3"/>
    <x v="26"/>
    <s v="Education"/>
    <s v="Distributor"/>
    <s v="I. Johnson"/>
    <x v="4"/>
    <x v="119"/>
    <n v="57.96"/>
    <n v="88.51"/>
    <n v="4.2999999999999997E-2"/>
    <n v="4.2999999999999997E-2"/>
    <n v="7"/>
    <n v="592.92849000000001"/>
    <n v="405.72"/>
    <n v="187.20848999999998"/>
    <n v="0.3157353595877978"/>
    <n v="532.66700000000003"/>
    <n v="1025.2280000000001"/>
    <s v="Medium"/>
  </r>
  <r>
    <s v="ORD-2025-184082"/>
    <x v="111"/>
    <x v="16"/>
    <s v="Q2-2025"/>
    <x v="116"/>
    <d v="2025-07-12T00:00:00"/>
    <n v="23"/>
    <n v="0"/>
    <n v="0"/>
    <x v="3"/>
    <x v="8"/>
    <x v="38"/>
    <s v="Non-Profit"/>
    <s v="Direct"/>
    <s v="Unassigned"/>
    <x v="2"/>
    <x v="120"/>
    <n v="801.24"/>
    <n v="1959.09"/>
    <n v="0.123"/>
    <n v="0.123"/>
    <n v="23"/>
    <n v="39516.804389999998"/>
    <n v="18428.52"/>
    <n v="21088.284389999997"/>
    <n v="0.53365358650651762"/>
    <n v="532.66700000000003"/>
    <n v="1025.2280000000001"/>
    <s v="High"/>
  </r>
  <r>
    <s v="ORD-2023-576840"/>
    <x v="112"/>
    <x v="30"/>
    <s v="Q4-2023"/>
    <x v="117"/>
    <d v="2023-12-13T00:00:00"/>
    <n v="24"/>
    <n v="0"/>
    <n v="0"/>
    <x v="3"/>
    <x v="7"/>
    <x v="17"/>
    <s v="Non-Profit"/>
    <s v="Direct"/>
    <s v="H. Kim"/>
    <x v="5"/>
    <x v="121"/>
    <n v="1297.42"/>
    <n v="2742.97"/>
    <n v="6.9000000000000006E-2"/>
    <n v="6.9000000000000006E-2"/>
    <n v="9"/>
    <n v="22983.34563"/>
    <n v="11676.78"/>
    <n v="11306.565629999999"/>
    <n v="0.49194602961727291"/>
    <n v="532.66700000000003"/>
    <n v="1025.2280000000001"/>
    <s v="High"/>
  </r>
  <r>
    <s v="ORD-2023-178249"/>
    <x v="113"/>
    <x v="4"/>
    <s v="Q4-2023"/>
    <x v="118"/>
    <d v="2024-01-20T00:00:00"/>
    <n v="22"/>
    <n v="0"/>
    <n v="0"/>
    <x v="0"/>
    <x v="0"/>
    <x v="0"/>
    <s v="Corporate"/>
    <s v="Direct"/>
    <s v="L. Okafor"/>
    <x v="3"/>
    <x v="122"/>
    <n v="1395.49"/>
    <n v="1679.42"/>
    <n v="0.20300000000000001"/>
    <n v="0.20300000000000001"/>
    <n v="12"/>
    <n v="16061.972879999999"/>
    <n v="16745.88"/>
    <n v="-683.90712000000167"/>
    <n v="-4.2579272490964493E-2"/>
    <n v="532.66700000000003"/>
    <n v="1025.2280000000001"/>
    <s v="High"/>
  </r>
  <r>
    <s v="ORD-2024-588972"/>
    <x v="61"/>
    <x v="18"/>
    <s v="Q4-2024"/>
    <x v="119"/>
    <d v="2024-11-29T00:00:00"/>
    <n v="27"/>
    <n v="0"/>
    <n v="0"/>
    <x v="2"/>
    <x v="5"/>
    <x v="10"/>
    <s v="Small Business"/>
    <s v="Direct"/>
    <s v="I. Johnson"/>
    <x v="2"/>
    <x v="123"/>
    <n v="1363.51"/>
    <n v="1433.9"/>
    <n v="5.7000000000000002E-2"/>
    <n v="5.7000000000000002E-2"/>
    <n v="8"/>
    <n v="10817.3416"/>
    <n v="10908.08"/>
    <n v="-90.738400000000183"/>
    <n v="-8.3882346842037592E-3"/>
    <n v="532.66700000000003"/>
    <n v="1025.2280000000001"/>
    <s v="High"/>
  </r>
  <r>
    <s v="ORD-2023-603238"/>
    <x v="114"/>
    <x v="25"/>
    <s v="Q3-2023"/>
    <x v="120"/>
    <d v="2023-09-04T00:00:00"/>
    <n v="14"/>
    <n v="0"/>
    <n v="0"/>
    <x v="2"/>
    <x v="3"/>
    <x v="19"/>
    <s v="Education"/>
    <s v="Distributor"/>
    <s v="F. Müller"/>
    <x v="0"/>
    <x v="124"/>
    <n v="178.19"/>
    <n v="284.43"/>
    <n v="8.8999999999999996E-2"/>
    <n v="8.8999999999999996E-2"/>
    <n v="8"/>
    <n v="2072.9258400000003"/>
    <n v="1425.52"/>
    <n v="647.40584000000035"/>
    <n v="0.31231500302972742"/>
    <n v="532.66700000000003"/>
    <n v="1025.2280000000001"/>
    <s v="High"/>
  </r>
  <r>
    <s v="ORD-2023-883066"/>
    <x v="115"/>
    <x v="25"/>
    <s v="Q3-2023"/>
    <x v="121"/>
    <d v="2023-09-06T00:00:00"/>
    <n v="25"/>
    <n v="0"/>
    <n v="0"/>
    <x v="1"/>
    <x v="9"/>
    <x v="23"/>
    <s v="Small Business"/>
    <s v="Retail"/>
    <s v="B. Chen"/>
    <x v="0"/>
    <x v="125"/>
    <n v="950.77"/>
    <n v="694.78"/>
    <n v="8.4000000000000005E-2"/>
    <n v="8.4000000000000005E-2"/>
    <n v="14"/>
    <n v="8909.8587200000002"/>
    <n v="13310.779999999999"/>
    <n v="-4400.9212799999987"/>
    <n v="-0.49393839097821279"/>
    <n v="532.66700000000003"/>
    <n v="1025.2280000000001"/>
    <s v="High"/>
  </r>
  <r>
    <s v="ORD-2024-584090"/>
    <x v="116"/>
    <x v="17"/>
    <s v="Q2-2024"/>
    <x v="122"/>
    <d v="2024-06-26T00:00:00"/>
    <n v="19"/>
    <n v="0"/>
    <n v="0"/>
    <x v="3"/>
    <x v="6"/>
    <x v="9"/>
    <s v="Non-Profit"/>
    <s v="Marketplace"/>
    <s v="M. Rossi"/>
    <x v="0"/>
    <x v="126"/>
    <n v="1064.32"/>
    <n v="1848.39"/>
    <n v="7.2999999999999995E-2"/>
    <n v="7.2999999999999995E-2"/>
    <n v="38"/>
    <n v="65111.38614000001"/>
    <n v="40444.159999999996"/>
    <n v="24667.226140000013"/>
    <n v="0.3788465827921631"/>
    <n v="532.66700000000003"/>
    <n v="1025.2280000000001"/>
    <s v="High"/>
  </r>
  <r>
    <s v="ORD-2025-537785"/>
    <x v="117"/>
    <x v="28"/>
    <s v="Q3-2025"/>
    <x v="123"/>
    <d v="2025-08-14T00:00:00"/>
    <n v="9"/>
    <n v="0"/>
    <n v="0"/>
    <x v="3"/>
    <x v="8"/>
    <x v="21"/>
    <s v="Non-Profit"/>
    <s v="Direct"/>
    <s v="E. Garcia"/>
    <x v="0"/>
    <x v="127"/>
    <n v="41.76"/>
    <n v="45.19"/>
    <n v="0.17899999999999999"/>
    <n v="0.17899999999999999"/>
    <n v="23"/>
    <n v="853.32276999999988"/>
    <n v="960.4799999999999"/>
    <n v="-107.15723000000003"/>
    <n v="-0.12557643340514638"/>
    <n v="532.66700000000003"/>
    <n v="1025.2280000000001"/>
    <s v="Medium"/>
  </r>
  <r>
    <s v="ORD-2024-605518"/>
    <x v="118"/>
    <x v="7"/>
    <s v="Q2-2024"/>
    <x v="124"/>
    <d v="2024-06-13T00:00:00"/>
    <n v="14"/>
    <n v="0"/>
    <n v="0"/>
    <x v="2"/>
    <x v="10"/>
    <x v="24"/>
    <s v="Small Business"/>
    <s v="Retail"/>
    <s v="F. Müller"/>
    <x v="3"/>
    <x v="128"/>
    <n v="157.78"/>
    <n v="361.1"/>
    <n v="0.187"/>
    <n v="0.187"/>
    <n v="9"/>
    <n v="2642.1686999999997"/>
    <n v="1420.02"/>
    <n v="1222.1486999999997"/>
    <n v="0.46255513510549112"/>
    <n v="532.66700000000003"/>
    <n v="1025.2280000000001"/>
    <s v="High"/>
  </r>
  <r>
    <s v="ORD-2023-521818"/>
    <x v="119"/>
    <x v="5"/>
    <s v="Q1-2023"/>
    <x v="125"/>
    <d v="2023-01-30T00:00:00"/>
    <n v="8"/>
    <n v="0"/>
    <n v="0"/>
    <x v="2"/>
    <x v="10"/>
    <x v="24"/>
    <s v="Small Business"/>
    <s v="Online"/>
    <s v="A. Patel"/>
    <x v="2"/>
    <x v="129"/>
    <n v="413.52"/>
    <n v="1004.34"/>
    <n v="0.111"/>
    <n v="0.111"/>
    <n v="18"/>
    <n v="16071.44868"/>
    <n v="7443.36"/>
    <n v="8628.0886800000007"/>
    <n v="0.53685817948304593"/>
    <n v="532.66700000000003"/>
    <n v="1025.2280000000001"/>
    <s v="High"/>
  </r>
  <r>
    <s v="ORD-2025-650719"/>
    <x v="120"/>
    <x v="26"/>
    <s v="Q1-2025"/>
    <x v="126"/>
    <d v="2025-02-28T00:00:00"/>
    <n v="16"/>
    <n v="0"/>
    <n v="0"/>
    <x v="2"/>
    <x v="5"/>
    <x v="8"/>
    <s v="Non-Profit"/>
    <s v="Direct"/>
    <s v="B. Chen"/>
    <x v="5"/>
    <x v="130"/>
    <n v="414.95"/>
    <n v="1027.73"/>
    <n v="6.3E-2"/>
    <n v="6.3E-2"/>
    <n v="8"/>
    <n v="7703.8640800000003"/>
    <n v="3319.6"/>
    <n v="4384.2640800000008"/>
    <n v="0.56909935513815568"/>
    <n v="532.66700000000003"/>
    <n v="1025.2280000000001"/>
    <s v="High"/>
  </r>
  <r>
    <s v="ORD-2025-501927"/>
    <x v="121"/>
    <x v="3"/>
    <s v="Q1-2025"/>
    <x v="127"/>
    <d v="2025-03-24T00:00:00"/>
    <n v="21"/>
    <n v="0"/>
    <n v="0"/>
    <x v="0"/>
    <x v="1"/>
    <x v="7"/>
    <s v="Enterprise"/>
    <s v="Direct"/>
    <s v="H. Kim"/>
    <x v="6"/>
    <x v="131"/>
    <n v="555.95000000000005"/>
    <n v="468.09"/>
    <n v="0.14199999999999999"/>
    <n v="0.14199999999999999"/>
    <n v="11"/>
    <n v="4417.8334199999999"/>
    <n v="6115.4500000000007"/>
    <n v="-1697.6165800000008"/>
    <n v="-0.38426450674095375"/>
    <n v="532.66700000000003"/>
    <n v="1025.2280000000001"/>
    <s v="High"/>
  </r>
  <r>
    <s v="ORD-2023-430904"/>
    <x v="122"/>
    <x v="5"/>
    <s v="Q1-2023"/>
    <x v="128"/>
    <d v="2023-01-31T00:00:00"/>
    <n v="4"/>
    <n v="1"/>
    <n v="1"/>
    <x v="3"/>
    <x v="8"/>
    <x v="31"/>
    <s v="Enterprise"/>
    <s v="Online"/>
    <s v="N. Brown"/>
    <x v="4"/>
    <x v="132"/>
    <n v="941.2"/>
    <n v="668.02"/>
    <n v="0.22"/>
    <n v="0.22"/>
    <n v="16"/>
    <n v="8336.8896000000004"/>
    <n v="15059.2"/>
    <n v="-6722.3104000000003"/>
    <n v="-0.80633314371825193"/>
    <n v="532.66700000000003"/>
    <n v="1025.2280000000001"/>
    <s v="High"/>
  </r>
  <r>
    <s v="ORD-2025-354346"/>
    <x v="123"/>
    <x v="10"/>
    <s v="Q1-2025"/>
    <x v="30"/>
    <d v="2025-01-15T00:00:00"/>
    <n v="6"/>
    <n v="1"/>
    <n v="1"/>
    <x v="1"/>
    <x v="9"/>
    <x v="37"/>
    <s v="Education"/>
    <s v="Online"/>
    <s v="C. Otieno"/>
    <x v="3"/>
    <x v="133"/>
    <n v="304.77999999999997"/>
    <n v="537.27"/>
    <n v="0.187"/>
    <n v="0.187"/>
    <n v="8"/>
    <n v="3494.4040799999998"/>
    <n v="2438.2399999999998"/>
    <n v="1056.16408"/>
    <n v="0.3022444044307549"/>
    <n v="532.66700000000003"/>
    <n v="1025.2280000000001"/>
    <s v="High"/>
  </r>
  <r>
    <s v="ORD-2024-164288"/>
    <x v="124"/>
    <x v="6"/>
    <s v="Q4-2024"/>
    <x v="129"/>
    <d v="2024-12-26T00:00:00"/>
    <n v="5"/>
    <n v="1"/>
    <n v="1"/>
    <x v="2"/>
    <x v="10"/>
    <x v="24"/>
    <s v="Consumer"/>
    <s v="Marketplace"/>
    <s v="M. Rossi"/>
    <x v="1"/>
    <x v="134"/>
    <n v="699.57"/>
    <n v="572.71"/>
    <n v="0.192"/>
    <n v="0.192"/>
    <n v="26"/>
    <n v="12031.491680000001"/>
    <n v="18188.82"/>
    <n v="-6157.3283199999987"/>
    <n v="-0.51176765805651114"/>
    <n v="532.66700000000003"/>
    <n v="1025.2280000000001"/>
    <s v="High"/>
  </r>
  <r>
    <s v="ORD-2023-867285"/>
    <x v="125"/>
    <x v="12"/>
    <s v="Q2-2023"/>
    <x v="130"/>
    <d v="2023-04-17T00:00:00"/>
    <n v="5"/>
    <n v="1"/>
    <n v="1"/>
    <x v="3"/>
    <x v="7"/>
    <x v="17"/>
    <s v="Enterprise"/>
    <s v="Direct"/>
    <s v="E. Garcia"/>
    <x v="5"/>
    <x v="135"/>
    <n v="1087.81"/>
    <n v="2323.87"/>
    <n v="9.4E-2"/>
    <n v="9.4E-2"/>
    <n v="13"/>
    <n v="27370.540859999997"/>
    <n v="14141.529999999999"/>
    <n v="13229.010859999999"/>
    <n v="0.48333026839572651"/>
    <n v="532.66700000000003"/>
    <n v="1025.2280000000001"/>
    <s v="High"/>
  </r>
  <r>
    <s v="ORD-2024-836421"/>
    <x v="126"/>
    <x v="6"/>
    <s v="Q4-2024"/>
    <x v="131"/>
    <d v="2025-01-12T00:00:00"/>
    <n v="29"/>
    <n v="0"/>
    <n v="0"/>
    <x v="1"/>
    <x v="9"/>
    <x v="14"/>
    <s v="Education"/>
    <s v="Online"/>
    <s v="J. Njeri"/>
    <x v="0"/>
    <x v="136"/>
    <n v="1412.15"/>
    <n v="1631.04"/>
    <n v="8.9999999999999993E-3"/>
    <n v="8.9999999999999993E-3"/>
    <n v="6"/>
    <n v="9698.1638399999993"/>
    <n v="8472.9000000000015"/>
    <n v="1225.2638399999978"/>
    <n v="0.12633977526203535"/>
    <n v="532.66700000000003"/>
    <n v="1025.2280000000001"/>
    <s v="High"/>
  </r>
  <r>
    <s v="ORD-2023-613287"/>
    <x v="50"/>
    <x v="22"/>
    <s v="Q1-2023"/>
    <x v="132"/>
    <d v="2023-04-12T00:00:00"/>
    <n v="12"/>
    <n v="0"/>
    <n v="0"/>
    <x v="0"/>
    <x v="0"/>
    <x v="13"/>
    <s v="Small Business"/>
    <s v="Online"/>
    <s v="C. Otieno"/>
    <x v="3"/>
    <x v="137"/>
    <n v="304.22000000000003"/>
    <n v="393.31"/>
    <n v="0.26500000000000001"/>
    <n v="0.26500000000000001"/>
    <n v="15"/>
    <n v="4336.2427499999994"/>
    <n v="4563.3"/>
    <n v="-227.05725000000075"/>
    <n v="-5.2362670424759034E-2"/>
    <n v="532.66700000000003"/>
    <n v="1025.2280000000001"/>
    <s v="High"/>
  </r>
  <r>
    <s v="ORD-2024-783321"/>
    <x v="127"/>
    <x v="18"/>
    <s v="Q4-2024"/>
    <x v="133"/>
    <d v="2024-12-15T00:00:00"/>
    <n v="25"/>
    <n v="0"/>
    <n v="0"/>
    <x v="3"/>
    <x v="7"/>
    <x v="28"/>
    <s v="Corporate"/>
    <s v="Online"/>
    <s v="G. Dubois"/>
    <x v="1"/>
    <x v="138"/>
    <n v="1203.58"/>
    <n v="1856.16"/>
    <n v="0.129"/>
    <n v="0.129"/>
    <n v="22"/>
    <n v="35567.737920000007"/>
    <n v="26478.76"/>
    <n v="9088.9779200000085"/>
    <n v="0.25553994860295032"/>
    <n v="532.66700000000003"/>
    <n v="1025.2280000000001"/>
    <s v="High"/>
  </r>
  <r>
    <s v="ORD-2024-232632"/>
    <x v="128"/>
    <x v="31"/>
    <s v="Q1-2024"/>
    <x v="134"/>
    <d v="2024-02-14T00:00:00"/>
    <n v="0"/>
    <n v="1"/>
    <n v="1"/>
    <x v="1"/>
    <x v="9"/>
    <x v="37"/>
    <s v="Corporate"/>
    <s v="Distributor"/>
    <s v="L. Okafor"/>
    <x v="6"/>
    <x v="139"/>
    <n v="65.930000000000007"/>
    <n v="84.9"/>
    <n v="0.25900000000000001"/>
    <n v="0.25900000000000001"/>
    <n v="23"/>
    <n v="1446.9507000000001"/>
    <n v="1516.39"/>
    <n v="-69.439300000000003"/>
    <n v="-4.7990093926489688E-2"/>
    <n v="532.66700000000003"/>
    <n v="1025.2280000000001"/>
    <s v="High"/>
  </r>
  <r>
    <s v="ORD-2023-906481"/>
    <x v="129"/>
    <x v="15"/>
    <s v="Q2-2023"/>
    <x v="72"/>
    <d v="2023-05-18T00:00:00"/>
    <n v="16"/>
    <n v="0"/>
    <n v="0"/>
    <x v="1"/>
    <x v="4"/>
    <x v="18"/>
    <s v="Small Business"/>
    <s v="Marketplace"/>
    <s v="K. Singh"/>
    <x v="5"/>
    <x v="140"/>
    <n v="1463.92"/>
    <n v="2252.2399999999998"/>
    <n v="0.11799999999999999"/>
    <n v="0.11799999999999999"/>
    <n v="44"/>
    <n v="87404.929919999995"/>
    <n v="64412.480000000003"/>
    <n v="22992.449919999992"/>
    <n v="0.26305667130040061"/>
    <n v="532.66700000000003"/>
    <n v="1025.2280000000001"/>
    <s v="High"/>
  </r>
  <r>
    <s v="ORD-2024-902741"/>
    <x v="130"/>
    <x v="6"/>
    <s v="Q4-2024"/>
    <x v="135"/>
    <d v="2025-01-11T00:00:00"/>
    <n v="19"/>
    <n v="0"/>
    <n v="0"/>
    <x v="3"/>
    <x v="6"/>
    <x v="9"/>
    <s v="Education"/>
    <s v="Retail"/>
    <s v="K. Singh"/>
    <x v="3"/>
    <x v="141"/>
    <n v="501.81"/>
    <n v="921.62"/>
    <n v="0.01"/>
    <n v="0.01"/>
    <n v="9"/>
    <n v="8211.6342000000004"/>
    <n v="4516.29"/>
    <n v="3695.3442000000005"/>
    <n v="0.45001325071202031"/>
    <n v="532.66700000000003"/>
    <n v="1025.2280000000001"/>
    <s v="High"/>
  </r>
  <r>
    <s v="ORD-2023-912395"/>
    <x v="131"/>
    <x v="24"/>
    <s v="Q3-2023"/>
    <x v="136"/>
    <d v="2023-08-25T00:00:00"/>
    <n v="30"/>
    <n v="0"/>
    <n v="0"/>
    <x v="2"/>
    <x v="10"/>
    <x v="39"/>
    <s v="Consumer"/>
    <s v="Retail"/>
    <s v="M. Rossi"/>
    <x v="6"/>
    <x v="142"/>
    <n v="1261.48"/>
    <n v="1643.18"/>
    <n v="0.151"/>
    <n v="0.151"/>
    <n v="23"/>
    <n v="32086.37586"/>
    <n v="29014.04"/>
    <n v="3072.3358599999992"/>
    <n v="9.5752037357079045E-2"/>
    <n v="532.66700000000003"/>
    <n v="1025.2280000000001"/>
    <s v="High"/>
  </r>
  <r>
    <s v="ORD-2024-389102"/>
    <x v="132"/>
    <x v="17"/>
    <s v="Q2-2024"/>
    <x v="137"/>
    <d v="2024-07-06T00:00:00"/>
    <n v="21"/>
    <n v="0"/>
    <n v="0"/>
    <x v="2"/>
    <x v="3"/>
    <x v="5"/>
    <s v="Enterprise"/>
    <s v="Distributor"/>
    <s v="L. Okafor"/>
    <x v="1"/>
    <x v="143"/>
    <n v="817.23"/>
    <n v="1467.17"/>
    <n v="0.245"/>
    <n v="0.245"/>
    <n v="9"/>
    <n v="9969.4201499999999"/>
    <n v="7355.07"/>
    <n v="2614.3501500000002"/>
    <n v="0.26223693160328893"/>
    <n v="532.66700000000003"/>
    <n v="1025.2280000000001"/>
    <s v="High"/>
  </r>
  <r>
    <s v="ORD-2023-309373"/>
    <x v="133"/>
    <x v="24"/>
    <s v="Q3-2023"/>
    <x v="138"/>
    <d v="2023-07-14T00:00:00"/>
    <n v="9"/>
    <n v="0"/>
    <n v="0"/>
    <x v="2"/>
    <x v="5"/>
    <x v="10"/>
    <s v="Enterprise"/>
    <s v="Direct"/>
    <s v="B. Chen"/>
    <x v="2"/>
    <x v="144"/>
    <n v="578.85"/>
    <n v="998.76"/>
    <n v="8.2000000000000003E-2"/>
    <n v="8.2000000000000003E-2"/>
    <n v="28"/>
    <n v="25672.127039999999"/>
    <n v="16207.800000000001"/>
    <n v="9464.3270399999983"/>
    <n v="0.36866158480960831"/>
    <n v="532.66700000000003"/>
    <n v="1025.2280000000001"/>
    <s v="High"/>
  </r>
  <r>
    <s v="ORD-2023-825495"/>
    <x v="134"/>
    <x v="30"/>
    <s v="Q4-2023"/>
    <x v="139"/>
    <d v="2023-12-03T00:00:00"/>
    <n v="3"/>
    <n v="1"/>
    <n v="1"/>
    <x v="0"/>
    <x v="11"/>
    <x v="25"/>
    <s v="Small Business"/>
    <s v="Marketplace"/>
    <s v="E. Garcia"/>
    <x v="4"/>
    <x v="145"/>
    <n v="275.56"/>
    <n v="630.72"/>
    <n v="0.107"/>
    <n v="0.107"/>
    <n v="23"/>
    <n v="12954.358080000002"/>
    <n v="6337.88"/>
    <n v="6616.4780800000017"/>
    <n v="0.5107530638831933"/>
    <n v="532.66700000000003"/>
    <n v="1025.2280000000001"/>
    <s v="High"/>
  </r>
  <r>
    <s v="ORD-2025-244832"/>
    <x v="135"/>
    <x v="11"/>
    <s v="Q3-2025"/>
    <x v="140"/>
    <d v="2025-09-28T00:00:00"/>
    <n v="17"/>
    <n v="0"/>
    <n v="0"/>
    <x v="0"/>
    <x v="0"/>
    <x v="2"/>
    <s v="Non-Profit"/>
    <s v="Distributor"/>
    <s v="J. Njeri"/>
    <x v="4"/>
    <x v="146"/>
    <n v="891.46"/>
    <n v="728.61"/>
    <n v="0.185"/>
    <n v="0.185"/>
    <n v="6"/>
    <n v="3562.9028999999996"/>
    <n v="5348.76"/>
    <n v="-1785.8571000000006"/>
    <n v="-0.50123653383874167"/>
    <n v="532.66700000000003"/>
    <n v="1025.2280000000001"/>
    <s v="High"/>
  </r>
  <r>
    <s v="ORD-2024-211453"/>
    <x v="136"/>
    <x v="20"/>
    <s v="Q2-2024"/>
    <x v="141"/>
    <d v="2024-04-24T00:00:00"/>
    <n v="20"/>
    <n v="0"/>
    <n v="0"/>
    <x v="3"/>
    <x v="6"/>
    <x v="36"/>
    <s v="Non-Profit"/>
    <s v="Direct"/>
    <s v="O. Wang"/>
    <x v="6"/>
    <x v="147"/>
    <n v="683.42"/>
    <n v="951.51"/>
    <n v="0"/>
    <n v="0"/>
    <n v="14"/>
    <n v="13321.14"/>
    <n v="9567.8799999999992"/>
    <n v="3753.26"/>
    <n v="0.28175216235247136"/>
    <n v="532.66700000000003"/>
    <n v="1025.2280000000001"/>
    <s v="High"/>
  </r>
  <r>
    <s v="ORD-2023-192324"/>
    <x v="137"/>
    <x v="27"/>
    <s v="Q3-2023"/>
    <x v="142"/>
    <d v="2023-09-16T00:00:00"/>
    <n v="2"/>
    <n v="1"/>
    <n v="1"/>
    <x v="3"/>
    <x v="7"/>
    <x v="17"/>
    <s v="Non-Profit"/>
    <s v="Direct"/>
    <s v="B. Chen"/>
    <x v="1"/>
    <x v="148"/>
    <n v="376.83"/>
    <n v="732.88"/>
    <n v="0.188"/>
    <n v="0.188"/>
    <n v="25"/>
    <n v="14877.464000000002"/>
    <n v="9420.75"/>
    <n v="5456.7140000000018"/>
    <n v="0.36677716040852132"/>
    <n v="532.66700000000003"/>
    <n v="1025.2280000000001"/>
    <s v="High"/>
  </r>
  <r>
    <s v="ORD-2024-438404"/>
    <x v="138"/>
    <x v="29"/>
    <s v="Q3-2024"/>
    <x v="143"/>
    <d v="2024-10-18T00:00:00"/>
    <n v="25"/>
    <n v="0"/>
    <n v="0"/>
    <x v="2"/>
    <x v="3"/>
    <x v="26"/>
    <s v="Small Business"/>
    <s v="Online"/>
    <s v="N. Brown"/>
    <x v="3"/>
    <x v="149"/>
    <n v="1297"/>
    <n v="2411.52"/>
    <n v="2.1000000000000001E-2"/>
    <n v="2.1000000000000001E-2"/>
    <n v="18"/>
    <n v="42495.805439999996"/>
    <n v="23346"/>
    <n v="19149.805439999996"/>
    <n v="0.45062813239385913"/>
    <n v="532.66700000000003"/>
    <n v="1025.2280000000001"/>
    <s v="High"/>
  </r>
  <r>
    <s v="ORD-2025-246470"/>
    <x v="139"/>
    <x v="19"/>
    <s v="Q2-2025"/>
    <x v="144"/>
    <d v="2025-05-16T00:00:00"/>
    <n v="30"/>
    <n v="0"/>
    <n v="0"/>
    <x v="2"/>
    <x v="3"/>
    <x v="19"/>
    <s v="Enterprise"/>
    <s v="Distributor"/>
    <s v="K. Singh"/>
    <x v="1"/>
    <x v="150"/>
    <n v="763.32"/>
    <n v="568.29"/>
    <n v="0.13100000000000001"/>
    <n v="0.13100000000000001"/>
    <n v="16"/>
    <n v="7901.5041599999995"/>
    <n v="12213.12"/>
    <n v="-4311.6158400000013"/>
    <n v="-0.54567026134426555"/>
    <n v="532.66700000000003"/>
    <n v="1025.2280000000001"/>
    <s v="High"/>
  </r>
  <r>
    <s v="ORD-2023-497686"/>
    <x v="140"/>
    <x v="24"/>
    <s v="Q3-2023"/>
    <x v="145"/>
    <d v="2023-07-23T00:00:00"/>
    <n v="20"/>
    <n v="0"/>
    <n v="0"/>
    <x v="0"/>
    <x v="11"/>
    <x v="20"/>
    <s v="Small Business"/>
    <s v="Distributor"/>
    <s v="F. Müller"/>
    <x v="4"/>
    <x v="151"/>
    <n v="1001.96"/>
    <n v="1254.95"/>
    <n v="4.4999999999999998E-2"/>
    <n v="4.4999999999999998E-2"/>
    <n v="18"/>
    <n v="21572.590500000002"/>
    <n v="18035.28"/>
    <n v="3537.3105000000032"/>
    <n v="0.16397244920585699"/>
    <n v="532.66700000000003"/>
    <n v="1025.2280000000001"/>
    <s v="High"/>
  </r>
  <r>
    <s v="ORD-2023-596758"/>
    <x v="141"/>
    <x v="4"/>
    <s v="Q4-2023"/>
    <x v="110"/>
    <d v="2023-12-10T00:00:00"/>
    <n v="3"/>
    <n v="1"/>
    <n v="1"/>
    <x v="1"/>
    <x v="2"/>
    <x v="27"/>
    <s v="Non-Profit"/>
    <s v="Marketplace"/>
    <s v="H. Kim"/>
    <x v="1"/>
    <x v="152"/>
    <n v="1097.5899999999999"/>
    <n v="845.55"/>
    <n v="0.184"/>
    <n v="0.184"/>
    <n v="6"/>
    <n v="4139.8127999999997"/>
    <n v="6585.5399999999991"/>
    <n v="-2445.7271999999994"/>
    <n v="-0.59078207594314402"/>
    <n v="532.66700000000003"/>
    <n v="1025.2280000000001"/>
    <s v="High"/>
  </r>
  <r>
    <s v="ORD-2024-201376"/>
    <x v="142"/>
    <x v="31"/>
    <s v="Q1-2024"/>
    <x v="146"/>
    <d v="2024-03-04T00:00:00"/>
    <n v="15"/>
    <n v="0"/>
    <n v="0"/>
    <x v="0"/>
    <x v="0"/>
    <x v="0"/>
    <s v="Education"/>
    <s v="Direct"/>
    <s v="K. Singh"/>
    <x v="1"/>
    <x v="153"/>
    <n v="928.68"/>
    <n v="2145.17"/>
    <n v="0.13600000000000001"/>
    <n v="0.13600000000000001"/>
    <n v="16"/>
    <n v="29654.83008"/>
    <n v="14858.88"/>
    <n v="14795.950080000001"/>
    <n v="0.49893896003062177"/>
    <n v="532.66700000000003"/>
    <n v="1025.2280000000001"/>
    <s v="High"/>
  </r>
  <r>
    <s v="ORD-2023-842488"/>
    <x v="143"/>
    <x v="32"/>
    <s v="Q4-2023"/>
    <x v="147"/>
    <d v="2023-11-02T00:00:00"/>
    <n v="2"/>
    <n v="1"/>
    <n v="1"/>
    <x v="0"/>
    <x v="0"/>
    <x v="0"/>
    <s v="Education"/>
    <s v="Retail"/>
    <s v="O. Wang"/>
    <x v="6"/>
    <x v="154"/>
    <n v="867.89"/>
    <n v="1349.94"/>
    <n v="0.184"/>
    <n v="0.184"/>
    <n v="10"/>
    <n v="11015.510400000003"/>
    <n v="8678.9"/>
    <n v="2336.6104000000032"/>
    <n v="0.21212003031652557"/>
    <n v="532.66700000000003"/>
    <n v="1025.2280000000001"/>
    <s v="High"/>
  </r>
  <r>
    <s v="ORD-2024-136321"/>
    <x v="144"/>
    <x v="21"/>
    <s v="Q3-2024"/>
    <x v="148"/>
    <d v="2024-08-17T00:00:00"/>
    <n v="10"/>
    <n v="0"/>
    <n v="0"/>
    <x v="1"/>
    <x v="2"/>
    <x v="4"/>
    <s v="Consumer"/>
    <s v="Online"/>
    <s v="K. Singh"/>
    <x v="2"/>
    <x v="155"/>
    <n v="436.58"/>
    <n v="527.48"/>
    <n v="0.111"/>
    <n v="0.111"/>
    <n v="19"/>
    <n v="8909.6646800000017"/>
    <n v="8295.02"/>
    <n v="614.64468000000124"/>
    <n v="6.8986286473802644E-2"/>
    <n v="532.66700000000003"/>
    <n v="1025.2280000000001"/>
    <s v="High"/>
  </r>
  <r>
    <s v="ORD-2024-764468"/>
    <x v="145"/>
    <x v="31"/>
    <s v="Q1-2024"/>
    <x v="149"/>
    <d v="2024-02-21T00:00:00"/>
    <n v="20"/>
    <n v="0"/>
    <n v="0"/>
    <x v="3"/>
    <x v="7"/>
    <x v="28"/>
    <s v="Small Business"/>
    <s v="Marketplace"/>
    <s v="A. Patel"/>
    <x v="2"/>
    <x v="156"/>
    <n v="656.2"/>
    <n v="1467.17"/>
    <n v="1.7999999999999999E-2"/>
    <n v="1.7999999999999999E-2"/>
    <n v="5"/>
    <n v="7203.8047000000006"/>
    <n v="3281"/>
    <n v="3922.8047000000006"/>
    <n v="0.54454623124360946"/>
    <n v="532.66700000000003"/>
    <n v="1025.2280000000001"/>
    <s v="High"/>
  </r>
  <r>
    <s v="ORD-2024-553449"/>
    <x v="38"/>
    <x v="21"/>
    <s v="Q3-2024"/>
    <x v="150"/>
    <d v="2024-09-18T00:00:00"/>
    <n v="22"/>
    <n v="0"/>
    <n v="0"/>
    <x v="1"/>
    <x v="4"/>
    <x v="18"/>
    <s v="Consumer"/>
    <s v="Direct"/>
    <s v="B. Chen"/>
    <x v="0"/>
    <x v="157"/>
    <n v="896.75"/>
    <n v="1651.14"/>
    <n v="2.5000000000000001E-2"/>
    <n v="2.5000000000000001E-2"/>
    <n v="15"/>
    <n v="24147.922500000001"/>
    <n v="13451.25"/>
    <n v="10696.672500000001"/>
    <n v="0.44296450346815552"/>
    <n v="532.66700000000003"/>
    <n v="1025.2280000000001"/>
    <s v="High"/>
  </r>
  <r>
    <s v="ORD-2025-766923"/>
    <x v="146"/>
    <x v="26"/>
    <s v="Q1-2025"/>
    <x v="97"/>
    <d v="2025-02-15T00:00:00"/>
    <n v="0"/>
    <n v="1"/>
    <n v="1"/>
    <x v="3"/>
    <x v="6"/>
    <x v="36"/>
    <s v="Small Business"/>
    <s v="Marketplace"/>
    <s v="L. Okafor"/>
    <x v="6"/>
    <x v="158"/>
    <n v="815.83"/>
    <n v="1982.18"/>
    <n v="0.127"/>
    <n v="0.127"/>
    <n v="6"/>
    <n v="10382.65884"/>
    <n v="4894.9800000000005"/>
    <n v="5487.6788399999996"/>
    <n v="0.52854272923408507"/>
    <n v="532.66700000000003"/>
    <n v="1025.2280000000001"/>
    <s v="High"/>
  </r>
  <r>
    <s v="ORD-2025-418232"/>
    <x v="90"/>
    <x v="28"/>
    <s v="Q3-2025"/>
    <x v="151"/>
    <d v="2025-08-21T00:00:00"/>
    <n v="20"/>
    <n v="0"/>
    <n v="0"/>
    <x v="1"/>
    <x v="9"/>
    <x v="23"/>
    <s v="Corporate"/>
    <s v="Direct"/>
    <s v="I. Johnson"/>
    <x v="3"/>
    <x v="159"/>
    <n v="1220.4100000000001"/>
    <n v="2552.2199999999998"/>
    <n v="0.18099999999999999"/>
    <n v="0.18099999999999999"/>
    <n v="14"/>
    <n v="29263.754519999995"/>
    <n v="17085.740000000002"/>
    <n v="12178.014519999993"/>
    <n v="0.41614668793360271"/>
    <n v="532.66700000000003"/>
    <n v="1025.2280000000001"/>
    <s v="High"/>
  </r>
  <r>
    <s v="ORD-2023-848013"/>
    <x v="147"/>
    <x v="2"/>
    <s v="Q1-2023"/>
    <x v="152"/>
    <d v="2023-03-04T00:00:00"/>
    <n v="12"/>
    <n v="0"/>
    <n v="0"/>
    <x v="1"/>
    <x v="4"/>
    <x v="18"/>
    <s v="Consumer"/>
    <s v="Distributor"/>
    <s v="M. Rossi"/>
    <x v="5"/>
    <x v="160"/>
    <n v="299.75"/>
    <n v="523.01"/>
    <n v="0.157"/>
    <n v="0.157"/>
    <n v="50"/>
    <n v="22044.871499999997"/>
    <n v="14987.5"/>
    <n v="7057.3714999999975"/>
    <n v="0.32013665854210122"/>
    <n v="532.66700000000003"/>
    <n v="1025.2280000000001"/>
    <s v="High"/>
  </r>
  <r>
    <s v="ORD-2024-357368"/>
    <x v="148"/>
    <x v="1"/>
    <s v="Q4-2024"/>
    <x v="153"/>
    <d v="2024-11-24T00:00:00"/>
    <n v="25"/>
    <n v="0"/>
    <n v="0"/>
    <x v="1"/>
    <x v="9"/>
    <x v="14"/>
    <s v="Small Business"/>
    <s v="Online"/>
    <s v="E. Garcia"/>
    <x v="0"/>
    <x v="161"/>
    <n v="811.05"/>
    <n v="1217.71"/>
    <n v="7.1999999999999995E-2"/>
    <n v="7.1999999999999995E-2"/>
    <n v="5"/>
    <n v="5650.1744000000008"/>
    <n v="4055.25"/>
    <n v="1594.9244000000008"/>
    <n v="0.28227879125288602"/>
    <n v="532.66700000000003"/>
    <n v="1025.2280000000001"/>
    <s v="High"/>
  </r>
  <r>
    <s v="ORD-2024-219735"/>
    <x v="149"/>
    <x v="20"/>
    <s v="Q2-2024"/>
    <x v="154"/>
    <d v="2024-04-07T00:00:00"/>
    <n v="4"/>
    <n v="1"/>
    <n v="1"/>
    <x v="2"/>
    <x v="5"/>
    <x v="10"/>
    <s v="Non-Profit"/>
    <s v="Direct"/>
    <s v="N. Brown"/>
    <x v="3"/>
    <x v="162"/>
    <n v="1023.27"/>
    <n v="1343.64"/>
    <n v="0.13300000000000001"/>
    <n v="0.13300000000000001"/>
    <n v="7"/>
    <n v="8154.5511600000009"/>
    <n v="7162.8899999999994"/>
    <n v="991.66116000000147"/>
    <n v="0.12160830688810116"/>
    <n v="532.66700000000003"/>
    <n v="1025.2280000000001"/>
    <s v="High"/>
  </r>
  <r>
    <s v="ORD-2023-240507"/>
    <x v="150"/>
    <x v="22"/>
    <s v="Q1-2023"/>
    <x v="155"/>
    <d v="2023-03-26T00:00:00"/>
    <n v="1"/>
    <n v="1"/>
    <n v="1"/>
    <x v="1"/>
    <x v="2"/>
    <x v="4"/>
    <s v="Small Business"/>
    <s v="Distributor"/>
    <s v="I. Johnson"/>
    <x v="5"/>
    <x v="163"/>
    <n v="135.12"/>
    <n v="301.7"/>
    <n v="0.14000000000000001"/>
    <n v="0.14000000000000001"/>
    <n v="47"/>
    <n v="12194.714"/>
    <n v="6350.64"/>
    <n v="5844.0739999999996"/>
    <n v="0.47923009920527859"/>
    <n v="532.66700000000003"/>
    <n v="1025.2280000000001"/>
    <s v="High"/>
  </r>
  <r>
    <s v="ORD-2024-134084"/>
    <x v="151"/>
    <x v="17"/>
    <s v="Q2-2024"/>
    <x v="156"/>
    <d v="2024-06-16T00:00:00"/>
    <n v="12"/>
    <n v="0"/>
    <n v="0"/>
    <x v="1"/>
    <x v="9"/>
    <x v="23"/>
    <s v="Corporate"/>
    <s v="Retail"/>
    <s v="J. Njeri"/>
    <x v="1"/>
    <x v="164"/>
    <n v="918.42"/>
    <n v="1511.71"/>
    <n v="0.02"/>
    <n v="0.02"/>
    <n v="8"/>
    <n v="11851.806399999999"/>
    <n v="7347.36"/>
    <n v="4504.4463999999998"/>
    <n v="0.38006412254590999"/>
    <n v="532.66700000000003"/>
    <n v="1025.2280000000001"/>
    <s v="High"/>
  </r>
  <r>
    <s v="ORD-2023-884625"/>
    <x v="152"/>
    <x v="2"/>
    <s v="Q1-2023"/>
    <x v="157"/>
    <d v="2023-03-12T00:00:00"/>
    <n v="21"/>
    <n v="0"/>
    <n v="0"/>
    <x v="3"/>
    <x v="6"/>
    <x v="9"/>
    <s v="Small Business"/>
    <s v="Direct"/>
    <s v="L. Okafor"/>
    <x v="5"/>
    <x v="165"/>
    <n v="1234.81"/>
    <n v="2055.2399999999998"/>
    <n v="5.2999999999999999E-2"/>
    <n v="5.2999999999999999E-2"/>
    <n v="44"/>
    <n v="85637.740319999997"/>
    <n v="54331.64"/>
    <n v="31306.100319999998"/>
    <n v="0.36556429680441616"/>
    <n v="532.66700000000003"/>
    <n v="1025.2280000000001"/>
    <s v="High"/>
  </r>
  <r>
    <s v="ORD-2023-157993"/>
    <x v="153"/>
    <x v="12"/>
    <s v="Q2-2023"/>
    <x v="72"/>
    <d v="2023-05-18T00:00:00"/>
    <n v="30"/>
    <n v="0"/>
    <n v="0"/>
    <x v="1"/>
    <x v="9"/>
    <x v="14"/>
    <s v="Non-Profit"/>
    <s v="Retail"/>
    <s v="H. Kim"/>
    <x v="4"/>
    <x v="166"/>
    <n v="329.03"/>
    <n v="391.15"/>
    <n v="0.19700000000000001"/>
    <n v="0.19700000000000001"/>
    <n v="46"/>
    <n v="14448.298699999998"/>
    <n v="15135.38"/>
    <n v="-687.08130000000165"/>
    <n v="-4.7554477815440081E-2"/>
    <n v="532.66700000000003"/>
    <n v="1025.2280000000001"/>
    <s v="High"/>
  </r>
  <r>
    <s v="ORD-2024-329104"/>
    <x v="154"/>
    <x v="7"/>
    <s v="Q2-2024"/>
    <x v="158"/>
    <d v="2024-06-14T00:00:00"/>
    <n v="22"/>
    <n v="0"/>
    <n v="0"/>
    <x v="3"/>
    <x v="7"/>
    <x v="11"/>
    <s v="Small Business"/>
    <s v="Online"/>
    <s v="N. Brown"/>
    <x v="5"/>
    <x v="167"/>
    <n v="1481.74"/>
    <n v="1848.97"/>
    <n v="0.254"/>
    <n v="0.254"/>
    <n v="9"/>
    <n v="12413.98458"/>
    <n v="13335.66"/>
    <n v="-921.67541999999958"/>
    <n v="-7.4244930309072407E-2"/>
    <n v="532.66700000000003"/>
    <n v="1025.2280000000001"/>
    <s v="High"/>
  </r>
  <r>
    <s v="ORD-2023-304451"/>
    <x v="155"/>
    <x v="32"/>
    <s v="Q4-2023"/>
    <x v="159"/>
    <d v="2023-10-23T00:00:00"/>
    <n v="16"/>
    <n v="0"/>
    <n v="0"/>
    <x v="1"/>
    <x v="4"/>
    <x v="34"/>
    <s v="Consumer"/>
    <s v="Retail"/>
    <s v="G. Dubois"/>
    <x v="5"/>
    <x v="168"/>
    <n v="906.81"/>
    <n v="1395.56"/>
    <n v="0.185"/>
    <n v="0.185"/>
    <n v="6"/>
    <n v="6824.2884000000004"/>
    <n v="5440.86"/>
    <n v="1383.4284000000007"/>
    <n v="0.20272126834498974"/>
    <n v="532.66700000000003"/>
    <n v="1025.2280000000001"/>
    <s v="High"/>
  </r>
  <r>
    <s v="ORD-2024-942981"/>
    <x v="156"/>
    <x v="1"/>
    <s v="Q4-2024"/>
    <x v="46"/>
    <d v="2024-11-08T00:00:00"/>
    <n v="30"/>
    <n v="0"/>
    <n v="0"/>
    <x v="3"/>
    <x v="8"/>
    <x v="31"/>
    <s v="Small Business"/>
    <s v="Distributor"/>
    <s v="J. Njeri"/>
    <x v="0"/>
    <x v="169"/>
    <n v="343.85"/>
    <n v="538.04"/>
    <n v="0.13900000000000001"/>
    <n v="0.13900000000000001"/>
    <n v="5"/>
    <n v="2316.2621999999997"/>
    <n v="1719.25"/>
    <n v="597.01219999999967"/>
    <n v="0.25774810813732563"/>
    <n v="532.66700000000003"/>
    <n v="1025.2280000000001"/>
    <s v="High"/>
  </r>
  <r>
    <s v="ORD-2024-605629"/>
    <x v="157"/>
    <x v="14"/>
    <s v="Q3-2024"/>
    <x v="160"/>
    <d v="2024-07-15T00:00:00"/>
    <n v="0"/>
    <n v="1"/>
    <n v="1"/>
    <x v="1"/>
    <x v="2"/>
    <x v="27"/>
    <s v="Small Business"/>
    <s v="Marketplace"/>
    <s v="G. Dubois"/>
    <x v="6"/>
    <x v="170"/>
    <n v="801.77"/>
    <n v="1218.92"/>
    <n v="0.254"/>
    <n v="0.254"/>
    <n v="16"/>
    <n v="14549.029120000001"/>
    <n v="12828.32"/>
    <n v="1720.7091200000013"/>
    <n v="0.11826968698788344"/>
    <n v="532.66700000000003"/>
    <n v="1025.2280000000001"/>
    <s v="High"/>
  </r>
  <r>
    <s v="ORD-2023-450877"/>
    <x v="158"/>
    <x v="27"/>
    <s v="Q3-2023"/>
    <x v="161"/>
    <d v="2023-10-10T00:00:00"/>
    <n v="19"/>
    <n v="0"/>
    <n v="0"/>
    <x v="1"/>
    <x v="2"/>
    <x v="27"/>
    <s v="Education"/>
    <s v="Online"/>
    <s v="D. Smith"/>
    <x v="0"/>
    <x v="171"/>
    <n v="845.63"/>
    <n v="2062.12"/>
    <n v="0.13400000000000001"/>
    <n v="0.13400000000000001"/>
    <n v="5"/>
    <n v="8928.9795999999988"/>
    <n v="4228.1499999999996"/>
    <n v="4700.8295999999991"/>
    <n v="0.52646884757133949"/>
    <n v="532.66700000000003"/>
    <n v="1025.2280000000001"/>
    <s v="High"/>
  </r>
  <r>
    <s v="ORD-2023-286994"/>
    <x v="159"/>
    <x v="2"/>
    <s v="Q1-2023"/>
    <x v="162"/>
    <d v="2023-03-09T00:00:00"/>
    <n v="13"/>
    <n v="0"/>
    <n v="0"/>
    <x v="2"/>
    <x v="10"/>
    <x v="39"/>
    <s v="Enterprise"/>
    <s v="Online"/>
    <s v="M. Rossi"/>
    <x v="0"/>
    <x v="172"/>
    <n v="6.85"/>
    <n v="10.18"/>
    <n v="4.7E-2"/>
    <n v="4.7E-2"/>
    <n v="10"/>
    <n v="97.0154"/>
    <n v="68.5"/>
    <n v="28.5154"/>
    <n v="0.2939265312517394"/>
    <n v="532.66700000000003"/>
    <n v="1025.2280000000001"/>
    <s v="Low"/>
  </r>
  <r>
    <s v="ORD-2025-700847"/>
    <x v="9"/>
    <x v="8"/>
    <s v="Q2-2025"/>
    <x v="19"/>
    <d v="2025-05-24T00:00:00"/>
    <n v="3"/>
    <n v="1"/>
    <n v="1"/>
    <x v="0"/>
    <x v="11"/>
    <x v="20"/>
    <s v="Non-Profit"/>
    <s v="Distributor"/>
    <s v="O. Wang"/>
    <x v="4"/>
    <x v="173"/>
    <n v="1263.8399999999999"/>
    <n v="2281.7199999999998"/>
    <n v="7.8E-2"/>
    <n v="7.8E-2"/>
    <n v="15"/>
    <n v="31556.187599999997"/>
    <n v="18957.599999999999"/>
    <n v="12598.587599999999"/>
    <n v="0.39924301882398494"/>
    <n v="532.66700000000003"/>
    <n v="1025.2280000000001"/>
    <s v="High"/>
  </r>
  <r>
    <s v="ORD-2024-970848"/>
    <x v="154"/>
    <x v="7"/>
    <s v="Q2-2024"/>
    <x v="163"/>
    <d v="2024-06-03T00:00:00"/>
    <n v="11"/>
    <n v="0"/>
    <n v="0"/>
    <x v="0"/>
    <x v="11"/>
    <x v="20"/>
    <s v="Small Business"/>
    <s v="Distributor"/>
    <s v="F. Müller"/>
    <x v="1"/>
    <x v="174"/>
    <n v="180.89"/>
    <n v="249.57"/>
    <n v="2.1999999999999999E-2"/>
    <n v="2.1999999999999999E-2"/>
    <n v="8"/>
    <n v="1952.6356799999999"/>
    <n v="1447.12"/>
    <n v="505.51567999999997"/>
    <n v="0.25888888806948362"/>
    <n v="532.66700000000003"/>
    <n v="1025.2280000000001"/>
    <s v="High"/>
  </r>
  <r>
    <s v="ORD-2025-845715"/>
    <x v="160"/>
    <x v="19"/>
    <s v="Q2-2025"/>
    <x v="164"/>
    <d v="2025-05-04T00:00:00"/>
    <n v="20"/>
    <n v="0"/>
    <n v="0"/>
    <x v="3"/>
    <x v="8"/>
    <x v="12"/>
    <s v="Enterprise"/>
    <s v="Marketplace"/>
    <s v="K. Singh"/>
    <x v="5"/>
    <x v="175"/>
    <n v="1413.87"/>
    <n v="3275"/>
    <n v="0.255"/>
    <n v="0.255"/>
    <n v="38"/>
    <n v="92715.25"/>
    <n v="53727.06"/>
    <n v="38988.19"/>
    <n v="0.42051539525590453"/>
    <n v="532.66700000000003"/>
    <n v="1025.2280000000001"/>
    <s v="High"/>
  </r>
  <r>
    <s v="ORD-2023-664749"/>
    <x v="161"/>
    <x v="25"/>
    <s v="Q3-2023"/>
    <x v="165"/>
    <d v="2023-09-11T00:00:00"/>
    <n v="15"/>
    <n v="0"/>
    <n v="0"/>
    <x v="3"/>
    <x v="8"/>
    <x v="21"/>
    <s v="Consumer"/>
    <s v="Marketplace"/>
    <s v="N. Brown"/>
    <x v="1"/>
    <x v="176"/>
    <n v="943.79"/>
    <n v="1913.76"/>
    <n v="9.0999999999999998E-2"/>
    <n v="9.0999999999999998E-2"/>
    <n v="9"/>
    <n v="15656.47056"/>
    <n v="8494.11"/>
    <n v="7162.3605599999992"/>
    <n v="0.45746967891338081"/>
    <n v="532.66700000000003"/>
    <n v="1025.2280000000001"/>
    <s v="High"/>
  </r>
  <r>
    <s v="ORD-2024-960952"/>
    <x v="162"/>
    <x v="31"/>
    <s v="Q1-2024"/>
    <x v="149"/>
    <d v="2024-02-21T00:00:00"/>
    <n v="18"/>
    <n v="0"/>
    <n v="0"/>
    <x v="3"/>
    <x v="6"/>
    <x v="36"/>
    <s v="Corporate"/>
    <s v="Retail"/>
    <s v="H. Kim"/>
    <x v="0"/>
    <x v="177"/>
    <n v="39.229999999999997"/>
    <n v="30.09"/>
    <n v="0.17699999999999999"/>
    <n v="0.17699999999999999"/>
    <n v="13"/>
    <n v="321.93290999999999"/>
    <n v="509.98999999999995"/>
    <n v="-188.05708999999996"/>
    <n v="-0.58414993981199359"/>
    <n v="532.66700000000003"/>
    <n v="1025.2280000000001"/>
    <s v="Low"/>
  </r>
  <r>
    <s v="ORD-2023-987700"/>
    <x v="163"/>
    <x v="12"/>
    <s v="Q2-2023"/>
    <x v="166"/>
    <d v="2023-04-16T00:00:00"/>
    <n v="11"/>
    <n v="0"/>
    <n v="0"/>
    <x v="2"/>
    <x v="3"/>
    <x v="26"/>
    <s v="Non-Profit"/>
    <s v="Online"/>
    <s v="O. Wang"/>
    <x v="5"/>
    <x v="178"/>
    <n v="213.1"/>
    <n v="501.31"/>
    <n v="5.6000000000000001E-2"/>
    <n v="5.6000000000000001E-2"/>
    <n v="15"/>
    <n v="7098.5495999999994"/>
    <n v="3196.5"/>
    <n v="3902.0495999999994"/>
    <n v="0.54969674368409005"/>
    <n v="532.66700000000003"/>
    <n v="1025.2280000000001"/>
    <s v="High"/>
  </r>
  <r>
    <s v="ORD-2025-652467"/>
    <x v="164"/>
    <x v="28"/>
    <s v="Q3-2025"/>
    <x v="59"/>
    <d v="2025-09-12T00:00:00"/>
    <n v="22"/>
    <n v="0"/>
    <n v="0"/>
    <x v="1"/>
    <x v="9"/>
    <x v="14"/>
    <s v="Education"/>
    <s v="Retail"/>
    <s v="B. Chen"/>
    <x v="1"/>
    <x v="179"/>
    <n v="352.66"/>
    <n v="411.18"/>
    <n v="0.17299999999999999"/>
    <n v="0.17299999999999999"/>
    <n v="13"/>
    <n v="4420.5961799999995"/>
    <n v="4584.58"/>
    <n v="-163.98382000000038"/>
    <n v="-3.7095408248758066E-2"/>
    <n v="532.66700000000003"/>
    <n v="1025.2280000000001"/>
    <s v="High"/>
  </r>
  <r>
    <s v="ORD-2025-667201"/>
    <x v="165"/>
    <x v="11"/>
    <s v="Q3-2025"/>
    <x v="167"/>
    <d v="2025-09-18T00:00:00"/>
    <n v="3"/>
    <n v="1"/>
    <n v="1"/>
    <x v="2"/>
    <x v="5"/>
    <x v="30"/>
    <s v="Non-Profit"/>
    <s v="Direct"/>
    <s v="L. Okafor"/>
    <x v="6"/>
    <x v="180"/>
    <n v="5.5"/>
    <n v="5.92"/>
    <n v="0.21199999999999999"/>
    <n v="0.21199999999999999"/>
    <n v="4"/>
    <n v="18.659839999999999"/>
    <n v="22"/>
    <n v="-3.3401600000000009"/>
    <n v="-0.17900260666758133"/>
    <n v="532.66700000000003"/>
    <n v="1025.2280000000001"/>
    <s v="Low"/>
  </r>
  <r>
    <s v="ORD-2024-237478"/>
    <x v="166"/>
    <x v="1"/>
    <s v="Q4-2024"/>
    <x v="168"/>
    <d v="2024-10-11T00:00:00"/>
    <n v="8"/>
    <n v="0"/>
    <n v="0"/>
    <x v="1"/>
    <x v="9"/>
    <x v="37"/>
    <s v="Enterprise"/>
    <s v="Direct"/>
    <s v="B. Chen"/>
    <x v="3"/>
    <x v="181"/>
    <n v="1132.6099999999999"/>
    <n v="2206.63"/>
    <n v="6.3E-2"/>
    <n v="6.3E-2"/>
    <n v="20"/>
    <n v="41352.246200000009"/>
    <n v="22652.199999999997"/>
    <n v="18700.046200000012"/>
    <n v="0.45221355351671338"/>
    <n v="532.66700000000003"/>
    <n v="1025.2280000000001"/>
    <s v="High"/>
  </r>
  <r>
    <s v="ORD-2025-898843"/>
    <x v="167"/>
    <x v="26"/>
    <s v="Q1-2025"/>
    <x v="169"/>
    <d v="2025-03-04T00:00:00"/>
    <n v="30"/>
    <n v="0"/>
    <n v="0"/>
    <x v="1"/>
    <x v="2"/>
    <x v="4"/>
    <s v="Education"/>
    <s v="Distributor"/>
    <s v="L. Okafor"/>
    <x v="6"/>
    <x v="182"/>
    <n v="766.59"/>
    <n v="1912.8"/>
    <n v="0.19600000000000001"/>
    <n v="0.19600000000000001"/>
    <n v="5"/>
    <n v="7689.4560000000001"/>
    <n v="3832.9500000000003"/>
    <n v="3856.5059999999999"/>
    <n v="0.50153170783472845"/>
    <n v="532.66700000000003"/>
    <n v="1025.2280000000001"/>
    <s v="High"/>
  </r>
  <r>
    <s v="ORD-2023-334213"/>
    <x v="66"/>
    <x v="25"/>
    <s v="Q3-2023"/>
    <x v="170"/>
    <d v="2023-08-23T00:00:00"/>
    <n v="4"/>
    <n v="1"/>
    <n v="1"/>
    <x v="0"/>
    <x v="1"/>
    <x v="7"/>
    <s v="Small Business"/>
    <s v="Online"/>
    <s v="J. Njeri"/>
    <x v="5"/>
    <x v="183"/>
    <n v="790.63"/>
    <n v="1382.31"/>
    <n v="0.10100000000000001"/>
    <n v="0.10100000000000001"/>
    <n v="7"/>
    <n v="8698.8768300000011"/>
    <n v="5534.41"/>
    <n v="3164.4668300000012"/>
    <n v="0.36377878338116448"/>
    <n v="532.66700000000003"/>
    <n v="1025.2280000000001"/>
    <s v="High"/>
  </r>
  <r>
    <s v="ORD-2024-640340"/>
    <x v="168"/>
    <x v="1"/>
    <s v="Q4-2024"/>
    <x v="171"/>
    <d v="2024-10-29T00:00:00"/>
    <n v="7"/>
    <n v="1"/>
    <n v="1"/>
    <x v="0"/>
    <x v="1"/>
    <x v="1"/>
    <s v="Enterprise"/>
    <s v="Distributor"/>
    <s v="M. Rossi"/>
    <x v="5"/>
    <x v="184"/>
    <n v="1023.06"/>
    <n v="1355.61"/>
    <n v="0.153"/>
    <n v="0.153"/>
    <n v="23"/>
    <n v="26408.63841"/>
    <n v="23530.379999999997"/>
    <n v="2878.2584100000022"/>
    <n v="0.10898927711888809"/>
    <n v="532.66700000000003"/>
    <n v="1025.2280000000001"/>
    <s v="High"/>
  </r>
  <r>
    <s v="ORD-2023-399631"/>
    <x v="169"/>
    <x v="23"/>
    <s v="Q2-2023"/>
    <x v="172"/>
    <d v="2023-07-21T00:00:00"/>
    <n v="29"/>
    <n v="0"/>
    <n v="0"/>
    <x v="3"/>
    <x v="7"/>
    <x v="17"/>
    <s v="Corporate"/>
    <s v="Retail"/>
    <s v="J. Njeri"/>
    <x v="6"/>
    <x v="185"/>
    <n v="734.34"/>
    <n v="887.9"/>
    <n v="2.5000000000000001E-2"/>
    <n v="2.5000000000000001E-2"/>
    <n v="12"/>
    <n v="10388.429999999998"/>
    <n v="8812.08"/>
    <n v="1576.3499999999985"/>
    <n v="0.15174092716608753"/>
    <n v="532.66700000000003"/>
    <n v="1025.2280000000001"/>
    <s v="High"/>
  </r>
  <r>
    <s v="ORD-2025-542939"/>
    <x v="170"/>
    <x v="10"/>
    <s v="Q1-2025"/>
    <x v="173"/>
    <d v="2025-02-08T00:00:00"/>
    <n v="26"/>
    <n v="0"/>
    <n v="0"/>
    <x v="3"/>
    <x v="7"/>
    <x v="28"/>
    <s v="Non-Profit"/>
    <m/>
    <s v="E. Garcia"/>
    <x v="5"/>
    <x v="186"/>
    <n v="594.74"/>
    <n v="1020.69"/>
    <n v="0.21099999999999999"/>
    <n v="0.21099999999999999"/>
    <n v="6"/>
    <n v="4831.9464600000001"/>
    <n v="3568.44"/>
    <n v="1263.5064600000001"/>
    <n v="0.26149016146176424"/>
    <n v="532.66700000000003"/>
    <n v="1025.2280000000001"/>
    <s v="High"/>
  </r>
  <r>
    <s v="ORD-2023-825836"/>
    <x v="171"/>
    <x v="24"/>
    <s v="Q3-2023"/>
    <x v="174"/>
    <d v="2023-07-31T00:00:00"/>
    <n v="12"/>
    <n v="0"/>
    <n v="0"/>
    <x v="2"/>
    <x v="5"/>
    <x v="30"/>
    <s v="Corporate"/>
    <s v="Retail"/>
    <s v="C. Otieno"/>
    <x v="5"/>
    <x v="187"/>
    <n v="1334.64"/>
    <n v="2273.42"/>
    <n v="0.11799999999999999"/>
    <n v="0.11799999999999999"/>
    <n v="14"/>
    <n v="28072.190160000002"/>
    <n v="18684.960000000003"/>
    <n v="9387.2301599999992"/>
    <n v="0.33439607335575267"/>
    <n v="532.66700000000003"/>
    <n v="1025.2280000000001"/>
    <s v="High"/>
  </r>
  <r>
    <s v="ORD-2024-503082"/>
    <x v="172"/>
    <x v="7"/>
    <s v="Q2-2024"/>
    <x v="105"/>
    <d v="2024-06-08T00:00:00"/>
    <n v="20"/>
    <n v="0"/>
    <n v="0"/>
    <x v="2"/>
    <x v="5"/>
    <x v="10"/>
    <s v="Small Business"/>
    <s v="Retail"/>
    <s v="E. Garcia"/>
    <x v="5"/>
    <x v="188"/>
    <n v="1075.9000000000001"/>
    <n v="1242.1500000000001"/>
    <n v="1.2E-2"/>
    <n v="1.2E-2"/>
    <n v="7"/>
    <n v="8590.7094000000016"/>
    <n v="7531.3000000000011"/>
    <n v="1059.4094000000005"/>
    <n v="0.12332036280961853"/>
    <n v="532.66700000000003"/>
    <n v="1025.2280000000001"/>
    <s v="High"/>
  </r>
  <r>
    <s v="ORD-2024-760799"/>
    <x v="162"/>
    <x v="31"/>
    <s v="Q1-2024"/>
    <x v="175"/>
    <d v="2024-02-19T00:00:00"/>
    <n v="16"/>
    <n v="0"/>
    <n v="0"/>
    <x v="1"/>
    <x v="9"/>
    <x v="14"/>
    <s v="Small Business"/>
    <s v="Online"/>
    <s v="H. Kim"/>
    <x v="4"/>
    <x v="189"/>
    <n v="993.75"/>
    <n v="1310.29"/>
    <n v="0.215"/>
    <n v="0.215"/>
    <n v="19"/>
    <n v="19542.975350000001"/>
    <n v="18881.25"/>
    <n v="661.72535000000062"/>
    <n v="3.3860010471742245E-2"/>
    <n v="532.66700000000003"/>
    <n v="1025.2280000000001"/>
    <s v="High"/>
  </r>
  <r>
    <s v="ORD-2023-197661"/>
    <x v="173"/>
    <x v="25"/>
    <s v="Q3-2023"/>
    <x v="176"/>
    <d v="2023-08-22T00:00:00"/>
    <n v="14"/>
    <n v="0"/>
    <n v="0"/>
    <x v="3"/>
    <x v="8"/>
    <x v="12"/>
    <s v="Non-Profit"/>
    <s v="Direct"/>
    <s v="N. Brown"/>
    <x v="5"/>
    <x v="190"/>
    <n v="446.69"/>
    <n v="967.25"/>
    <n v="9.4E-2"/>
    <n v="9.4E-2"/>
    <n v="10"/>
    <n v="8763.2849999999999"/>
    <n v="4466.8999999999996"/>
    <n v="4296.3850000000002"/>
    <n v="0.49027105702941309"/>
    <n v="532.66700000000003"/>
    <n v="1025.2280000000001"/>
    <s v="High"/>
  </r>
  <r>
    <s v="ORD-2024-212990"/>
    <x v="174"/>
    <x v="21"/>
    <s v="Q3-2024"/>
    <x v="177"/>
    <d v="2024-09-03T00:00:00"/>
    <n v="22"/>
    <n v="0"/>
    <n v="0"/>
    <x v="2"/>
    <x v="10"/>
    <x v="35"/>
    <s v="Consumer"/>
    <s v="Distributor"/>
    <s v="I. Johnson"/>
    <x v="4"/>
    <x v="191"/>
    <n v="797.8"/>
    <n v="886.22"/>
    <n v="0.23599999999999999"/>
    <n v="0.23599999999999999"/>
    <n v="36"/>
    <n v="24374.594880000001"/>
    <n v="28720.799999999999"/>
    <n v="-4346.2051199999987"/>
    <n v="-0.17830881462428633"/>
    <n v="532.66700000000003"/>
    <n v="1025.2280000000001"/>
    <s v="High"/>
  </r>
  <r>
    <s v="ORD-2023-925146"/>
    <x v="175"/>
    <x v="32"/>
    <s v="Q4-2023"/>
    <x v="178"/>
    <d v="2023-11-13T00:00:00"/>
    <n v="29"/>
    <n v="0"/>
    <n v="0"/>
    <x v="1"/>
    <x v="9"/>
    <x v="14"/>
    <s v="Non-Profit"/>
    <s v="Distributor"/>
    <s v="J. Njeri"/>
    <x v="1"/>
    <x v="192"/>
    <n v="986.44"/>
    <n v="790.61"/>
    <n v="7.1999999999999995E-2"/>
    <n v="7.1999999999999995E-2"/>
    <n v="6"/>
    <n v="4402.1164799999997"/>
    <n v="5918.64"/>
    <n v="-1516.5235200000006"/>
    <n v="-0.34449872621271499"/>
    <n v="532.66700000000003"/>
    <n v="1025.2280000000001"/>
    <s v="High"/>
  </r>
  <r>
    <s v="ORD-2023-177794"/>
    <x v="176"/>
    <x v="15"/>
    <s v="Q2-2023"/>
    <x v="179"/>
    <d v="2023-05-26T00:00:00"/>
    <n v="22"/>
    <n v="0"/>
    <n v="0"/>
    <x v="2"/>
    <x v="10"/>
    <x v="24"/>
    <s v="Enterprise"/>
    <s v="Online"/>
    <s v="J. Njeri"/>
    <x v="2"/>
    <x v="193"/>
    <n v="249.71"/>
    <n v="361.33"/>
    <n v="9.4E-2"/>
    <n v="9.4E-2"/>
    <n v="12"/>
    <n v="3928.3797600000003"/>
    <n v="2996.52"/>
    <n v="931.85976000000028"/>
    <n v="0.23721223937881206"/>
    <n v="532.66700000000003"/>
    <n v="1025.2280000000001"/>
    <s v="High"/>
  </r>
  <r>
    <s v="ORD-2024-444710"/>
    <x v="177"/>
    <x v="29"/>
    <s v="Q3-2024"/>
    <x v="180"/>
    <d v="2024-10-01T00:00:00"/>
    <n v="9"/>
    <n v="0"/>
    <n v="0"/>
    <x v="2"/>
    <x v="5"/>
    <x v="8"/>
    <s v="Non-Profit"/>
    <s v="Online"/>
    <s v="K. Singh"/>
    <x v="5"/>
    <x v="194"/>
    <n v="1378.8"/>
    <n v="1952.04"/>
    <n v="0.159"/>
    <n v="0.159"/>
    <n v="19"/>
    <n v="31191.64716"/>
    <n v="26197.200000000001"/>
    <n v="4994.4471599999997"/>
    <n v="0.16012130216723058"/>
    <n v="532.66700000000003"/>
    <n v="1025.2280000000001"/>
    <s v="High"/>
  </r>
  <r>
    <s v="ORD-2024-668926"/>
    <x v="1"/>
    <x v="1"/>
    <s v="Q4-2024"/>
    <x v="40"/>
    <d v="2024-11-14T00:00:00"/>
    <n v="22"/>
    <n v="0"/>
    <n v="0"/>
    <x v="1"/>
    <x v="2"/>
    <x v="4"/>
    <s v="Non-Profit"/>
    <s v="Direct"/>
    <s v="B. Chen"/>
    <x v="3"/>
    <x v="195"/>
    <n v="1406.4"/>
    <n v="1564.76"/>
    <n v="0.185"/>
    <n v="0.185"/>
    <n v="17"/>
    <n v="21679.749799999998"/>
    <n v="23908.800000000003"/>
    <n v="-2229.0502000000051"/>
    <n v="-0.10281715520536151"/>
    <n v="532.66700000000003"/>
    <n v="1025.2280000000001"/>
    <s v="High"/>
  </r>
  <r>
    <s v="ORD-2024-968374"/>
    <x v="178"/>
    <x v="31"/>
    <s v="Q1-2024"/>
    <x v="181"/>
    <d v="2024-03-03T00:00:00"/>
    <n v="21"/>
    <n v="0"/>
    <n v="0"/>
    <x v="0"/>
    <x v="0"/>
    <x v="0"/>
    <s v="Enterprise"/>
    <s v="Online"/>
    <s v="B. Chen"/>
    <x v="3"/>
    <x v="196"/>
    <n v="516.86"/>
    <n v="852.54"/>
    <n v="5.0999999999999997E-2"/>
    <n v="5.0999999999999997E-2"/>
    <n v="14"/>
    <n v="11326.846439999999"/>
    <n v="7236.04"/>
    <n v="4090.8064399999994"/>
    <n v="0.36116022775355994"/>
    <n v="532.66700000000003"/>
    <n v="1025.2280000000001"/>
    <s v="High"/>
  </r>
  <r>
    <s v="ORD-2023-575584"/>
    <x v="179"/>
    <x v="5"/>
    <s v="Q1-2023"/>
    <x v="182"/>
    <d v="2023-02-21T00:00:00"/>
    <n v="22"/>
    <n v="0"/>
    <n v="0"/>
    <x v="3"/>
    <x v="6"/>
    <x v="22"/>
    <s v="Small Business"/>
    <s v="Marketplace"/>
    <s v="G. Dubois"/>
    <x v="2"/>
    <x v="197"/>
    <n v="1142.8800000000001"/>
    <n v="1465.29"/>
    <n v="0.186"/>
    <n v="0.186"/>
    <n v="7"/>
    <n v="8349.2224200000001"/>
    <n v="8000.1600000000008"/>
    <n v="349.06241999999929"/>
    <n v="4.1807775915017401E-2"/>
    <n v="532.66700000000003"/>
    <n v="1025.2280000000001"/>
    <s v="High"/>
  </r>
  <r>
    <s v="ORD-2023-701153"/>
    <x v="27"/>
    <x v="12"/>
    <s v="Q2-2023"/>
    <x v="183"/>
    <d v="2023-05-13T00:00:00"/>
    <n v="29"/>
    <n v="0"/>
    <n v="0"/>
    <x v="3"/>
    <x v="6"/>
    <x v="36"/>
    <s v="Consumer"/>
    <s v="Direct"/>
    <s v="J. Njeri"/>
    <x v="1"/>
    <x v="198"/>
    <n v="1320.33"/>
    <n v="2645.23"/>
    <n v="0.155"/>
    <n v="0.155"/>
    <n v="25"/>
    <n v="55880.483749999999"/>
    <n v="33008.25"/>
    <n v="22872.233749999999"/>
    <n v="0.40930629470436536"/>
    <n v="532.66700000000003"/>
    <n v="1025.2280000000001"/>
    <s v="High"/>
  </r>
  <r>
    <s v="ORD-2023-382017"/>
    <x v="180"/>
    <x v="5"/>
    <s v="Q1-2023"/>
    <x v="184"/>
    <d v="2023-01-19T00:00:00"/>
    <n v="6"/>
    <n v="1"/>
    <n v="1"/>
    <x v="2"/>
    <x v="10"/>
    <x v="15"/>
    <s v="Corporate"/>
    <s v="Direct"/>
    <s v="H. Kim"/>
    <x v="3"/>
    <x v="199"/>
    <n v="833.57"/>
    <n v="881.57"/>
    <n v="5.7000000000000002E-2"/>
    <n v="5.7000000000000002E-2"/>
    <n v="18"/>
    <n v="14963.769179999999"/>
    <n v="15004.26"/>
    <n v="-40.490820000000895"/>
    <n v="-2.7059238560107821E-3"/>
    <n v="532.66700000000003"/>
    <n v="1025.2280000000001"/>
    <s v="High"/>
  </r>
  <r>
    <s v="ORD-2024-999607"/>
    <x v="181"/>
    <x v="9"/>
    <s v="Q1-2024"/>
    <x v="185"/>
    <d v="2024-01-29T00:00:00"/>
    <n v="17"/>
    <n v="0"/>
    <n v="0"/>
    <x v="2"/>
    <x v="10"/>
    <x v="15"/>
    <s v="Education"/>
    <s v="Distributor"/>
    <s v="A. Patel"/>
    <x v="1"/>
    <x v="200"/>
    <n v="493.76"/>
    <n v="625.04"/>
    <n v="0.25800000000000001"/>
    <n v="0.25800000000000001"/>
    <n v="10"/>
    <n v="4637.7968000000001"/>
    <n v="4937.6000000000004"/>
    <n v="-299.80320000000029"/>
    <n v="-6.464345311549663E-2"/>
    <n v="532.66700000000003"/>
    <n v="1025.2280000000001"/>
    <s v="High"/>
  </r>
  <r>
    <s v="ORD-2023-133848"/>
    <x v="182"/>
    <x v="25"/>
    <s v="Q3-2023"/>
    <x v="66"/>
    <d v="2023-09-07T00:00:00"/>
    <n v="23"/>
    <n v="0"/>
    <n v="0"/>
    <x v="2"/>
    <x v="10"/>
    <x v="39"/>
    <s v="Enterprise"/>
    <s v="Online"/>
    <s v="K. Singh"/>
    <x v="3"/>
    <x v="201"/>
    <n v="590.33000000000004"/>
    <n v="973.04"/>
    <n v="0"/>
    <n v="0"/>
    <n v="26"/>
    <n v="25299.040000000001"/>
    <n v="15348.580000000002"/>
    <n v="9950.4599999999991"/>
    <n v="0.39331373838691108"/>
    <n v="532.66700000000003"/>
    <n v="1025.2280000000001"/>
    <s v="High"/>
  </r>
  <r>
    <s v="ORD-2023-586275"/>
    <x v="183"/>
    <x v="5"/>
    <s v="Q1-2023"/>
    <x v="186"/>
    <d v="2023-02-03T00:00:00"/>
    <n v="14"/>
    <n v="0"/>
    <n v="0"/>
    <x v="0"/>
    <x v="0"/>
    <x v="0"/>
    <s v="Corporate"/>
    <s v="Retail"/>
    <s v="M. Rossi"/>
    <x v="2"/>
    <x v="202"/>
    <n v="884.36"/>
    <n v="1545.34"/>
    <n v="0.24299999999999999"/>
    <n v="0.24299999999999999"/>
    <n v="41"/>
    <n v="47962.717579999997"/>
    <n v="36258.76"/>
    <n v="11703.957579999995"/>
    <n v="0.24402198562827965"/>
    <n v="532.66700000000003"/>
    <n v="1025.2280000000001"/>
    <s v="High"/>
  </r>
  <r>
    <s v="ORD-2025-964661"/>
    <x v="184"/>
    <x v="26"/>
    <s v="Q1-2025"/>
    <x v="187"/>
    <d v="2025-02-25T00:00:00"/>
    <n v="21"/>
    <n v="0"/>
    <n v="0"/>
    <x v="3"/>
    <x v="8"/>
    <x v="12"/>
    <s v="Corporate"/>
    <s v="Marketplace"/>
    <s v="D. Smith"/>
    <x v="5"/>
    <x v="203"/>
    <n v="1016.32"/>
    <n v="2253.42"/>
    <n v="5.5E-2"/>
    <n v="5.5E-2"/>
    <n v="12"/>
    <n v="25553.782800000001"/>
    <n v="12195.84"/>
    <n v="13357.942800000001"/>
    <n v="0.52273837124419797"/>
    <n v="532.66700000000003"/>
    <n v="1025.2280000000001"/>
    <s v="High"/>
  </r>
  <r>
    <s v="ORD-2023-390998"/>
    <x v="43"/>
    <x v="12"/>
    <s v="Q2-2023"/>
    <x v="188"/>
    <d v="2023-04-28T00:00:00"/>
    <n v="9"/>
    <n v="0"/>
    <n v="0"/>
    <x v="3"/>
    <x v="6"/>
    <x v="9"/>
    <s v="Education"/>
    <s v="Online"/>
    <s v="E. Garcia"/>
    <x v="5"/>
    <x v="204"/>
    <n v="1178.42"/>
    <n v="2446.56"/>
    <n v="2.9000000000000001E-2"/>
    <n v="2.9000000000000001E-2"/>
    <n v="11"/>
    <n v="26131.70736"/>
    <n v="12962.62"/>
    <n v="13169.08736"/>
    <n v="0.5039505141618883"/>
    <n v="532.66700000000003"/>
    <n v="1025.2280000000001"/>
    <s v="High"/>
  </r>
  <r>
    <s v="ORD-2023-920483"/>
    <x v="185"/>
    <x v="24"/>
    <s v="Q3-2023"/>
    <x v="47"/>
    <d v="2023-08-01T00:00:00"/>
    <n v="30"/>
    <n v="0"/>
    <n v="0"/>
    <x v="3"/>
    <x v="8"/>
    <x v="12"/>
    <s v="Small Business"/>
    <s v="Retail"/>
    <s v="B. Chen"/>
    <x v="0"/>
    <x v="205"/>
    <n v="137.46"/>
    <n v="188.3"/>
    <n v="3.7999999999999999E-2"/>
    <n v="3.7999999999999999E-2"/>
    <n v="37"/>
    <n v="6702.3501999999999"/>
    <n v="5086.0200000000004"/>
    <n v="1616.3301999999994"/>
    <n v="0.24115872071262398"/>
    <n v="532.66700000000003"/>
    <n v="1025.2280000000001"/>
    <s v="High"/>
  </r>
  <r>
    <s v="ORD-2025-146850"/>
    <x v="51"/>
    <x v="10"/>
    <s v="Q1-2025"/>
    <x v="189"/>
    <d v="2025-02-14T00:00:00"/>
    <n v="24"/>
    <n v="0"/>
    <n v="0"/>
    <x v="0"/>
    <x v="0"/>
    <x v="2"/>
    <s v="Small Business"/>
    <s v="Retail"/>
    <s v="J. Njeri"/>
    <x v="6"/>
    <x v="206"/>
    <n v="1030.44"/>
    <n v="2562.84"/>
    <n v="0.14799999999999999"/>
    <n v="0.14799999999999999"/>
    <n v="13"/>
    <n v="28386.015839999996"/>
    <n v="13395.720000000001"/>
    <n v="14990.295839999995"/>
    <n v="0.52808734852027039"/>
    <n v="532.66700000000003"/>
    <n v="1025.2280000000001"/>
    <s v="High"/>
  </r>
  <r>
    <s v="ORD-2024-687100"/>
    <x v="186"/>
    <x v="29"/>
    <s v="Q3-2024"/>
    <x v="190"/>
    <d v="2024-10-07T00:00:00"/>
    <n v="27"/>
    <n v="0"/>
    <n v="0"/>
    <x v="0"/>
    <x v="0"/>
    <x v="0"/>
    <s v="Consumer"/>
    <s v="Retail"/>
    <s v="L. Okafor"/>
    <x v="1"/>
    <x v="207"/>
    <n v="1248.3900000000001"/>
    <n v="1805.11"/>
    <n v="0.20300000000000001"/>
    <n v="0.20300000000000001"/>
    <n v="11"/>
    <n v="15825.399369999997"/>
    <n v="13732.29"/>
    <n v="2093.1093699999965"/>
    <n v="0.13226265707820786"/>
    <n v="532.66700000000003"/>
    <n v="1025.2280000000001"/>
    <s v="High"/>
  </r>
  <r>
    <s v="ORD-2025-629393"/>
    <x v="187"/>
    <x v="13"/>
    <s v="Q3-2025"/>
    <x v="191"/>
    <d v="2025-08-07T00:00:00"/>
    <n v="17"/>
    <n v="0"/>
    <n v="0"/>
    <x v="0"/>
    <x v="1"/>
    <x v="3"/>
    <s v="Enterprise"/>
    <s v="Direct"/>
    <s v="M. Rossi"/>
    <x v="6"/>
    <x v="208"/>
    <n v="1204.95"/>
    <n v="2065.73"/>
    <n v="0.13600000000000001"/>
    <n v="0.13600000000000001"/>
    <n v="10"/>
    <n v="17847.907199999998"/>
    <n v="12049.5"/>
    <n v="5798.4071999999978"/>
    <n v="0.32487882949100039"/>
    <n v="532.66700000000003"/>
    <n v="1025.2280000000001"/>
    <s v="High"/>
  </r>
  <r>
    <s v="ORD-2024-686712"/>
    <x v="188"/>
    <x v="1"/>
    <s v="Q4-2024"/>
    <x v="192"/>
    <d v="2024-10-23T00:00:00"/>
    <n v="21"/>
    <n v="0"/>
    <n v="0"/>
    <x v="0"/>
    <x v="11"/>
    <x v="25"/>
    <s v="Corporate"/>
    <s v="Marketplace"/>
    <s v="A. Patel"/>
    <x v="0"/>
    <x v="209"/>
    <n v="1095.6099999999999"/>
    <n v="2366.5100000000002"/>
    <n v="0.152"/>
    <n v="0.152"/>
    <n v="9"/>
    <n v="18061.204320000004"/>
    <n v="9860.49"/>
    <n v="8200.7143200000046"/>
    <n v="0.4540513564158607"/>
    <n v="532.66700000000003"/>
    <n v="1025.2280000000001"/>
    <s v="High"/>
  </r>
  <r>
    <s v="ORD-2025-586799"/>
    <x v="189"/>
    <x v="13"/>
    <s v="Q3-2025"/>
    <x v="193"/>
    <d v="2025-08-04T00:00:00"/>
    <n v="21"/>
    <n v="0"/>
    <n v="0"/>
    <x v="2"/>
    <x v="3"/>
    <x v="19"/>
    <s v="Consumer"/>
    <s v="Online"/>
    <s v="H. Kim"/>
    <x v="5"/>
    <x v="210"/>
    <n v="90.3"/>
    <n v="131.76"/>
    <n v="0.10199999999999999"/>
    <n v="0.10199999999999999"/>
    <n v="15"/>
    <n v="1774.8072"/>
    <n v="1354.5"/>
    <n v="420.30719999999997"/>
    <n v="0.23681851189244668"/>
    <n v="532.66700000000003"/>
    <n v="1025.2280000000001"/>
    <s v="High"/>
  </r>
  <r>
    <s v="ORD-2024-988736"/>
    <x v="190"/>
    <x v="29"/>
    <s v="Q3-2024"/>
    <x v="180"/>
    <d v="2024-10-01T00:00:00"/>
    <n v="22"/>
    <n v="0"/>
    <n v="0"/>
    <x v="1"/>
    <x v="9"/>
    <x v="14"/>
    <s v="Consumer"/>
    <s v="Direct"/>
    <s v="L. Okafor"/>
    <x v="1"/>
    <x v="211"/>
    <n v="1166.18"/>
    <n v="1335.02"/>
    <n v="0.128"/>
    <n v="0.128"/>
    <n v="6"/>
    <n v="6984.8246399999998"/>
    <n v="6997.08"/>
    <n v="-12.25536000000011"/>
    <n v="-1.7545694604582242E-3"/>
    <n v="532.66700000000003"/>
    <n v="1025.2280000000001"/>
    <s v="High"/>
  </r>
  <r>
    <s v="ORD-2025-564184"/>
    <x v="191"/>
    <x v="10"/>
    <s v="Q1-2025"/>
    <x v="194"/>
    <d v="2025-02-06T00:00:00"/>
    <n v="8"/>
    <n v="0"/>
    <n v="0"/>
    <x v="0"/>
    <x v="0"/>
    <x v="0"/>
    <s v="Education"/>
    <s v="Retail"/>
    <s v="B. Chen"/>
    <x v="3"/>
    <x v="212"/>
    <n v="1445.27"/>
    <n v="2691.45"/>
    <n v="0"/>
    <n v="0"/>
    <n v="9"/>
    <n v="24223.05"/>
    <n v="13007.43"/>
    <n v="11215.619999999999"/>
    <n v="0.46301436028906351"/>
    <n v="532.66700000000003"/>
    <n v="1025.2280000000001"/>
    <s v="High"/>
  </r>
  <r>
    <s v="ORD-2023-653343"/>
    <x v="192"/>
    <x v="30"/>
    <s v="Q4-2023"/>
    <x v="195"/>
    <d v="2023-11-28T00:00:00"/>
    <n v="18"/>
    <n v="0"/>
    <n v="0"/>
    <x v="2"/>
    <x v="5"/>
    <x v="10"/>
    <s v="Education"/>
    <s v="Marketplace"/>
    <s v="L. Okafor"/>
    <x v="6"/>
    <x v="213"/>
    <n v="388.51"/>
    <n v="776.46"/>
    <n v="0.157"/>
    <n v="0.157"/>
    <n v="12"/>
    <n v="7854.6693599999999"/>
    <n v="4662.12"/>
    <n v="3192.54936"/>
    <n v="0.40645241876864946"/>
    <n v="532.66700000000003"/>
    <n v="1025.2280000000001"/>
    <s v="High"/>
  </r>
  <r>
    <s v="ORD-2024-197852"/>
    <x v="193"/>
    <x v="31"/>
    <s v="Q1-2024"/>
    <x v="196"/>
    <d v="2024-03-30T00:00:00"/>
    <n v="30"/>
    <n v="0"/>
    <n v="0"/>
    <x v="1"/>
    <x v="2"/>
    <x v="32"/>
    <s v="Small Business"/>
    <s v="Direct"/>
    <s v="I. Johnson"/>
    <x v="2"/>
    <x v="214"/>
    <n v="231.11"/>
    <n v="318.17"/>
    <n v="0.20100000000000001"/>
    <n v="0.20100000000000001"/>
    <n v="60"/>
    <n v="15253.069799999999"/>
    <n v="13866.6"/>
    <n v="1386.4697999999989"/>
    <n v="9.0897754889969692E-2"/>
    <n v="532.66700000000003"/>
    <n v="1025.2280000000001"/>
    <s v="High"/>
  </r>
  <r>
    <s v="ORD-2023-431328"/>
    <x v="194"/>
    <x v="4"/>
    <s v="Q4-2023"/>
    <x v="197"/>
    <d v="2024-01-14T00:00:00"/>
    <n v="25"/>
    <n v="0"/>
    <n v="0"/>
    <x v="1"/>
    <x v="4"/>
    <x v="29"/>
    <s v="Non-Profit"/>
    <s v="Marketplace"/>
    <s v="L. Okafor"/>
    <x v="5"/>
    <x v="215"/>
    <n v="1085.6099999999999"/>
    <n v="1246.4100000000001"/>
    <n v="0.113"/>
    <n v="0.113"/>
    <n v="7"/>
    <n v="7738.9596900000006"/>
    <n v="7599.2699999999995"/>
    <n v="139.68969000000106"/>
    <n v="1.8050189637310417E-2"/>
    <n v="532.66700000000003"/>
    <n v="1025.2280000000001"/>
    <s v="High"/>
  </r>
  <r>
    <s v="ORD-2023-613317"/>
    <x v="119"/>
    <x v="5"/>
    <s v="Q1-2023"/>
    <x v="198"/>
    <d v="2023-01-25T00:00:00"/>
    <n v="3"/>
    <n v="1"/>
    <n v="1"/>
    <x v="3"/>
    <x v="6"/>
    <x v="22"/>
    <s v="Corporate"/>
    <s v="Direct"/>
    <s v="F. Müller"/>
    <x v="5"/>
    <x v="216"/>
    <n v="150.86000000000001"/>
    <n v="346.96"/>
    <n v="0.19600000000000001"/>
    <n v="0.19600000000000001"/>
    <n v="8"/>
    <n v="2231.6467200000002"/>
    <n v="1206.8800000000001"/>
    <n v="1024.7667200000001"/>
    <n v="0.45919755614365343"/>
    <n v="532.66700000000003"/>
    <n v="1025.2280000000001"/>
    <s v="High"/>
  </r>
  <r>
    <s v="ORD-2024-720756"/>
    <x v="195"/>
    <x v="1"/>
    <s v="Q4-2024"/>
    <x v="199"/>
    <d v="2024-11-09T00:00:00"/>
    <n v="29"/>
    <n v="0"/>
    <n v="0"/>
    <x v="1"/>
    <x v="9"/>
    <x v="23"/>
    <s v="Non-Profit"/>
    <s v="Online"/>
    <s v="F. Müller"/>
    <x v="1"/>
    <x v="217"/>
    <n v="391.64"/>
    <n v="504.76"/>
    <n v="4.0000000000000001E-3"/>
    <n v="4.0000000000000001E-3"/>
    <n v="13"/>
    <n v="6535.6324800000002"/>
    <n v="5091.32"/>
    <n v="1444.3124800000005"/>
    <n v="0.22099046793402319"/>
    <n v="532.66700000000003"/>
    <n v="1025.2280000000001"/>
    <s v="High"/>
  </r>
  <r>
    <s v="ORD-2024-777623"/>
    <x v="196"/>
    <x v="29"/>
    <s v="Q3-2024"/>
    <x v="200"/>
    <d v="2024-10-14T00:00:00"/>
    <n v="25"/>
    <n v="0"/>
    <n v="0"/>
    <x v="2"/>
    <x v="5"/>
    <x v="30"/>
    <s v="Small Business"/>
    <s v="Retail"/>
    <s v="K. Singh"/>
    <x v="1"/>
    <x v="218"/>
    <n v="386.96"/>
    <n v="937.46"/>
    <n v="0.26600000000000001"/>
    <n v="0.26600000000000001"/>
    <n v="41"/>
    <n v="28211.92124"/>
    <n v="15865.359999999999"/>
    <n v="12346.561240000001"/>
    <n v="0.43763631462626335"/>
    <n v="532.66700000000003"/>
    <n v="1025.2280000000001"/>
    <s v="High"/>
  </r>
  <r>
    <s v="ORD-2025-762212"/>
    <x v="197"/>
    <x v="28"/>
    <s v="Q3-2025"/>
    <x v="201"/>
    <d v="2025-09-24T00:00:00"/>
    <n v="30"/>
    <n v="0"/>
    <n v="0"/>
    <x v="0"/>
    <x v="0"/>
    <x v="2"/>
    <s v="Consumer"/>
    <s v="Direct"/>
    <s v="B. Chen"/>
    <x v="0"/>
    <x v="219"/>
    <n v="589.14"/>
    <n v="1300.58"/>
    <n v="5.5E-2"/>
    <n v="5.5E-2"/>
    <n v="11"/>
    <n v="13519.529099999998"/>
    <n v="6480.54"/>
    <n v="7038.989099999998"/>
    <n v="0.52065342275863724"/>
    <n v="532.66700000000003"/>
    <n v="1025.2280000000001"/>
    <s v="High"/>
  </r>
  <r>
    <s v="ORD-2023-271918"/>
    <x v="198"/>
    <x v="27"/>
    <s v="Q3-2023"/>
    <x v="202"/>
    <d v="2023-10-02T00:00:00"/>
    <n v="7"/>
    <n v="1"/>
    <n v="1"/>
    <x v="2"/>
    <x v="10"/>
    <x v="39"/>
    <s v="Education"/>
    <s v="Marketplace"/>
    <s v="I. Johnson"/>
    <x v="6"/>
    <x v="220"/>
    <n v="145.58000000000001"/>
    <n v="228.15"/>
    <n v="0.20399999999999999"/>
    <n v="0.20399999999999999"/>
    <n v="5"/>
    <n v="908.03700000000003"/>
    <n v="727.90000000000009"/>
    <n v="180.13699999999994"/>
    <n v="0.19838068272548359"/>
    <n v="532.66700000000003"/>
    <n v="1025.2280000000001"/>
    <s v="Medium"/>
  </r>
  <r>
    <s v="ORD-2023-713375"/>
    <x v="199"/>
    <x v="25"/>
    <s v="Q3-2023"/>
    <x v="203"/>
    <d v="2023-09-10T00:00:00"/>
    <n v="15"/>
    <n v="0"/>
    <n v="0"/>
    <x v="0"/>
    <x v="11"/>
    <x v="33"/>
    <s v="Non-Profit"/>
    <s v="Direct"/>
    <s v="N. Brown"/>
    <x v="0"/>
    <x v="221"/>
    <n v="241.14"/>
    <n v="496.52"/>
    <n v="9.2999999999999999E-2"/>
    <n v="9.2999999999999999E-2"/>
    <n v="10"/>
    <n v="4503.4363999999996"/>
    <n v="2411.3999999999996"/>
    <n v="2092.0364"/>
    <n v="0.46454223268257994"/>
    <n v="532.66700000000003"/>
    <n v="1025.2280000000001"/>
    <s v="High"/>
  </r>
  <r>
    <s v="ORD-2025-678688"/>
    <x v="200"/>
    <x v="13"/>
    <s v="Q3-2025"/>
    <x v="204"/>
    <d v="2025-07-17T00:00:00"/>
    <n v="1"/>
    <n v="1"/>
    <n v="1"/>
    <x v="0"/>
    <x v="11"/>
    <x v="25"/>
    <s v="Small Business"/>
    <s v="Distributor"/>
    <s v="B. Chen"/>
    <x v="2"/>
    <x v="222"/>
    <n v="1198.9000000000001"/>
    <n v="2941.2"/>
    <n v="5.0999999999999997E-2"/>
    <n v="5.0999999999999997E-2"/>
    <n v="24"/>
    <n v="66988.771199999988"/>
    <n v="28773.600000000002"/>
    <n v="38215.171199999982"/>
    <n v="0.57047129713583977"/>
    <n v="532.66700000000003"/>
    <n v="1025.2280000000001"/>
    <s v="High"/>
  </r>
  <r>
    <s v="ORD-2023-501220"/>
    <x v="43"/>
    <x v="12"/>
    <s v="Q2-2023"/>
    <x v="205"/>
    <d v="2023-05-07T00:00:00"/>
    <n v="18"/>
    <n v="0"/>
    <n v="0"/>
    <x v="3"/>
    <x v="8"/>
    <x v="12"/>
    <s v="Enterprise"/>
    <s v="Retail"/>
    <s v="N. Brown"/>
    <x v="4"/>
    <x v="223"/>
    <n v="1089.1500000000001"/>
    <n v="1088.2"/>
    <n v="5.0999999999999997E-2"/>
    <n v="5.0999999999999997E-2"/>
    <n v="15"/>
    <n v="15490.527"/>
    <n v="16337.250000000002"/>
    <n v="-846.72300000000178"/>
    <n v="-5.4660696824582002E-2"/>
    <n v="532.66700000000003"/>
    <n v="1025.2280000000001"/>
    <s v="High"/>
  </r>
  <r>
    <s v="ORD-2023-195665"/>
    <x v="201"/>
    <x v="4"/>
    <s v="Q4-2023"/>
    <x v="206"/>
    <d v="2023-12-20T00:00:00"/>
    <n v="1"/>
    <n v="1"/>
    <n v="1"/>
    <x v="2"/>
    <x v="5"/>
    <x v="30"/>
    <s v="Consumer"/>
    <s v="Distributor"/>
    <s v="J. Njeri"/>
    <x v="3"/>
    <x v="224"/>
    <n v="1080.43"/>
    <n v="2529.15"/>
    <n v="0.14699999999999999"/>
    <n v="0.14699999999999999"/>
    <n v="10"/>
    <n v="21573.6495"/>
    <n v="10804.300000000001"/>
    <n v="10769.349499999998"/>
    <n v="0.49918997247081437"/>
    <n v="532.66700000000003"/>
    <n v="1025.2280000000001"/>
    <s v="High"/>
  </r>
  <r>
    <s v="ORD-2023-290237"/>
    <x v="202"/>
    <x v="24"/>
    <s v="Q3-2023"/>
    <x v="207"/>
    <d v="2023-08-07T00:00:00"/>
    <n v="8"/>
    <n v="0"/>
    <n v="0"/>
    <x v="1"/>
    <x v="2"/>
    <x v="32"/>
    <s v="Education"/>
    <s v="Marketplace"/>
    <s v="A. Patel"/>
    <x v="2"/>
    <x v="225"/>
    <n v="1352.44"/>
    <n v="2698.01"/>
    <n v="0.13100000000000001"/>
    <n v="0.13100000000000001"/>
    <n v="13"/>
    <n v="30479.418970000002"/>
    <n v="17581.72"/>
    <n v="12897.698970000001"/>
    <n v="0.42316091992090887"/>
    <n v="532.66700000000003"/>
    <n v="1025.2280000000001"/>
    <s v="High"/>
  </r>
  <r>
    <s v="ORD-2023-302041"/>
    <x v="203"/>
    <x v="32"/>
    <s v="Q4-2023"/>
    <x v="208"/>
    <d v="2023-10-29T00:00:00"/>
    <n v="25"/>
    <n v="0"/>
    <n v="0"/>
    <x v="2"/>
    <x v="10"/>
    <x v="24"/>
    <s v="Small Business"/>
    <s v="Distributor"/>
    <s v="O. Wang"/>
    <x v="6"/>
    <x v="226"/>
    <n v="1239.8399999999999"/>
    <n v="1482.75"/>
    <n v="6.7000000000000004E-2"/>
    <n v="6.7000000000000004E-2"/>
    <n v="4"/>
    <n v="5533.6230000000005"/>
    <n v="4959.3599999999997"/>
    <n v="574.26300000000083"/>
    <n v="0.10377703721413634"/>
    <n v="532.66700000000003"/>
    <n v="1025.2280000000001"/>
    <s v="High"/>
  </r>
  <r>
    <s v="ORD-2025-289139"/>
    <x v="204"/>
    <x v="28"/>
    <s v="Q3-2025"/>
    <x v="209"/>
    <d v="2025-08-30T00:00:00"/>
    <n v="20"/>
    <n v="0"/>
    <n v="0"/>
    <x v="2"/>
    <x v="10"/>
    <x v="24"/>
    <s v="Corporate"/>
    <s v="Marketplace"/>
    <s v="K. Singh"/>
    <x v="1"/>
    <x v="227"/>
    <n v="933.29"/>
    <n v="1456.81"/>
    <n v="0.123"/>
    <n v="0.123"/>
    <n v="13"/>
    <n v="16609.090809999998"/>
    <n v="12132.77"/>
    <n v="4476.3208099999974"/>
    <n v="0.26951028573489977"/>
    <n v="532.66700000000003"/>
    <n v="1025.2280000000001"/>
    <s v="High"/>
  </r>
  <r>
    <s v="ORD-2023-949710"/>
    <x v="205"/>
    <x v="22"/>
    <s v="Q1-2023"/>
    <x v="210"/>
    <d v="2023-04-01T00:00:00"/>
    <n v="25"/>
    <n v="0"/>
    <n v="0"/>
    <x v="0"/>
    <x v="0"/>
    <x v="2"/>
    <s v="Consumer"/>
    <s v="Marketplace"/>
    <s v="D. Smith"/>
    <x v="1"/>
    <x v="228"/>
    <n v="1024.0999999999999"/>
    <n v="918.19"/>
    <n v="0.189"/>
    <n v="0.189"/>
    <n v="10"/>
    <n v="7446.5209000000004"/>
    <n v="10241"/>
    <n v="-2794.4790999999996"/>
    <n v="-0.37527311579827827"/>
    <n v="532.66700000000003"/>
    <n v="1025.2280000000001"/>
    <s v="High"/>
  </r>
  <r>
    <s v="ORD-2023-603650"/>
    <x v="206"/>
    <x v="15"/>
    <s v="Q2-2023"/>
    <x v="211"/>
    <d v="2023-06-10T00:00:00"/>
    <n v="18"/>
    <n v="0"/>
    <n v="0"/>
    <x v="1"/>
    <x v="9"/>
    <x v="23"/>
    <s v="Corporate"/>
    <s v="Distributor"/>
    <s v="E. Garcia"/>
    <x v="0"/>
    <x v="229"/>
    <n v="54.62"/>
    <n v="48.94"/>
    <n v="0.14799999999999999"/>
    <n v="0.14799999999999999"/>
    <n v="16"/>
    <n v="667.15008"/>
    <n v="873.92"/>
    <n v="-206.76991999999996"/>
    <n v="-0.3099301434543783"/>
    <n v="532.66700000000003"/>
    <n v="1025.2280000000001"/>
    <s v="Medium"/>
  </r>
  <r>
    <s v="ORD-2025-757957"/>
    <x v="207"/>
    <x v="19"/>
    <s v="Q2-2025"/>
    <x v="69"/>
    <d v="2025-05-06T00:00:00"/>
    <n v="12"/>
    <n v="0"/>
    <n v="0"/>
    <x v="2"/>
    <x v="5"/>
    <x v="10"/>
    <s v="Consumer"/>
    <s v="Online"/>
    <s v="C. Otieno"/>
    <x v="3"/>
    <x v="230"/>
    <n v="394.13"/>
    <n v="932.29"/>
    <n v="0.109"/>
    <n v="0.109"/>
    <n v="7"/>
    <n v="5814.6927299999998"/>
    <n v="2758.91"/>
    <n v="3055.7827299999999"/>
    <n v="0.5255278089303268"/>
    <n v="532.66700000000003"/>
    <n v="1025.2280000000001"/>
    <s v="High"/>
  </r>
  <r>
    <s v="ORD-2024-423853"/>
    <x v="208"/>
    <x v="29"/>
    <s v="Q3-2024"/>
    <x v="212"/>
    <d v="2024-09-08T00:00:00"/>
    <n v="5"/>
    <n v="1"/>
    <n v="1"/>
    <x v="0"/>
    <x v="1"/>
    <x v="3"/>
    <s v="Small Business"/>
    <s v="Direct"/>
    <s v="K. Singh"/>
    <x v="1"/>
    <x v="231"/>
    <n v="197.63"/>
    <n v="325.79000000000002"/>
    <n v="0.11600000000000001"/>
    <n v="0.11600000000000001"/>
    <n v="10"/>
    <n v="2879.9836"/>
    <n v="1976.3"/>
    <n v="903.68360000000007"/>
    <n v="0.31378081458519419"/>
    <n v="532.66700000000003"/>
    <n v="1025.2280000000001"/>
    <s v="High"/>
  </r>
  <r>
    <s v="ORD-2024-569164"/>
    <x v="209"/>
    <x v="29"/>
    <s v="Q3-2024"/>
    <x v="74"/>
    <d v="2024-09-25T00:00:00"/>
    <n v="20"/>
    <n v="0"/>
    <n v="0"/>
    <x v="1"/>
    <x v="2"/>
    <x v="4"/>
    <s v="Enterprise"/>
    <s v="Distributor"/>
    <s v="D. Smith"/>
    <x v="5"/>
    <x v="232"/>
    <n v="195.54"/>
    <n v="405.97"/>
    <n v="0.187"/>
    <n v="0.187"/>
    <n v="16"/>
    <n v="5280.8577599999999"/>
    <n v="3128.64"/>
    <n v="2152.21776"/>
    <n v="0.40755079152141377"/>
    <n v="532.66700000000003"/>
    <n v="1025.2280000000001"/>
    <s v="High"/>
  </r>
  <r>
    <s v="ORD-2023-946143"/>
    <x v="210"/>
    <x v="22"/>
    <s v="Q1-2023"/>
    <x v="213"/>
    <d v="2023-03-30T00:00:00"/>
    <n v="16"/>
    <n v="0"/>
    <n v="0"/>
    <x v="0"/>
    <x v="11"/>
    <x v="33"/>
    <s v="Consumer"/>
    <s v="Distributor"/>
    <s v="K. Singh"/>
    <x v="0"/>
    <x v="233"/>
    <n v="1309.77"/>
    <n v="1589.07"/>
    <n v="0.10199999999999999"/>
    <n v="0.10199999999999999"/>
    <n v="10"/>
    <n v="14269.848599999999"/>
    <n v="13097.7"/>
    <n v="1172.1485999999986"/>
    <n v="8.2141628328137886E-2"/>
    <n v="532.66700000000003"/>
    <n v="1025.2280000000001"/>
    <s v="High"/>
  </r>
  <r>
    <s v="ORD-2024-281211"/>
    <x v="39"/>
    <x v="9"/>
    <s v="Q1-2024"/>
    <x v="39"/>
    <d v="2024-02-02T00:00:00"/>
    <n v="22"/>
    <n v="0"/>
    <n v="0"/>
    <x v="1"/>
    <x v="2"/>
    <x v="32"/>
    <s v="Small Business"/>
    <s v="Online"/>
    <s v="Unassigned"/>
    <x v="1"/>
    <x v="234"/>
    <n v="1237.68"/>
    <n v="1432.8"/>
    <n v="6.8000000000000005E-2"/>
    <n v="6.8000000000000005E-2"/>
    <n v="13"/>
    <n v="17359.804799999998"/>
    <n v="16089.84"/>
    <n v="1269.9647999999979"/>
    <n v="7.315547695559331E-2"/>
    <n v="532.66700000000003"/>
    <n v="1025.2280000000001"/>
    <s v="High"/>
  </r>
  <r>
    <s v="ORD-2024-805860"/>
    <x v="211"/>
    <x v="29"/>
    <s v="Q3-2024"/>
    <x v="214"/>
    <d v="2024-10-02T00:00:00"/>
    <n v="19"/>
    <n v="0"/>
    <n v="0"/>
    <x v="0"/>
    <x v="0"/>
    <x v="13"/>
    <s v="Small Business"/>
    <s v="Retail"/>
    <s v="M. Rossi"/>
    <x v="3"/>
    <x v="235"/>
    <n v="1338.99"/>
    <n v="1765.76"/>
    <n v="0.126"/>
    <n v="0.126"/>
    <n v="24"/>
    <n v="37038.581760000001"/>
    <n v="32135.760000000002"/>
    <n v="4902.8217599999989"/>
    <n v="0.1323706666677725"/>
    <n v="532.66700000000003"/>
    <n v="1025.2280000000001"/>
    <s v="High"/>
  </r>
  <r>
    <s v="ORD-2025-132174"/>
    <x v="212"/>
    <x v="13"/>
    <s v="Q3-2025"/>
    <x v="215"/>
    <d v="2025-07-23T00:00:00"/>
    <n v="6"/>
    <n v="1"/>
    <n v="1"/>
    <x v="2"/>
    <x v="3"/>
    <x v="26"/>
    <s v="Consumer"/>
    <s v="Online"/>
    <s v="H. Kim"/>
    <x v="0"/>
    <x v="236"/>
    <n v="1364.89"/>
    <n v="2757.54"/>
    <n v="0.17199999999999999"/>
    <n v="0.17199999999999999"/>
    <n v="61"/>
    <n v="139277.83032000001"/>
    <n v="83258.290000000008"/>
    <n v="56019.54032"/>
    <n v="0.4022143379983118"/>
    <n v="532.66700000000003"/>
    <n v="1025.2280000000001"/>
    <s v="High"/>
  </r>
  <r>
    <s v="ORD-2023-964434"/>
    <x v="213"/>
    <x v="30"/>
    <s v="Q4-2023"/>
    <x v="216"/>
    <d v="2023-12-07T00:00:00"/>
    <n v="9"/>
    <n v="0"/>
    <n v="0"/>
    <x v="1"/>
    <x v="4"/>
    <x v="18"/>
    <s v="Enterprise"/>
    <s v="Marketplace"/>
    <s v="L. Okafor"/>
    <x v="3"/>
    <x v="237"/>
    <n v="699.33"/>
    <n v="873.75"/>
    <n v="0.23499999999999999"/>
    <n v="0.23499999999999999"/>
    <n v="10"/>
    <n v="6684.1875"/>
    <n v="6993.3"/>
    <n v="-309.11250000000018"/>
    <n v="-4.6245336475076469E-2"/>
    <n v="532.66700000000003"/>
    <n v="1025.2280000000001"/>
    <s v="High"/>
  </r>
  <r>
    <s v="ORD-2024-897622"/>
    <x v="214"/>
    <x v="0"/>
    <s v="Q1-2024"/>
    <x v="141"/>
    <d v="2024-04-24T00:00:00"/>
    <n v="25"/>
    <n v="0"/>
    <n v="0"/>
    <x v="2"/>
    <x v="10"/>
    <x v="35"/>
    <s v="Non-Profit"/>
    <s v="Online"/>
    <s v="G. Dubois"/>
    <x v="4"/>
    <x v="238"/>
    <n v="160.82"/>
    <n v="258.52"/>
    <n v="0.13"/>
    <n v="0.13"/>
    <n v="17"/>
    <n v="3823.5108"/>
    <n v="2733.94"/>
    <n v="1089.5708"/>
    <n v="0.28496605789631874"/>
    <n v="532.66700000000003"/>
    <n v="1025.2280000000001"/>
    <s v="High"/>
  </r>
  <r>
    <s v="ORD-2023-517216"/>
    <x v="215"/>
    <x v="27"/>
    <s v="Q3-2023"/>
    <x v="73"/>
    <d v="2023-10-08T00:00:00"/>
    <n v="19"/>
    <n v="0"/>
    <n v="0"/>
    <x v="1"/>
    <x v="4"/>
    <x v="6"/>
    <s v="Education"/>
    <s v="Direct"/>
    <s v="J. Njeri"/>
    <x v="1"/>
    <x v="239"/>
    <n v="385.32"/>
    <n v="606.76"/>
    <n v="8.5999999999999993E-2"/>
    <n v="8.5999999999999993E-2"/>
    <n v="8"/>
    <n v="4436.6291200000005"/>
    <n v="3082.56"/>
    <n v="1354.0691200000006"/>
    <n v="0.30520223425842735"/>
    <n v="532.66700000000003"/>
    <n v="1025.2280000000001"/>
    <s v="High"/>
  </r>
  <r>
    <s v="ORD-2025-509940"/>
    <x v="216"/>
    <x v="8"/>
    <s v="Q2-2025"/>
    <x v="217"/>
    <d v="2025-05-27T00:00:00"/>
    <n v="11"/>
    <n v="0"/>
    <n v="0"/>
    <x v="1"/>
    <x v="9"/>
    <x v="37"/>
    <s v="Enterprise"/>
    <s v="Online"/>
    <s v="F. Müller"/>
    <x v="3"/>
    <x v="240"/>
    <n v="918.12"/>
    <n v="1337.69"/>
    <n v="9.5000000000000001E-2"/>
    <n v="9.5000000000000001E-2"/>
    <n v="8"/>
    <n v="9684.8756000000012"/>
    <n v="7344.96"/>
    <n v="2339.9156000000012"/>
    <n v="0.24160512707050164"/>
    <n v="532.66700000000003"/>
    <n v="1025.2280000000001"/>
    <s v="High"/>
  </r>
  <r>
    <s v="ORD-2025-646342"/>
    <x v="217"/>
    <x v="28"/>
    <s v="Q3-2025"/>
    <x v="218"/>
    <d v="2025-08-08T00:00:00"/>
    <n v="6"/>
    <n v="1"/>
    <n v="1"/>
    <x v="1"/>
    <x v="2"/>
    <x v="4"/>
    <s v="Consumer"/>
    <s v="Direct"/>
    <s v="N. Brown"/>
    <x v="4"/>
    <x v="241"/>
    <n v="1225.94"/>
    <n v="1793.08"/>
    <n v="0.13600000000000001"/>
    <n v="0.13600000000000001"/>
    <n v="22"/>
    <n v="34082.864639999993"/>
    <n v="26970.68"/>
    <n v="7112.1846399999922"/>
    <n v="0.20867332353434462"/>
    <n v="532.66700000000003"/>
    <n v="1025.2280000000001"/>
    <s v="High"/>
  </r>
  <r>
    <s v="ORD-2024-866535"/>
    <x v="218"/>
    <x v="6"/>
    <s v="Q4-2024"/>
    <x v="219"/>
    <d v="2024-12-12T00:00:00"/>
    <n v="8"/>
    <n v="0"/>
    <n v="0"/>
    <x v="3"/>
    <x v="6"/>
    <x v="36"/>
    <s v="Enterprise"/>
    <s v="Marketplace"/>
    <s v="B. Chen"/>
    <x v="1"/>
    <x v="242"/>
    <n v="72.06"/>
    <n v="122.74"/>
    <n v="0.23799999999999999"/>
    <n v="0.23799999999999999"/>
    <n v="8"/>
    <n v="748.22303999999997"/>
    <n v="576.48"/>
    <n v="171.74303999999995"/>
    <n v="0.22953455162246802"/>
    <n v="532.66700000000003"/>
    <n v="1025.2280000000001"/>
    <s v="Medium"/>
  </r>
  <r>
    <s v="ORD-2023-747341"/>
    <x v="43"/>
    <x v="12"/>
    <s v="Q2-2023"/>
    <x v="188"/>
    <d v="2023-04-28T00:00:00"/>
    <n v="9"/>
    <n v="0"/>
    <n v="0"/>
    <x v="2"/>
    <x v="5"/>
    <x v="30"/>
    <s v="Corporate"/>
    <s v="Distributor"/>
    <s v="M. Rossi"/>
    <x v="3"/>
    <x v="243"/>
    <n v="1013.54"/>
    <n v="927.93"/>
    <n v="0.17499999999999999"/>
    <n v="0.17499999999999999"/>
    <n v="16"/>
    <n v="12248.675999999999"/>
    <n v="16216.64"/>
    <n v="-3967.9639999999999"/>
    <n v="-0.32395044166406234"/>
    <n v="532.66700000000003"/>
    <n v="1025.2280000000001"/>
    <s v="High"/>
  </r>
  <r>
    <s v="ORD-2024-853298"/>
    <x v="219"/>
    <x v="0"/>
    <s v="Q1-2024"/>
    <x v="220"/>
    <d v="2024-03-26T00:00:00"/>
    <n v="20"/>
    <n v="0"/>
    <n v="0"/>
    <x v="0"/>
    <x v="1"/>
    <x v="1"/>
    <s v="Consumer"/>
    <s v="Marketplace"/>
    <s v="I. Johnson"/>
    <x v="3"/>
    <x v="244"/>
    <n v="65.64"/>
    <n v="151.88"/>
    <n v="0.16700000000000001"/>
    <n v="0.16700000000000001"/>
    <n v="23"/>
    <n v="2909.8689199999999"/>
    <n v="1509.72"/>
    <n v="1400.1489199999999"/>
    <n v="0.48117250587356353"/>
    <n v="532.66700000000003"/>
    <n v="1025.2280000000001"/>
    <s v="High"/>
  </r>
  <r>
    <s v="ORD-2024-544865"/>
    <x v="220"/>
    <x v="31"/>
    <s v="Q1-2024"/>
    <x v="146"/>
    <d v="2024-03-04T00:00:00"/>
    <n v="17"/>
    <n v="0"/>
    <n v="0"/>
    <x v="2"/>
    <x v="3"/>
    <x v="19"/>
    <s v="Non-Profit"/>
    <s v="Retail"/>
    <s v="D. Smith"/>
    <x v="4"/>
    <x v="245"/>
    <n v="1350.98"/>
    <n v="2210.4"/>
    <n v="0.26300000000000001"/>
    <n v="0.26300000000000001"/>
    <n v="6"/>
    <n v="9774.3888000000006"/>
    <n v="8105.88"/>
    <n v="1668.5088000000005"/>
    <n v="0.17070211080615091"/>
    <n v="532.66700000000003"/>
    <n v="1025.2280000000001"/>
    <s v="High"/>
  </r>
  <r>
    <s v="ORD-2025-946490"/>
    <x v="221"/>
    <x v="19"/>
    <s v="Q2-2025"/>
    <x v="221"/>
    <d v="2025-05-02T00:00:00"/>
    <n v="10"/>
    <n v="0"/>
    <n v="0"/>
    <x v="3"/>
    <x v="6"/>
    <x v="9"/>
    <s v="Corporate"/>
    <s v="Marketplace"/>
    <s v="C. Otieno"/>
    <x v="5"/>
    <x v="246"/>
    <n v="20.149999999999999"/>
    <n v="39.74"/>
    <n v="0.151"/>
    <n v="0.151"/>
    <n v="18"/>
    <n v="607.30668000000003"/>
    <n v="362.7"/>
    <n v="244.60668000000004"/>
    <n v="0.4027729120318585"/>
    <n v="532.66700000000003"/>
    <n v="1025.2280000000001"/>
    <s v="Medium"/>
  </r>
  <r>
    <s v="ORD-2024-320972"/>
    <x v="222"/>
    <x v="18"/>
    <s v="Q4-2024"/>
    <x v="46"/>
    <d v="2024-11-08T00:00:00"/>
    <n v="0"/>
    <n v="1"/>
    <n v="1"/>
    <x v="0"/>
    <x v="0"/>
    <x v="16"/>
    <s v="Enterprise"/>
    <s v="Marketplace"/>
    <s v="M. Rossi"/>
    <x v="2"/>
    <x v="247"/>
    <n v="803.28"/>
    <n v="1009"/>
    <n v="0.11"/>
    <n v="0.11"/>
    <n v="4"/>
    <n v="3592.04"/>
    <n v="3213.12"/>
    <n v="378.92000000000007"/>
    <n v="0.10548880302001093"/>
    <n v="532.66700000000003"/>
    <n v="1025.2280000000001"/>
    <s v="High"/>
  </r>
  <r>
    <s v="ORD-2025-248586"/>
    <x v="223"/>
    <x v="11"/>
    <s v="Q3-2025"/>
    <x v="14"/>
    <d v="2025-09-30T00:00:00"/>
    <n v="18"/>
    <n v="0"/>
    <n v="0"/>
    <x v="1"/>
    <x v="2"/>
    <x v="32"/>
    <s v="Non-Profit"/>
    <s v="Marketplace"/>
    <s v="F. Müller"/>
    <x v="5"/>
    <x v="248"/>
    <n v="1212.99"/>
    <n v="1653.64"/>
    <n v="0.107"/>
    <n v="0.107"/>
    <n v="8"/>
    <n v="11813.604160000001"/>
    <n v="9703.92"/>
    <n v="2109.6841600000007"/>
    <n v="0.17858090819931455"/>
    <n v="532.66700000000003"/>
    <n v="1025.2280000000001"/>
    <s v="High"/>
  </r>
  <r>
    <s v="ORD-2024-664046"/>
    <x v="224"/>
    <x v="29"/>
    <s v="Q3-2024"/>
    <x v="212"/>
    <d v="2024-09-08T00:00:00"/>
    <n v="6"/>
    <n v="1"/>
    <n v="1"/>
    <x v="2"/>
    <x v="10"/>
    <x v="35"/>
    <s v="Consumer"/>
    <s v="Direct"/>
    <s v="H. Kim"/>
    <x v="0"/>
    <x v="249"/>
    <n v="462.94"/>
    <n v="1015.7"/>
    <n v="0.14299999999999999"/>
    <n v="0.14299999999999999"/>
    <n v="14"/>
    <n v="12186.368600000002"/>
    <n v="6481.16"/>
    <n v="5705.2086000000018"/>
    <n v="0.46816314090483041"/>
    <n v="532.66700000000003"/>
    <n v="1025.2280000000001"/>
    <s v="High"/>
  </r>
  <r>
    <s v="ORD-2023-276806"/>
    <x v="225"/>
    <x v="22"/>
    <s v="Q1-2023"/>
    <x v="222"/>
    <d v="2023-03-24T00:00:00"/>
    <n v="20"/>
    <n v="0"/>
    <n v="0"/>
    <x v="2"/>
    <x v="3"/>
    <x v="19"/>
    <s v="Consumer"/>
    <s v="Distributor"/>
    <s v="I. Johnson"/>
    <x v="4"/>
    <x v="250"/>
    <n v="481.71"/>
    <n v="912.45"/>
    <n v="0.20300000000000001"/>
    <n v="0.20300000000000001"/>
    <n v="24"/>
    <n v="17453.3436"/>
    <n v="11561.039999999999"/>
    <n v="5892.3036000000011"/>
    <n v="0.33760313983619739"/>
    <n v="532.66700000000003"/>
    <n v="1025.2280000000001"/>
    <s v="High"/>
  </r>
  <r>
    <s v="ORD-2024-220234"/>
    <x v="226"/>
    <x v="0"/>
    <s v="Q1-2024"/>
    <x v="58"/>
    <d v="2024-04-09T00:00:00"/>
    <n v="25"/>
    <n v="0"/>
    <n v="0"/>
    <x v="2"/>
    <x v="3"/>
    <x v="26"/>
    <s v="Consumer"/>
    <s v="Online"/>
    <s v="F. Müller"/>
    <x v="5"/>
    <x v="251"/>
    <n v="648.64"/>
    <n v="815.19"/>
    <n v="0.22500000000000001"/>
    <n v="0.22500000000000001"/>
    <n v="28"/>
    <n v="17689.623"/>
    <n v="18161.919999999998"/>
    <n v="-472.29699999999866"/>
    <n v="-2.6699099240272032E-2"/>
    <n v="532.66700000000003"/>
    <n v="1025.2280000000001"/>
    <s v="High"/>
  </r>
  <r>
    <s v="ORD-2024-301260"/>
    <x v="227"/>
    <x v="14"/>
    <s v="Q3-2024"/>
    <x v="223"/>
    <d v="2024-07-31T00:00:00"/>
    <n v="2"/>
    <n v="1"/>
    <n v="1"/>
    <x v="2"/>
    <x v="10"/>
    <x v="39"/>
    <s v="Education"/>
    <s v="Marketplace"/>
    <s v="I. Johnson"/>
    <x v="1"/>
    <x v="252"/>
    <n v="798.97"/>
    <n v="1814.06"/>
    <n v="0.122"/>
    <n v="0.122"/>
    <n v="16"/>
    <n v="25483.91488"/>
    <n v="12783.52"/>
    <n v="12700.39488"/>
    <n v="0.49836906691159061"/>
    <n v="532.66700000000003"/>
    <n v="1025.2280000000001"/>
    <s v="High"/>
  </r>
  <r>
    <s v="ORD-2024-350100"/>
    <x v="228"/>
    <x v="1"/>
    <s v="Q4-2024"/>
    <x v="224"/>
    <d v="2024-11-20T00:00:00"/>
    <n v="24"/>
    <n v="0"/>
    <n v="0"/>
    <x v="1"/>
    <x v="2"/>
    <x v="32"/>
    <s v="Non-Profit"/>
    <s v="Online"/>
    <s v="H. Kim"/>
    <x v="5"/>
    <x v="253"/>
    <n v="317.25"/>
    <n v="758.92"/>
    <n v="5.2999999999999999E-2"/>
    <n v="5.2999999999999999E-2"/>
    <n v="9"/>
    <n v="6468.2751599999992"/>
    <n v="2855.25"/>
    <n v="3613.0251599999992"/>
    <n v="0.5585762928489888"/>
    <n v="532.66700000000003"/>
    <n v="1025.2280000000001"/>
    <s v="High"/>
  </r>
  <r>
    <s v="ORD-2024-855600"/>
    <x v="229"/>
    <x v="20"/>
    <s v="Q2-2024"/>
    <x v="225"/>
    <d v="2024-05-19T00:00:00"/>
    <n v="20"/>
    <n v="0"/>
    <n v="0"/>
    <x v="3"/>
    <x v="6"/>
    <x v="36"/>
    <s v="Enterprise"/>
    <s v="Marketplace"/>
    <s v="C. Otieno"/>
    <x v="4"/>
    <x v="254"/>
    <n v="668.97"/>
    <n v="1667.44"/>
    <n v="3.4000000000000002E-2"/>
    <n v="3.4000000000000002E-2"/>
    <n v="15"/>
    <n v="24161.205600000001"/>
    <n v="10034.550000000001"/>
    <n v="14126.6556"/>
    <n v="0.58468339013679016"/>
    <n v="532.66700000000003"/>
    <n v="1025.2280000000001"/>
    <s v="High"/>
  </r>
  <r>
    <s v="ORD-2023-474313"/>
    <x v="230"/>
    <x v="32"/>
    <s v="Q4-2023"/>
    <x v="226"/>
    <d v="2023-10-06T00:00:00"/>
    <n v="1"/>
    <n v="1"/>
    <n v="1"/>
    <x v="1"/>
    <x v="4"/>
    <x v="6"/>
    <s v="Non-Profit"/>
    <s v="Online"/>
    <s v="I. Johnson"/>
    <x v="0"/>
    <x v="255"/>
    <n v="1470.26"/>
    <n v="2562.5500000000002"/>
    <n v="0.17299999999999999"/>
    <n v="0.17299999999999999"/>
    <n v="9"/>
    <n v="19073.059649999999"/>
    <n v="13232.34"/>
    <n v="5840.7196499999991"/>
    <n v="0.30622877279157462"/>
    <n v="532.66700000000003"/>
    <n v="1025.2280000000001"/>
    <s v="High"/>
  </r>
  <r>
    <s v="ORD-2023-256951"/>
    <x v="43"/>
    <x v="12"/>
    <s v="Q2-2023"/>
    <x v="205"/>
    <d v="2023-05-07T00:00:00"/>
    <n v="18"/>
    <n v="0"/>
    <n v="0"/>
    <x v="3"/>
    <x v="8"/>
    <x v="21"/>
    <s v="Non-Profit"/>
    <s v="Direct"/>
    <s v="H. Kim"/>
    <x v="2"/>
    <x v="256"/>
    <n v="516.96"/>
    <n v="745.38"/>
    <n v="0.19700000000000001"/>
    <n v="0.19700000000000001"/>
    <n v="4"/>
    <n v="2394.1605599999998"/>
    <n v="2067.84"/>
    <n v="326.32055999999966"/>
    <n v="0.13629852794835101"/>
    <n v="532.66700000000003"/>
    <n v="1025.2280000000001"/>
    <s v="High"/>
  </r>
  <r>
    <s v="ORD-2025-184754"/>
    <x v="231"/>
    <x v="16"/>
    <s v="Q2-2025"/>
    <x v="227"/>
    <d v="2025-07-05T00:00:00"/>
    <n v="8"/>
    <n v="0"/>
    <n v="0"/>
    <x v="3"/>
    <x v="6"/>
    <x v="22"/>
    <s v="Small Business"/>
    <s v="Direct"/>
    <s v="G. Dubois"/>
    <x v="5"/>
    <x v="257"/>
    <n v="314.93"/>
    <n v="687.95"/>
    <n v="0.20499999999999999"/>
    <n v="0.20499999999999999"/>
    <n v="8"/>
    <n v="4375.3620000000001"/>
    <n v="2519.44"/>
    <n v="1855.922"/>
    <n v="0.424175645352316"/>
    <n v="532.66700000000003"/>
    <n v="1025.2280000000001"/>
    <s v="High"/>
  </r>
  <r>
    <s v="ORD-2023-888140"/>
    <x v="232"/>
    <x v="32"/>
    <s v="Q4-2023"/>
    <x v="228"/>
    <d v="2023-10-13T00:00:00"/>
    <n v="2"/>
    <n v="1"/>
    <n v="1"/>
    <x v="2"/>
    <x v="5"/>
    <x v="10"/>
    <s v="Consumer"/>
    <s v="Distributor"/>
    <s v="Unassigned"/>
    <x v="6"/>
    <x v="258"/>
    <n v="715.94"/>
    <n v="550.07000000000005"/>
    <n v="0.14000000000000001"/>
    <n v="0.14000000000000001"/>
    <n v="16"/>
    <n v="7568.9632000000001"/>
    <n v="11455.04"/>
    <n v="-3886.0768000000007"/>
    <n v="-0.51342260456491595"/>
    <n v="532.66700000000003"/>
    <n v="1025.2280000000001"/>
    <s v="High"/>
  </r>
  <r>
    <s v="ORD-2023-638181"/>
    <x v="72"/>
    <x v="15"/>
    <s v="Q2-2023"/>
    <x v="103"/>
    <d v="2023-06-07T00:00:00"/>
    <n v="18"/>
    <n v="0"/>
    <n v="0"/>
    <x v="0"/>
    <x v="1"/>
    <x v="1"/>
    <s v="Enterprise"/>
    <s v="Distributor"/>
    <s v="E. Garcia"/>
    <x v="0"/>
    <x v="259"/>
    <n v="1120.06"/>
    <n v="2068.21"/>
    <n v="7.8E-2"/>
    <n v="7.8E-2"/>
    <n v="12"/>
    <n v="22882.675440000003"/>
    <n v="13440.72"/>
    <n v="9441.9554400000034"/>
    <n v="0.41262462795303284"/>
    <n v="532.66700000000003"/>
    <n v="1025.2280000000001"/>
    <s v="High"/>
  </r>
  <r>
    <s v="ORD-2023-521280"/>
    <x v="233"/>
    <x v="15"/>
    <s v="Q2-2023"/>
    <x v="114"/>
    <d v="2023-06-19T00:00:00"/>
    <n v="23"/>
    <n v="0"/>
    <n v="0"/>
    <x v="3"/>
    <x v="6"/>
    <x v="9"/>
    <s v="Education"/>
    <s v="Retail"/>
    <s v="O. Wang"/>
    <x v="6"/>
    <x v="260"/>
    <n v="1471.58"/>
    <n v="2576.65"/>
    <n v="4.0000000000000001E-3"/>
    <n v="4.0000000000000001E-3"/>
    <n v="7"/>
    <n v="17964.4038"/>
    <n v="10301.06"/>
    <n v="7663.3438000000006"/>
    <n v="0.4265849223451546"/>
    <n v="532.66700000000003"/>
    <n v="1025.2280000000001"/>
    <s v="High"/>
  </r>
  <r>
    <s v="ORD-2023-630430"/>
    <x v="234"/>
    <x v="25"/>
    <s v="Q3-2023"/>
    <x v="229"/>
    <d v="2023-08-24T00:00:00"/>
    <n v="20"/>
    <n v="0"/>
    <n v="0"/>
    <x v="2"/>
    <x v="5"/>
    <x v="10"/>
    <s v="Non-Profit"/>
    <s v="Direct"/>
    <s v="Unassigned"/>
    <x v="2"/>
    <x v="261"/>
    <n v="582.88"/>
    <n v="1044.1400000000001"/>
    <n v="0.216"/>
    <n v="0.216"/>
    <n v="10"/>
    <n v="8186.057600000001"/>
    <n v="5828.8"/>
    <n v="2357.2576000000008"/>
    <n v="0.28796005539956138"/>
    <n v="532.66700000000003"/>
    <n v="1025.2280000000001"/>
    <s v="High"/>
  </r>
  <r>
    <s v="ORD-2025-908258"/>
    <x v="235"/>
    <x v="16"/>
    <s v="Q2-2025"/>
    <x v="230"/>
    <d v="2025-06-27T00:00:00"/>
    <n v="6"/>
    <n v="1"/>
    <n v="1"/>
    <x v="0"/>
    <x v="11"/>
    <x v="25"/>
    <s v="Enterprise"/>
    <s v="Distributor"/>
    <s v="N. Brown"/>
    <x v="3"/>
    <x v="262"/>
    <n v="93.91"/>
    <n v="99.04"/>
    <n v="5.7000000000000002E-2"/>
    <n v="5.7000000000000002E-2"/>
    <n v="6"/>
    <n v="560.36831999999993"/>
    <n v="563.46"/>
    <n v="-3.0916800000001103"/>
    <n v="-5.5172283829323376E-3"/>
    <n v="532.66700000000003"/>
    <n v="1025.2280000000001"/>
    <s v="Medium"/>
  </r>
  <r>
    <s v="ORD-2025-440093"/>
    <x v="139"/>
    <x v="19"/>
    <s v="Q2-2025"/>
    <x v="231"/>
    <d v="2025-04-26T00:00:00"/>
    <n v="10"/>
    <n v="0"/>
    <n v="0"/>
    <x v="0"/>
    <x v="1"/>
    <x v="1"/>
    <s v="Enterprise"/>
    <s v="Marketplace"/>
    <s v="F. Müller"/>
    <x v="4"/>
    <x v="263"/>
    <n v="1457.44"/>
    <n v="1996.81"/>
    <n v="0.126"/>
    <n v="0.126"/>
    <n v="23"/>
    <n v="40139.874619999995"/>
    <n v="33521.120000000003"/>
    <n v="6618.7546199999924"/>
    <n v="0.16489225944672353"/>
    <n v="532.66700000000003"/>
    <n v="1025.2280000000001"/>
    <s v="High"/>
  </r>
  <r>
    <s v="ORD-2025-898022"/>
    <x v="236"/>
    <x v="11"/>
    <s v="Q3-2025"/>
    <x v="232"/>
    <d v="2025-09-11T00:00:00"/>
    <n v="9"/>
    <n v="0"/>
    <n v="0"/>
    <x v="2"/>
    <x v="3"/>
    <x v="5"/>
    <s v="Corporate"/>
    <s v="Distributor"/>
    <s v="M. Rossi"/>
    <x v="1"/>
    <x v="264"/>
    <n v="1207.6300000000001"/>
    <n v="921.68"/>
    <n v="0.19600000000000001"/>
    <n v="0.19600000000000001"/>
    <n v="17"/>
    <n v="12597.52224"/>
    <n v="20529.710000000003"/>
    <n v="-7932.1877600000025"/>
    <n v="-0.62966253274897988"/>
    <n v="532.66700000000003"/>
    <n v="1025.2280000000001"/>
    <s v="High"/>
  </r>
  <r>
    <s v="ORD-2024-500511"/>
    <x v="237"/>
    <x v="1"/>
    <s v="Q4-2024"/>
    <x v="233"/>
    <d v="2024-10-08T00:00:00"/>
    <n v="0"/>
    <n v="1"/>
    <n v="1"/>
    <x v="3"/>
    <x v="8"/>
    <x v="21"/>
    <s v="Corporate"/>
    <s v="Online"/>
    <s v="E. Garcia"/>
    <x v="5"/>
    <x v="265"/>
    <n v="1108.1099999999999"/>
    <n v="2503.79"/>
    <n v="0.184"/>
    <n v="0.184"/>
    <n v="19"/>
    <n v="38818.760160000005"/>
    <n v="21054.089999999997"/>
    <n v="17764.670160000009"/>
    <n v="0.45763105485025896"/>
    <n v="532.66700000000003"/>
    <n v="1025.2280000000001"/>
    <s v="High"/>
  </r>
  <r>
    <s v="ORD-2023-632893"/>
    <x v="238"/>
    <x v="15"/>
    <s v="Q2-2023"/>
    <x v="234"/>
    <d v="2023-05-10T00:00:00"/>
    <n v="3"/>
    <n v="1"/>
    <n v="1"/>
    <x v="0"/>
    <x v="1"/>
    <x v="1"/>
    <s v="Non-Profit"/>
    <s v="Marketplace"/>
    <s v="A. Patel"/>
    <x v="0"/>
    <x v="266"/>
    <n v="1269.6500000000001"/>
    <n v="2462.77"/>
    <n v="0.107"/>
    <n v="0.107"/>
    <n v="8"/>
    <n v="17594.028880000002"/>
    <n v="10157.200000000001"/>
    <n v="7436.8288800000009"/>
    <n v="0.42269050089225502"/>
    <n v="532.66700000000003"/>
    <n v="1025.2280000000001"/>
    <s v="High"/>
  </r>
  <r>
    <s v="ORD-2023-967239"/>
    <x v="239"/>
    <x v="4"/>
    <s v="Q4-2023"/>
    <x v="235"/>
    <d v="2024-01-01T00:00:00"/>
    <n v="8"/>
    <n v="0"/>
    <n v="0"/>
    <x v="2"/>
    <x v="5"/>
    <x v="8"/>
    <s v="Education"/>
    <s v="Direct"/>
    <s v="C. Otieno"/>
    <x v="3"/>
    <x v="267"/>
    <n v="526.49"/>
    <n v="496.2"/>
    <n v="0"/>
    <n v="0"/>
    <n v="14"/>
    <n v="6946.8"/>
    <n v="7370.8600000000006"/>
    <n v="-424.0600000000004"/>
    <n v="-6.1043933897621985E-2"/>
    <n v="532.66700000000003"/>
    <n v="1025.2280000000001"/>
    <s v="High"/>
  </r>
  <r>
    <s v="ORD-2024-885858"/>
    <x v="240"/>
    <x v="9"/>
    <s v="Q1-2024"/>
    <x v="236"/>
    <d v="2024-01-23T00:00:00"/>
    <n v="13"/>
    <n v="0"/>
    <n v="0"/>
    <x v="3"/>
    <x v="7"/>
    <x v="11"/>
    <s v="Corporate"/>
    <s v="Direct"/>
    <s v="A. Patel"/>
    <x v="1"/>
    <x v="268"/>
    <n v="720"/>
    <n v="907.59"/>
    <n v="0.154"/>
    <n v="0.154"/>
    <n v="10"/>
    <n v="7678.2113999999992"/>
    <n v="7200"/>
    <n v="478.21139999999923"/>
    <n v="6.2281614179052078E-2"/>
    <n v="532.66700000000003"/>
    <n v="1025.2280000000001"/>
    <s v="High"/>
  </r>
  <r>
    <s v="ORD-2023-253245"/>
    <x v="241"/>
    <x v="25"/>
    <s v="Q3-2023"/>
    <x v="237"/>
    <d v="2023-08-14T00:00:00"/>
    <n v="11"/>
    <n v="0"/>
    <n v="0"/>
    <x v="2"/>
    <x v="5"/>
    <x v="10"/>
    <s v="Corporate"/>
    <s v="Direct"/>
    <s v="J. Njeri"/>
    <x v="6"/>
    <x v="269"/>
    <n v="232.73"/>
    <n v="334.19"/>
    <n v="0.13400000000000001"/>
    <n v="0.13400000000000001"/>
    <n v="25"/>
    <n v="7235.2134999999998"/>
    <n v="5818.25"/>
    <n v="1416.9634999999998"/>
    <n v="0.1958426658729559"/>
    <n v="532.66700000000003"/>
    <n v="1025.2280000000001"/>
    <s v="High"/>
  </r>
  <r>
    <s v="ORD-2025-484073"/>
    <x v="242"/>
    <x v="26"/>
    <s v="Q1-2025"/>
    <x v="238"/>
    <d v="2025-03-09T00:00:00"/>
    <n v="18"/>
    <n v="0"/>
    <n v="0"/>
    <x v="1"/>
    <x v="4"/>
    <x v="18"/>
    <s v="Small Business"/>
    <s v="Direct"/>
    <s v="O. Wang"/>
    <x v="5"/>
    <x v="270"/>
    <n v="325.87"/>
    <n v="538.79"/>
    <n v="0.17399999999999999"/>
    <n v="0.17399999999999999"/>
    <n v="16"/>
    <n v="7120.6486400000003"/>
    <n v="5213.92"/>
    <n v="1906.7286400000003"/>
    <n v="0.26777457172778013"/>
    <n v="532.66700000000003"/>
    <n v="1025.2280000000001"/>
    <s v="High"/>
  </r>
  <r>
    <s v="ORD-2024-745822"/>
    <x v="243"/>
    <x v="0"/>
    <s v="Q1-2024"/>
    <x v="239"/>
    <d v="2024-04-17T00:00:00"/>
    <n v="17"/>
    <n v="0"/>
    <n v="0"/>
    <x v="3"/>
    <x v="6"/>
    <x v="36"/>
    <s v="Education"/>
    <s v="Direct"/>
    <s v="H. Kim"/>
    <x v="5"/>
    <x v="271"/>
    <n v="1025.51"/>
    <n v="1436.54"/>
    <n v="0.13900000000000001"/>
    <n v="0.13900000000000001"/>
    <n v="28"/>
    <n v="34632.106319999999"/>
    <n v="28714.28"/>
    <n v="5917.8263200000001"/>
    <n v="0.17087688127656453"/>
    <n v="532.66700000000003"/>
    <n v="1025.2280000000001"/>
    <s v="High"/>
  </r>
  <r>
    <s v="ORD-2023-369160"/>
    <x v="244"/>
    <x v="24"/>
    <s v="Q3-2023"/>
    <x v="240"/>
    <d v="2023-08-13T00:00:00"/>
    <n v="20"/>
    <n v="0"/>
    <n v="0"/>
    <x v="2"/>
    <x v="3"/>
    <x v="19"/>
    <s v="Education"/>
    <s v="Direct"/>
    <s v="C. Otieno"/>
    <x v="5"/>
    <x v="272"/>
    <n v="1082.3800000000001"/>
    <n v="1766.55"/>
    <n v="0.16400000000000001"/>
    <n v="0.16400000000000001"/>
    <n v="20"/>
    <n v="29536.716"/>
    <n v="21647.600000000002"/>
    <n v="7889.1159999999982"/>
    <n v="0.26709523157550752"/>
    <n v="532.66700000000003"/>
    <n v="1025.2280000000001"/>
    <s v="High"/>
  </r>
  <r>
    <s v="ORD-2024-834983"/>
    <x v="245"/>
    <x v="0"/>
    <s v="Q1-2024"/>
    <x v="241"/>
    <d v="2024-04-13T00:00:00"/>
    <n v="28"/>
    <n v="0"/>
    <n v="0"/>
    <x v="3"/>
    <x v="7"/>
    <x v="28"/>
    <s v="Small Business"/>
    <s v="Online"/>
    <s v="K. Singh"/>
    <x v="1"/>
    <x v="273"/>
    <n v="287.61"/>
    <n v="628.54"/>
    <n v="0.13500000000000001"/>
    <n v="0.13500000000000001"/>
    <n v="21"/>
    <n v="11417.429099999999"/>
    <n v="6039.81"/>
    <n v="5377.619099999999"/>
    <n v="0.47100087531964613"/>
    <n v="532.66700000000003"/>
    <n v="1025.2280000000001"/>
    <s v="High"/>
  </r>
  <r>
    <s v="ORD-2024-499009"/>
    <x v="246"/>
    <x v="9"/>
    <s v="Q1-2024"/>
    <x v="242"/>
    <d v="2024-01-27T00:00:00"/>
    <n v="2"/>
    <n v="1"/>
    <n v="1"/>
    <x v="2"/>
    <x v="5"/>
    <x v="8"/>
    <s v="Non-Profit"/>
    <s v="Marketplace"/>
    <s v="N. Brown"/>
    <x v="4"/>
    <x v="274"/>
    <n v="1410.97"/>
    <n v="1650.75"/>
    <n v="0.13500000000000001"/>
    <n v="0.13500000000000001"/>
    <n v="6"/>
    <n v="8567.3924999999999"/>
    <n v="8465.82"/>
    <n v="101.57250000000022"/>
    <n v="1.1855707556295596E-2"/>
    <n v="532.66700000000003"/>
    <n v="1025.2280000000001"/>
    <s v="High"/>
  </r>
  <r>
    <s v="ORD-2024-948800"/>
    <x v="247"/>
    <x v="0"/>
    <s v="Q1-2024"/>
    <x v="243"/>
    <d v="2024-04-11T00:00:00"/>
    <n v="15"/>
    <n v="0"/>
    <n v="0"/>
    <x v="2"/>
    <x v="10"/>
    <x v="24"/>
    <s v="Small Business"/>
    <s v="Direct"/>
    <s v="O. Wang"/>
    <x v="2"/>
    <x v="275"/>
    <n v="1338.35"/>
    <n v="2247.14"/>
    <n v="0.115"/>
    <n v="0.115"/>
    <n v="40"/>
    <n v="79548.755999999994"/>
    <n v="53534"/>
    <n v="26014.755999999994"/>
    <n v="0.32702907384246205"/>
    <n v="532.66700000000003"/>
    <n v="1025.2280000000001"/>
    <s v="High"/>
  </r>
  <r>
    <s v="ORD-2025-678328"/>
    <x v="35"/>
    <x v="16"/>
    <s v="Q2-2025"/>
    <x v="244"/>
    <d v="2025-07-14T00:00:00"/>
    <n v="20"/>
    <n v="0"/>
    <n v="0"/>
    <x v="3"/>
    <x v="6"/>
    <x v="9"/>
    <s v="Corporate"/>
    <s v="Direct"/>
    <s v="O. Wang"/>
    <x v="6"/>
    <x v="276"/>
    <n v="385.08"/>
    <n v="893.19"/>
    <n v="0.151"/>
    <n v="0.151"/>
    <n v="8"/>
    <n v="6066.54648"/>
    <n v="3080.64"/>
    <n v="2985.9064800000001"/>
    <n v="0.49219213762621666"/>
    <n v="532.66700000000003"/>
    <n v="1025.2280000000001"/>
    <s v="High"/>
  </r>
  <r>
    <s v="ORD-2024-580808"/>
    <x v="248"/>
    <x v="17"/>
    <s v="Q2-2024"/>
    <x v="245"/>
    <d v="2024-07-03T00:00:00"/>
    <n v="17"/>
    <n v="0"/>
    <n v="0"/>
    <x v="0"/>
    <x v="11"/>
    <x v="20"/>
    <s v="Enterprise"/>
    <s v="Marketplace"/>
    <s v="F. Müller"/>
    <x v="3"/>
    <x v="277"/>
    <n v="1173.83"/>
    <n v="2328.9"/>
    <n v="0.12"/>
    <n v="0.12"/>
    <n v="17"/>
    <n v="34840.344000000005"/>
    <n v="19955.11"/>
    <n v="14885.234000000004"/>
    <n v="0.42724130393201637"/>
    <n v="532.66700000000003"/>
    <n v="1025.2280000000001"/>
    <s v="High"/>
  </r>
  <r>
    <s v="ORD-2023-211715"/>
    <x v="249"/>
    <x v="32"/>
    <s v="Q4-2023"/>
    <x v="246"/>
    <d v="2023-11-14T00:00:00"/>
    <n v="15"/>
    <n v="0"/>
    <n v="0"/>
    <x v="1"/>
    <x v="4"/>
    <x v="6"/>
    <s v="Corporate"/>
    <s v="Online"/>
    <s v="F. Müller"/>
    <x v="4"/>
    <x v="278"/>
    <n v="953.46"/>
    <n v="2066.75"/>
    <n v="0.13800000000000001"/>
    <n v="0.13800000000000001"/>
    <n v="5"/>
    <n v="8907.6924999999992"/>
    <n v="4767.3"/>
    <n v="4140.392499999999"/>
    <n v="0.46481089238318446"/>
    <n v="532.66700000000003"/>
    <n v="1025.2280000000001"/>
    <s v="High"/>
  </r>
  <r>
    <s v="ORD-2023-715175"/>
    <x v="250"/>
    <x v="23"/>
    <s v="Q2-2023"/>
    <x v="90"/>
    <d v="2023-06-23T00:00:00"/>
    <n v="8"/>
    <n v="0"/>
    <n v="0"/>
    <x v="2"/>
    <x v="10"/>
    <x v="24"/>
    <s v="Consumer"/>
    <s v="Distributor"/>
    <s v="O. Wang"/>
    <x v="5"/>
    <x v="279"/>
    <n v="1097.0899999999999"/>
    <n v="2182.31"/>
    <n v="0.112"/>
    <n v="0.112"/>
    <n v="9"/>
    <n v="17441.021520000002"/>
    <n v="9873.81"/>
    <n v="7567.2115200000026"/>
    <n v="0.43387432962699546"/>
    <n v="532.66700000000003"/>
    <n v="1025.2280000000001"/>
    <s v="High"/>
  </r>
  <r>
    <s v="ORD-2025-685236"/>
    <x v="251"/>
    <x v="3"/>
    <s v="Q1-2025"/>
    <x v="247"/>
    <d v="2025-03-29T00:00:00"/>
    <n v="15"/>
    <n v="0"/>
    <n v="0"/>
    <x v="1"/>
    <x v="2"/>
    <x v="27"/>
    <s v="Non-Profit"/>
    <s v="Direct"/>
    <s v="H. Kim"/>
    <x v="2"/>
    <x v="280"/>
    <n v="1106.96"/>
    <n v="2726.62"/>
    <n v="0.3"/>
    <n v="0.317"/>
    <n v="7"/>
    <n v="13360.438"/>
    <n v="7748.72"/>
    <n v="5611.7179999999998"/>
    <n v="0.42002500217432992"/>
    <n v="532.66700000000003"/>
    <n v="1025.2280000000001"/>
    <s v="High"/>
  </r>
  <r>
    <s v="ORD-2023-274037"/>
    <x v="182"/>
    <x v="25"/>
    <s v="Q3-2023"/>
    <x v="136"/>
    <d v="2023-08-25T00:00:00"/>
    <n v="10"/>
    <n v="0"/>
    <n v="0"/>
    <x v="0"/>
    <x v="0"/>
    <x v="2"/>
    <s v="Small Business"/>
    <s v="Retail"/>
    <s v="N. Brown"/>
    <x v="3"/>
    <x v="281"/>
    <n v="91.85"/>
    <n v="111.29"/>
    <n v="0"/>
    <n v="0"/>
    <n v="6"/>
    <n v="667.74"/>
    <n v="551.09999999999991"/>
    <n v="116.6400000000001"/>
    <n v="0.17467876718483258"/>
    <n v="532.66700000000003"/>
    <n v="1025.2280000000001"/>
    <s v="Medium"/>
  </r>
  <r>
    <s v="ORD-2025-983096"/>
    <x v="252"/>
    <x v="8"/>
    <s v="Q2-2025"/>
    <x v="248"/>
    <d v="2025-05-28T00:00:00"/>
    <n v="11"/>
    <n v="0"/>
    <n v="0"/>
    <x v="1"/>
    <x v="4"/>
    <x v="6"/>
    <s v="Corporate"/>
    <s v="Distributor"/>
    <s v="B. Chen"/>
    <x v="4"/>
    <x v="282"/>
    <n v="623.4"/>
    <n v="1100.0899999999999"/>
    <n v="0.114"/>
    <n v="0.114"/>
    <n v="12"/>
    <n v="11696.156879999999"/>
    <n v="7480.7999999999993"/>
    <n v="4215.3568799999994"/>
    <n v="0.36040529579490388"/>
    <n v="532.66700000000003"/>
    <n v="1025.2280000000001"/>
    <s v="High"/>
  </r>
  <r>
    <s v="ORD-2024-366010"/>
    <x v="94"/>
    <x v="9"/>
    <s v="Q1-2024"/>
    <x v="249"/>
    <d v="2024-02-05T00:00:00"/>
    <n v="23"/>
    <n v="0"/>
    <n v="0"/>
    <x v="3"/>
    <x v="6"/>
    <x v="36"/>
    <s v="Education"/>
    <s v="Direct"/>
    <s v="B. Chen"/>
    <x v="4"/>
    <x v="283"/>
    <n v="1017.93"/>
    <n v="1529.14"/>
    <n v="0.155"/>
    <n v="0.155"/>
    <n v="12"/>
    <n v="15505.479600000001"/>
    <n v="12215.16"/>
    <n v="3290.3196000000007"/>
    <n v="0.21220366508366503"/>
    <n v="532.66700000000003"/>
    <n v="1025.2280000000001"/>
    <s v="High"/>
  </r>
  <r>
    <s v="ORD-2023-610470"/>
    <x v="87"/>
    <x v="23"/>
    <s v="Q2-2023"/>
    <x v="172"/>
    <d v="2023-07-21T00:00:00"/>
    <n v="27"/>
    <n v="0"/>
    <n v="0"/>
    <x v="1"/>
    <x v="2"/>
    <x v="32"/>
    <s v="Consumer"/>
    <s v="Marketplace"/>
    <s v="J. Njeri"/>
    <x v="3"/>
    <x v="284"/>
    <n v="554.76"/>
    <n v="728.69"/>
    <n v="0.22"/>
    <n v="0.22"/>
    <n v="7"/>
    <n v="3978.6474000000003"/>
    <n v="3883.3199999999997"/>
    <n v="95.32740000000058"/>
    <n v="2.395975074343119E-2"/>
    <n v="532.66700000000003"/>
    <n v="1025.2280000000001"/>
    <s v="High"/>
  </r>
  <r>
    <s v="ORD-2025-541048"/>
    <x v="253"/>
    <x v="19"/>
    <s v="Q2-2025"/>
    <x v="250"/>
    <d v="2025-04-13T00:00:00"/>
    <n v="9"/>
    <n v="0"/>
    <n v="0"/>
    <x v="3"/>
    <x v="6"/>
    <x v="22"/>
    <s v="Consumer"/>
    <s v="Marketplace"/>
    <s v="F. Müller"/>
    <x v="3"/>
    <x v="285"/>
    <n v="7.02"/>
    <n v="6.28"/>
    <n v="0.13400000000000001"/>
    <n v="0.13400000000000001"/>
    <n v="14"/>
    <n v="76.138720000000006"/>
    <n v="98.28"/>
    <n v="-22.141279999999995"/>
    <n v="-0.29080184169106066"/>
    <n v="532.66700000000003"/>
    <n v="1025.2280000000001"/>
    <s v="Low"/>
  </r>
  <r>
    <s v="ORD-2024-862371"/>
    <x v="254"/>
    <x v="29"/>
    <s v="Q3-2024"/>
    <x v="251"/>
    <d v="2024-09-07T00:00:00"/>
    <n v="0"/>
    <n v="1"/>
    <n v="1"/>
    <x v="1"/>
    <x v="4"/>
    <x v="29"/>
    <s v="Education"/>
    <s v="Distributor"/>
    <s v="B. Chen"/>
    <x v="2"/>
    <x v="286"/>
    <n v="1066.6500000000001"/>
    <n v="2569.77"/>
    <n v="0.13400000000000001"/>
    <n v="0.13400000000000001"/>
    <n v="9"/>
    <n v="20028.787380000002"/>
    <n v="9599.85"/>
    <n v="10428.937380000001"/>
    <n v="0.52069739331368348"/>
    <n v="532.66700000000003"/>
    <n v="1025.2280000000001"/>
    <s v="High"/>
  </r>
  <r>
    <s v="ORD-2024-277241"/>
    <x v="10"/>
    <x v="9"/>
    <s v="Q1-2024"/>
    <x v="252"/>
    <d v="2024-01-30T00:00:00"/>
    <n v="2"/>
    <n v="1"/>
    <n v="1"/>
    <x v="0"/>
    <x v="11"/>
    <x v="33"/>
    <s v="Consumer"/>
    <s v="Direct"/>
    <s v="F. Müller"/>
    <x v="6"/>
    <x v="287"/>
    <n v="798.45"/>
    <n v="1592.02"/>
    <n v="6.6000000000000003E-2"/>
    <n v="6.6000000000000003E-2"/>
    <n v="18"/>
    <n v="26765.040239999998"/>
    <n v="14372.1"/>
    <n v="12392.940239999998"/>
    <n v="0.46302714768494585"/>
    <n v="532.66700000000003"/>
    <n v="1025.2280000000001"/>
    <s v="High"/>
  </r>
  <r>
    <s v="ORD-2023-369150"/>
    <x v="255"/>
    <x v="24"/>
    <s v="Q3-2023"/>
    <x v="253"/>
    <d v="2023-08-10T00:00:00"/>
    <n v="23"/>
    <n v="0"/>
    <n v="0"/>
    <x v="0"/>
    <x v="11"/>
    <x v="20"/>
    <s v="Small Business"/>
    <s v="Retail"/>
    <s v="L. Okafor"/>
    <x v="0"/>
    <x v="288"/>
    <n v="1271.56"/>
    <n v="995.47"/>
    <n v="0.192"/>
    <n v="0.192"/>
    <n v="13"/>
    <n v="10456.416880000001"/>
    <n v="16530.28"/>
    <n v="-6073.8631199999982"/>
    <n v="-0.58087423155607754"/>
    <n v="532.66700000000003"/>
    <n v="1025.2280000000001"/>
    <s v="High"/>
  </r>
  <r>
    <s v="ORD-2025-922513"/>
    <x v="256"/>
    <x v="28"/>
    <s v="Q3-2025"/>
    <x v="254"/>
    <d v="2025-08-31T00:00:00"/>
    <n v="3"/>
    <n v="1"/>
    <n v="1"/>
    <x v="0"/>
    <x v="1"/>
    <x v="1"/>
    <s v="Small Business"/>
    <s v="Retail"/>
    <s v="A. Patel"/>
    <x v="6"/>
    <x v="289"/>
    <n v="521.05999999999995"/>
    <n v="1240.31"/>
    <n v="0.14599999999999999"/>
    <n v="0.14599999999999999"/>
    <n v="18"/>
    <n v="19066.045319999997"/>
    <n v="9379.0799999999981"/>
    <n v="9686.9653199999993"/>
    <n v="0.50807417885650974"/>
    <n v="532.66700000000003"/>
    <n v="1025.2280000000001"/>
    <s v="High"/>
  </r>
  <r>
    <s v="ORD-2025-752845"/>
    <x v="257"/>
    <x v="3"/>
    <s v="Q1-2025"/>
    <x v="255"/>
    <d v="2025-04-07T00:00:00"/>
    <n v="8"/>
    <n v="0"/>
    <n v="0"/>
    <x v="2"/>
    <x v="5"/>
    <x v="8"/>
    <s v="Non-Profit"/>
    <s v="Direct"/>
    <s v="L. Okafor"/>
    <x v="1"/>
    <x v="290"/>
    <n v="71.62"/>
    <n v="118.37"/>
    <n v="0.156"/>
    <n v="0.156"/>
    <n v="11"/>
    <n v="1098.9470800000001"/>
    <n v="787.82"/>
    <n v="311.12708000000009"/>
    <n v="0.28311379652603474"/>
    <n v="532.66700000000003"/>
    <n v="1025.2280000000001"/>
    <s v="High"/>
  </r>
  <r>
    <s v="ORD-2023-667815"/>
    <x v="258"/>
    <x v="32"/>
    <s v="Q4-2023"/>
    <x v="256"/>
    <d v="2023-11-09T00:00:00"/>
    <n v="19"/>
    <n v="0"/>
    <n v="0"/>
    <x v="3"/>
    <x v="8"/>
    <x v="21"/>
    <s v="Non-Profit"/>
    <s v="Direct"/>
    <s v="A. Patel"/>
    <x v="6"/>
    <x v="291"/>
    <n v="1142.48"/>
    <n v="2105.5300000000002"/>
    <n v="0.20699999999999999"/>
    <n v="0.20699999999999999"/>
    <n v="14"/>
    <n v="23375.594060000003"/>
    <n v="15994.720000000001"/>
    <n v="7380.8740600000019"/>
    <n v="0.31575129346680658"/>
    <n v="532.66700000000003"/>
    <n v="1025.2280000000001"/>
    <s v="High"/>
  </r>
  <r>
    <s v="ORD-2023-375011"/>
    <x v="259"/>
    <x v="25"/>
    <s v="Q3-2023"/>
    <x v="257"/>
    <d v="2023-09-22T00:00:00"/>
    <n v="30"/>
    <n v="0"/>
    <n v="0"/>
    <x v="3"/>
    <x v="8"/>
    <x v="21"/>
    <s v="Consumer"/>
    <s v="Distributor"/>
    <s v="O. Wang"/>
    <x v="6"/>
    <x v="292"/>
    <n v="209.81"/>
    <n v="523"/>
    <n v="5.8999999999999997E-2"/>
    <n v="5.8999999999999997E-2"/>
    <n v="15"/>
    <n v="7382.1450000000004"/>
    <n v="3147.15"/>
    <n v="4234.9950000000008"/>
    <n v="0.57368082041195356"/>
    <n v="532.66700000000003"/>
    <n v="1025.2280000000001"/>
    <s v="High"/>
  </r>
  <r>
    <s v="ORD-2025-487025"/>
    <x v="260"/>
    <x v="19"/>
    <s v="Q2-2025"/>
    <x v="164"/>
    <d v="2025-05-04T00:00:00"/>
    <n v="23"/>
    <n v="0"/>
    <n v="0"/>
    <x v="1"/>
    <x v="2"/>
    <x v="4"/>
    <s v="Small Business"/>
    <s v="Online"/>
    <s v="M. Rossi"/>
    <x v="0"/>
    <x v="293"/>
    <n v="786.2"/>
    <n v="1075.3"/>
    <n v="0.08"/>
    <n v="0.08"/>
    <n v="9"/>
    <n v="8903.4839999999986"/>
    <n v="7075.8"/>
    <n v="1827.6839999999984"/>
    <n v="0.20527739478163815"/>
    <n v="532.66700000000003"/>
    <n v="1025.2280000000001"/>
    <s v="High"/>
  </r>
  <r>
    <s v="ORD-2025-398335"/>
    <x v="261"/>
    <x v="16"/>
    <s v="Q2-2025"/>
    <x v="230"/>
    <d v="2025-06-27T00:00:00"/>
    <n v="26"/>
    <n v="0"/>
    <n v="0"/>
    <x v="3"/>
    <x v="6"/>
    <x v="22"/>
    <s v="Consumer"/>
    <s v="Distributor"/>
    <s v="E. Garcia"/>
    <x v="4"/>
    <x v="294"/>
    <n v="1362.31"/>
    <n v="3294.57"/>
    <n v="0.113"/>
    <n v="0.113"/>
    <n v="7"/>
    <n v="20455.985130000001"/>
    <n v="9536.17"/>
    <n v="10919.815130000001"/>
    <n v="0.5338200561157721"/>
    <n v="532.66700000000003"/>
    <n v="1025.2280000000001"/>
    <s v="High"/>
  </r>
  <r>
    <s v="ORD-2024-792137"/>
    <x v="262"/>
    <x v="0"/>
    <s v="Q1-2024"/>
    <x v="258"/>
    <d v="2024-03-16T00:00:00"/>
    <n v="14"/>
    <n v="0"/>
    <n v="0"/>
    <x v="2"/>
    <x v="3"/>
    <x v="26"/>
    <s v="Non-Profit"/>
    <s v="Direct"/>
    <s v="O. Wang"/>
    <x v="1"/>
    <x v="295"/>
    <n v="248.24"/>
    <n v="464.05"/>
    <n v="0.16900000000000001"/>
    <n v="0.16900000000000001"/>
    <n v="11"/>
    <n v="4241.88105"/>
    <n v="2730.6400000000003"/>
    <n v="1511.2410499999996"/>
    <n v="0.3562667203975462"/>
    <n v="532.66700000000003"/>
    <n v="1025.2280000000001"/>
    <s v="High"/>
  </r>
  <r>
    <s v="ORD-2023-602648"/>
    <x v="263"/>
    <x v="23"/>
    <s v="Q2-2023"/>
    <x v="259"/>
    <d v="2023-07-08T00:00:00"/>
    <n v="18"/>
    <n v="0"/>
    <n v="0"/>
    <x v="2"/>
    <x v="10"/>
    <x v="35"/>
    <s v="Non-Profit"/>
    <s v="Direct"/>
    <s v="F. Müller"/>
    <x v="5"/>
    <x v="296"/>
    <n v="337"/>
    <n v="511.03"/>
    <n v="0.108"/>
    <n v="0.108"/>
    <n v="7"/>
    <n v="3190.8713200000002"/>
    <n v="2359"/>
    <n v="831.8713200000002"/>
    <n v="0.26070349963219458"/>
    <n v="532.66700000000003"/>
    <n v="1025.2280000000001"/>
    <s v="High"/>
  </r>
  <r>
    <s v="ORD-2024-207096"/>
    <x v="264"/>
    <x v="0"/>
    <s v="Q1-2024"/>
    <x v="260"/>
    <d v="2024-04-05T00:00:00"/>
    <n v="10"/>
    <n v="0"/>
    <n v="0"/>
    <x v="2"/>
    <x v="10"/>
    <x v="35"/>
    <s v="Consumer"/>
    <s v="Direct"/>
    <s v="J. Njeri"/>
    <x v="5"/>
    <x v="297"/>
    <n v="5.66"/>
    <n v="4.22"/>
    <n v="0.11899999999999999"/>
    <n v="0.11899999999999999"/>
    <n v="18"/>
    <n v="66.920760000000001"/>
    <n v="101.88"/>
    <n v="-34.959239999999994"/>
    <n v="-0.52239753403876454"/>
    <n v="532.66700000000003"/>
    <n v="1025.2280000000001"/>
    <s v="Low"/>
  </r>
  <r>
    <s v="ORD-2025-939953"/>
    <x v="265"/>
    <x v="10"/>
    <s v="Q1-2025"/>
    <x v="261"/>
    <d v="2025-01-22T00:00:00"/>
    <n v="0"/>
    <n v="1"/>
    <n v="1"/>
    <x v="3"/>
    <x v="7"/>
    <x v="17"/>
    <s v="Small Business"/>
    <s v="Online"/>
    <s v="B. Chen"/>
    <x v="6"/>
    <x v="298"/>
    <n v="591.72"/>
    <n v="577.24"/>
    <n v="0"/>
    <n v="0"/>
    <n v="22"/>
    <n v="12699.28"/>
    <n v="13017.84"/>
    <n v="-318.55999999999949"/>
    <n v="-2.5084886702238195E-2"/>
    <n v="532.66700000000003"/>
    <n v="1025.2280000000001"/>
    <s v="High"/>
  </r>
  <r>
    <s v="ORD-2025-191328"/>
    <x v="266"/>
    <x v="8"/>
    <s v="Q2-2025"/>
    <x v="217"/>
    <d v="2025-05-27T00:00:00"/>
    <n v="17"/>
    <n v="0"/>
    <n v="0"/>
    <x v="2"/>
    <x v="3"/>
    <x v="26"/>
    <s v="Education"/>
    <s v="Direct"/>
    <s v="C. Otieno"/>
    <x v="0"/>
    <x v="299"/>
    <n v="862.89"/>
    <n v="1426.03"/>
    <n v="5.6000000000000001E-2"/>
    <n v="5.6000000000000001E-2"/>
    <n v="19"/>
    <n v="25577.274079999999"/>
    <n v="16394.91"/>
    <n v="9182.3640799999994"/>
    <n v="0.35900479665188778"/>
    <n v="532.66700000000003"/>
    <n v="1025.2280000000001"/>
    <s v="High"/>
  </r>
  <r>
    <s v="ORD-2023-166668"/>
    <x v="230"/>
    <x v="32"/>
    <s v="Q4-2023"/>
    <x v="262"/>
    <d v="2023-10-31T00:00:00"/>
    <n v="26"/>
    <n v="0"/>
    <n v="0"/>
    <x v="1"/>
    <x v="9"/>
    <x v="23"/>
    <s v="Consumer"/>
    <m/>
    <s v="J. Njeri"/>
    <x v="1"/>
    <x v="300"/>
    <n v="649.91"/>
    <n v="1360.12"/>
    <n v="0.19400000000000001"/>
    <n v="0.19400000000000001"/>
    <n v="9"/>
    <n v="9866.3104799999983"/>
    <n v="5849.19"/>
    <n v="4017.1204799999987"/>
    <n v="0.40715528749506769"/>
    <n v="532.66700000000003"/>
    <n v="1025.2280000000001"/>
    <s v="High"/>
  </r>
  <r>
    <s v="ORD-2023-594700"/>
    <x v="255"/>
    <x v="24"/>
    <s v="Q3-2023"/>
    <x v="263"/>
    <d v="2023-07-22T00:00:00"/>
    <n v="4"/>
    <n v="1"/>
    <n v="1"/>
    <x v="2"/>
    <x v="5"/>
    <x v="8"/>
    <s v="Consumer"/>
    <s v="Direct"/>
    <s v="F. Müller"/>
    <x v="2"/>
    <x v="301"/>
    <n v="1269.55"/>
    <n v="2071.1"/>
    <n v="0.129"/>
    <n v="0.129"/>
    <n v="22"/>
    <n v="39686.4182"/>
    <n v="27930.1"/>
    <n v="11756.318200000002"/>
    <n v="0.29623026549672354"/>
    <n v="532.66700000000003"/>
    <n v="1025.2280000000001"/>
    <s v="High"/>
  </r>
  <r>
    <s v="ORD-2025-278048"/>
    <x v="267"/>
    <x v="16"/>
    <s v="Q2-2025"/>
    <x v="264"/>
    <d v="2025-07-08T00:00:00"/>
    <n v="16"/>
    <n v="0"/>
    <n v="0"/>
    <x v="3"/>
    <x v="8"/>
    <x v="21"/>
    <s v="Education"/>
    <s v="Direct"/>
    <s v="A. Patel"/>
    <x v="3"/>
    <x v="302"/>
    <n v="892.73"/>
    <n v="979.84"/>
    <n v="0.17399999999999999"/>
    <n v="0.17399999999999999"/>
    <n v="10"/>
    <n v="8093.4784"/>
    <n v="8927.2999999999993"/>
    <n v="-833.82159999999931"/>
    <n v="-0.10302388649112838"/>
    <n v="532.66700000000003"/>
    <n v="1025.2280000000001"/>
    <s v="High"/>
  </r>
  <r>
    <s v="ORD-2024-878493"/>
    <x v="268"/>
    <x v="17"/>
    <s v="Q2-2024"/>
    <x v="265"/>
    <d v="2024-06-20T00:00:00"/>
    <n v="1"/>
    <n v="1"/>
    <n v="1"/>
    <x v="0"/>
    <x v="0"/>
    <x v="0"/>
    <s v="Small Business"/>
    <s v="Direct"/>
    <s v="J. Njeri"/>
    <x v="4"/>
    <x v="303"/>
    <n v="231.63"/>
    <n v="537.39"/>
    <n v="0.08"/>
    <n v="0.08"/>
    <n v="12"/>
    <n v="5932.7856000000002"/>
    <n v="2779.56"/>
    <n v="3153.2256000000002"/>
    <n v="0.53149158129024587"/>
    <n v="532.66700000000003"/>
    <n v="1025.2280000000001"/>
    <s v="High"/>
  </r>
  <r>
    <s v="ORD-2025-138578"/>
    <x v="69"/>
    <x v="19"/>
    <s v="Q2-2025"/>
    <x v="266"/>
    <d v="2025-04-12T00:00:00"/>
    <n v="3"/>
    <n v="1"/>
    <n v="1"/>
    <x v="3"/>
    <x v="7"/>
    <x v="17"/>
    <s v="Small Business"/>
    <s v="Distributor"/>
    <s v="H. Kim"/>
    <x v="5"/>
    <x v="304"/>
    <n v="86.68"/>
    <n v="213.32"/>
    <n v="3.7999999999999999E-2"/>
    <n v="3.7999999999999999E-2"/>
    <n v="8"/>
    <n v="1641.7107199999998"/>
    <n v="693.44"/>
    <n v="948.27071999999976"/>
    <n v="0.57761133459614611"/>
    <n v="532.66700000000003"/>
    <n v="1025.2280000000001"/>
    <s v="High"/>
  </r>
  <r>
    <s v="ORD-2025-944081"/>
    <x v="80"/>
    <x v="3"/>
    <s v="Q1-2025"/>
    <x v="267"/>
    <d v="2025-03-26T00:00:00"/>
    <n v="1"/>
    <n v="1"/>
    <n v="1"/>
    <x v="0"/>
    <x v="1"/>
    <x v="3"/>
    <s v="Education"/>
    <s v="Distributor"/>
    <s v="G. Dubois"/>
    <x v="6"/>
    <x v="305"/>
    <n v="1450.43"/>
    <n v="1994.67"/>
    <n v="0.1"/>
    <n v="0.1"/>
    <n v="24"/>
    <n v="43084.872000000003"/>
    <n v="34810.32"/>
    <n v="8274.5520000000033"/>
    <n v="0.19205237513529116"/>
    <n v="532.66700000000003"/>
    <n v="1025.2280000000001"/>
    <s v="High"/>
  </r>
  <r>
    <s v="ORD-2025-364852"/>
    <x v="269"/>
    <x v="8"/>
    <s v="Q2-2025"/>
    <x v="9"/>
    <d v="2025-06-09T00:00:00"/>
    <n v="22"/>
    <n v="0"/>
    <n v="0"/>
    <x v="2"/>
    <x v="10"/>
    <x v="39"/>
    <s v="Consumer"/>
    <s v="Retail"/>
    <s v="H. Kim"/>
    <x v="2"/>
    <x v="306"/>
    <n v="382.96"/>
    <n v="552.84"/>
    <n v="0.17599999999999999"/>
    <n v="0.17599999999999999"/>
    <n v="8"/>
    <n v="3644.3212800000006"/>
    <n v="3063.68"/>
    <n v="580.64128000000073"/>
    <n v="0.15932768693763483"/>
    <n v="532.66700000000003"/>
    <n v="1025.2280000000001"/>
    <s v="High"/>
  </r>
  <r>
    <s v="ORD-2025-415018"/>
    <x v="265"/>
    <x v="10"/>
    <s v="Q1-2025"/>
    <x v="268"/>
    <d v="2025-02-04T00:00:00"/>
    <n v="13"/>
    <n v="0"/>
    <n v="0"/>
    <x v="1"/>
    <x v="2"/>
    <x v="27"/>
    <s v="Small Business"/>
    <s v="Distributor"/>
    <s v="L. Okafor"/>
    <x v="1"/>
    <x v="307"/>
    <n v="122.29"/>
    <n v="224.95"/>
    <n v="0.153"/>
    <n v="0.153"/>
    <n v="28"/>
    <n v="5334.9141999999993"/>
    <n v="3424.1200000000003"/>
    <n v="1910.7941999999989"/>
    <n v="0.3581677471026618"/>
    <n v="532.66700000000003"/>
    <n v="1025.2280000000001"/>
    <s v="High"/>
  </r>
  <r>
    <s v="ORD-2023-884192"/>
    <x v="270"/>
    <x v="5"/>
    <s v="Q1-2023"/>
    <x v="269"/>
    <d v="2023-01-29T00:00:00"/>
    <n v="19"/>
    <n v="0"/>
    <n v="0"/>
    <x v="3"/>
    <x v="7"/>
    <x v="17"/>
    <s v="Non-Profit"/>
    <s v="Direct"/>
    <s v="D. Smith"/>
    <x v="4"/>
    <x v="308"/>
    <n v="401.66"/>
    <n v="772.09"/>
    <n v="8.8999999999999996E-2"/>
    <n v="8.8999999999999996E-2"/>
    <n v="14"/>
    <n v="9847.2358600000007"/>
    <n v="5623.2400000000007"/>
    <n v="4223.99586"/>
    <n v="0.42895244107619046"/>
    <n v="532.66700000000003"/>
    <n v="1025.2280000000001"/>
    <s v="High"/>
  </r>
  <r>
    <s v="ORD-2024-165942"/>
    <x v="271"/>
    <x v="6"/>
    <s v="Q4-2024"/>
    <x v="131"/>
    <d v="2025-01-12T00:00:00"/>
    <n v="14"/>
    <n v="0"/>
    <n v="0"/>
    <x v="3"/>
    <x v="8"/>
    <x v="31"/>
    <s v="Corporate"/>
    <s v="Direct"/>
    <s v="B. Chen"/>
    <x v="5"/>
    <x v="309"/>
    <n v="1399.72"/>
    <n v="3149.21"/>
    <n v="0.185"/>
    <n v="0.185"/>
    <n v="12"/>
    <n v="30799.273800000003"/>
    <n v="16796.64"/>
    <n v="14002.633800000003"/>
    <n v="0.45464168703873797"/>
    <n v="532.66700000000003"/>
    <n v="1025.2280000000001"/>
    <s v="High"/>
  </r>
  <r>
    <s v="ORD-2024-403664"/>
    <x v="154"/>
    <x v="7"/>
    <s v="Q2-2024"/>
    <x v="65"/>
    <d v="2024-06-06T00:00:00"/>
    <n v="14"/>
    <n v="0"/>
    <n v="0"/>
    <x v="2"/>
    <x v="5"/>
    <x v="30"/>
    <s v="Non-Profit"/>
    <s v="Online"/>
    <s v="I. Johnson"/>
    <x v="2"/>
    <x v="310"/>
    <n v="51.13"/>
    <n v="57.53"/>
    <n v="4.4999999999999998E-2"/>
    <n v="4.4999999999999998E-2"/>
    <n v="16"/>
    <n v="879.05840000000001"/>
    <n v="818.08"/>
    <n v="60.978399999999965"/>
    <n v="6.9367859973808302E-2"/>
    <n v="532.66700000000003"/>
    <n v="1025.2280000000001"/>
    <s v="Medium"/>
  </r>
  <r>
    <s v="ORD-2023-890605"/>
    <x v="87"/>
    <x v="23"/>
    <s v="Q2-2023"/>
    <x v="270"/>
    <d v="2023-06-27T00:00:00"/>
    <n v="3"/>
    <n v="1"/>
    <n v="1"/>
    <x v="2"/>
    <x v="3"/>
    <x v="5"/>
    <s v="Non-Profit"/>
    <s v="Retail"/>
    <s v="M. Rossi"/>
    <x v="6"/>
    <x v="311"/>
    <n v="471.42"/>
    <n v="824.81"/>
    <n v="8.7999999999999995E-2"/>
    <n v="8.7999999999999995E-2"/>
    <n v="15"/>
    <n v="11283.400799999999"/>
    <n v="7071.3"/>
    <n v="4212.1007999999993"/>
    <n v="0.37330064531608231"/>
    <n v="532.66700000000003"/>
    <n v="1025.2280000000001"/>
    <s v="High"/>
  </r>
  <r>
    <s v="ORD-2024-925626"/>
    <x v="272"/>
    <x v="18"/>
    <s v="Q4-2024"/>
    <x v="271"/>
    <d v="2024-11-05T00:00:00"/>
    <n v="1"/>
    <n v="1"/>
    <n v="1"/>
    <x v="3"/>
    <x v="8"/>
    <x v="21"/>
    <s v="Corporate"/>
    <s v="Retail"/>
    <s v="M. Rossi"/>
    <x v="1"/>
    <x v="312"/>
    <n v="840.68"/>
    <n v="1493.53"/>
    <n v="0"/>
    <n v="0"/>
    <n v="27"/>
    <n v="40325.31"/>
    <n v="22698.359999999997"/>
    <n v="17626.95"/>
    <n v="0.43711877230454027"/>
    <n v="532.66700000000003"/>
    <n v="1025.2280000000001"/>
    <s v="High"/>
  </r>
  <r>
    <s v="ORD-2024-427031"/>
    <x v="273"/>
    <x v="17"/>
    <s v="Q2-2024"/>
    <x v="272"/>
    <d v="2024-06-24T00:00:00"/>
    <n v="16"/>
    <n v="0"/>
    <n v="0"/>
    <x v="0"/>
    <x v="11"/>
    <x v="25"/>
    <s v="Education"/>
    <s v="Distributor"/>
    <s v="H. Kim"/>
    <x v="5"/>
    <x v="313"/>
    <n v="597.85"/>
    <n v="741.92"/>
    <n v="3.1E-2"/>
    <n v="3.1E-2"/>
    <n v="7"/>
    <n v="5032.4433599999993"/>
    <n v="4184.95"/>
    <n v="847.49335999999948"/>
    <n v="0.16840594108544515"/>
    <n v="532.66700000000003"/>
    <n v="1025.2280000000001"/>
    <s v="High"/>
  </r>
  <r>
    <s v="ORD-2025-231184"/>
    <x v="261"/>
    <x v="16"/>
    <s v="Q2-2025"/>
    <x v="273"/>
    <d v="2025-06-06T00:00:00"/>
    <n v="5"/>
    <n v="1"/>
    <n v="1"/>
    <x v="3"/>
    <x v="7"/>
    <x v="28"/>
    <s v="Consumer"/>
    <s v="Distributor"/>
    <s v="G. Dubois"/>
    <x v="0"/>
    <x v="314"/>
    <n v="379.45"/>
    <n v="742.23"/>
    <n v="0.09"/>
    <n v="0.09"/>
    <n v="13"/>
    <n v="8780.5809000000008"/>
    <n v="4932.8499999999995"/>
    <n v="3847.7309000000014"/>
    <n v="0.43820915083192286"/>
    <n v="532.66700000000003"/>
    <n v="1025.2280000000001"/>
    <s v="High"/>
  </r>
  <r>
    <s v="ORD-2023-363031"/>
    <x v="274"/>
    <x v="15"/>
    <s v="Q2-2023"/>
    <x v="28"/>
    <d v="2023-05-14T00:00:00"/>
    <n v="8"/>
    <n v="0"/>
    <n v="0"/>
    <x v="1"/>
    <x v="2"/>
    <x v="4"/>
    <s v="Enterprise"/>
    <s v="Marketplace"/>
    <s v="B. Chen"/>
    <x v="3"/>
    <x v="315"/>
    <n v="291.18"/>
    <n v="479.54"/>
    <n v="0.14099999999999999"/>
    <n v="0.14099999999999999"/>
    <n v="22"/>
    <n v="9062.34692"/>
    <n v="6405.96"/>
    <n v="2656.3869199999999"/>
    <n v="0.29312350801066001"/>
    <n v="532.66700000000003"/>
    <n v="1025.2280000000001"/>
    <s v="High"/>
  </r>
  <r>
    <s v="ORD-2023-619570"/>
    <x v="275"/>
    <x v="30"/>
    <s v="Q4-2023"/>
    <x v="274"/>
    <d v="2023-11-30T00:00:00"/>
    <n v="16"/>
    <n v="0"/>
    <n v="0"/>
    <x v="2"/>
    <x v="5"/>
    <x v="8"/>
    <s v="Enterprise"/>
    <s v="Direct"/>
    <s v="K. Singh"/>
    <x v="2"/>
    <x v="316"/>
    <n v="1017.92"/>
    <n v="1175.25"/>
    <n v="7.4999999999999997E-2"/>
    <n v="7.4999999999999997E-2"/>
    <n v="15"/>
    <n v="16306.59375"/>
    <n v="15268.8"/>
    <n v="1037.7937500000007"/>
    <n v="6.3642583234159542E-2"/>
    <n v="532.66700000000003"/>
    <n v="1025.2280000000001"/>
    <s v="High"/>
  </r>
  <r>
    <s v="ORD-2025-861401"/>
    <x v="276"/>
    <x v="19"/>
    <s v="Q2-2025"/>
    <x v="275"/>
    <d v="2025-04-27T00:00:00"/>
    <n v="26"/>
    <n v="0"/>
    <n v="0"/>
    <x v="2"/>
    <x v="10"/>
    <x v="24"/>
    <s v="Corporate"/>
    <s v="Direct"/>
    <s v="I. Johnson"/>
    <x v="5"/>
    <x v="317"/>
    <n v="156.55000000000001"/>
    <n v="227.45"/>
    <n v="1.4E-2"/>
    <n v="1.4E-2"/>
    <n v="13"/>
    <n v="2915.4540999999999"/>
    <n v="2035.15"/>
    <n v="880.30409999999983"/>
    <n v="0.3019440779396938"/>
    <n v="532.66700000000003"/>
    <n v="1025.2280000000001"/>
    <s v="High"/>
  </r>
  <r>
    <s v="ORD-2023-835010"/>
    <x v="277"/>
    <x v="22"/>
    <s v="Q1-2023"/>
    <x v="276"/>
    <d v="2023-04-15T00:00:00"/>
    <n v="23"/>
    <n v="0"/>
    <n v="0"/>
    <x v="0"/>
    <x v="0"/>
    <x v="13"/>
    <s v="Small Business"/>
    <s v="Retail"/>
    <s v="C. Otieno"/>
    <x v="6"/>
    <x v="318"/>
    <n v="875.36"/>
    <n v="1178.6199999999999"/>
    <n v="0.151"/>
    <n v="0.151"/>
    <n v="53"/>
    <n v="53034.364139999991"/>
    <n v="46394.080000000002"/>
    <n v="6640.2841399999888"/>
    <n v="0.12520719815685888"/>
    <n v="532.66700000000003"/>
    <n v="1025.2280000000001"/>
    <s v="High"/>
  </r>
  <r>
    <s v="ORD-2024-819979"/>
    <x v="91"/>
    <x v="7"/>
    <s v="Q2-2024"/>
    <x v="277"/>
    <d v="2024-06-18T00:00:00"/>
    <n v="21"/>
    <n v="0"/>
    <n v="0"/>
    <x v="3"/>
    <x v="6"/>
    <x v="36"/>
    <s v="Small Business"/>
    <s v="Online"/>
    <s v="E. Garcia"/>
    <x v="3"/>
    <x v="319"/>
    <n v="986.85"/>
    <n v="2422.1"/>
    <n v="7.5999999999999998E-2"/>
    <n v="7.5999999999999998E-2"/>
    <n v="10"/>
    <n v="22380.204000000002"/>
    <n v="9868.5"/>
    <n v="12511.704000000002"/>
    <n v="0.55905227673527913"/>
    <n v="532.66700000000003"/>
    <n v="1025.2280000000001"/>
    <s v="High"/>
  </r>
  <r>
    <s v="ORD-2024-719055"/>
    <x v="278"/>
    <x v="9"/>
    <s v="Q1-2024"/>
    <x v="235"/>
    <d v="2024-01-05T00:00:00"/>
    <n v="3"/>
    <n v="1"/>
    <n v="1"/>
    <x v="2"/>
    <x v="10"/>
    <x v="15"/>
    <s v="Education"/>
    <s v="Marketplace"/>
    <s v="B. Chen"/>
    <x v="2"/>
    <x v="320"/>
    <n v="404.77"/>
    <n v="433.88"/>
    <n v="0.215"/>
    <n v="0.215"/>
    <n v="22"/>
    <n v="7493.1076000000012"/>
    <n v="8904.9399999999987"/>
    <n v="-1411.8323999999975"/>
    <n v="-0.18841747314558746"/>
    <n v="532.66700000000003"/>
    <n v="1025.2280000000001"/>
    <s v="High"/>
  </r>
  <r>
    <s v="ORD-2023-888245"/>
    <x v="2"/>
    <x v="2"/>
    <s v="Q1-2023"/>
    <x v="278"/>
    <d v="2023-03-03T00:00:00"/>
    <n v="3"/>
    <n v="1"/>
    <n v="1"/>
    <x v="3"/>
    <x v="7"/>
    <x v="11"/>
    <s v="Corporate"/>
    <s v="Retail"/>
    <s v="K. Singh"/>
    <x v="2"/>
    <x v="321"/>
    <n v="1299.81"/>
    <n v="3149.13"/>
    <n v="0.10299999999999999"/>
    <n v="0.10299999999999999"/>
    <n v="14"/>
    <n v="39546.774539999999"/>
    <n v="18197.34"/>
    <n v="21349.434539999998"/>
    <n v="0.53985273864511729"/>
    <n v="532.66700000000003"/>
    <n v="1025.2280000000001"/>
    <s v="High"/>
  </r>
  <r>
    <s v="ORD-2024-206121"/>
    <x v="142"/>
    <x v="31"/>
    <s v="Q1-2024"/>
    <x v="279"/>
    <d v="2024-03-11T00:00:00"/>
    <n v="22"/>
    <n v="0"/>
    <n v="0"/>
    <x v="2"/>
    <x v="5"/>
    <x v="8"/>
    <s v="Consumer"/>
    <s v="Online"/>
    <s v="A. Patel"/>
    <x v="0"/>
    <x v="322"/>
    <n v="80.48"/>
    <n v="65.650000000000006"/>
    <n v="0.17599999999999999"/>
    <n v="0.17599999999999999"/>
    <n v="13"/>
    <n v="703.2428000000001"/>
    <n v="1046.24"/>
    <n v="-342.99719999999991"/>
    <n v="-0.48773652570634191"/>
    <n v="532.66700000000003"/>
    <n v="1025.2280000000001"/>
    <s v="Medium"/>
  </r>
  <r>
    <s v="ORD-2024-500890"/>
    <x v="190"/>
    <x v="29"/>
    <s v="Q3-2024"/>
    <x v="233"/>
    <d v="2024-10-08T00:00:00"/>
    <n v="29"/>
    <n v="0"/>
    <n v="0"/>
    <x v="2"/>
    <x v="5"/>
    <x v="8"/>
    <s v="Education"/>
    <s v="Direct"/>
    <s v="J. Njeri"/>
    <x v="0"/>
    <x v="323"/>
    <n v="1010.33"/>
    <n v="2492.14"/>
    <n v="5.0999999999999997E-2"/>
    <n v="5.0999999999999997E-2"/>
    <n v="11"/>
    <n v="26015.449459999996"/>
    <n v="11113.630000000001"/>
    <n v="14901.819459999995"/>
    <n v="0.57280653493656752"/>
    <n v="532.66700000000003"/>
    <n v="1025.2280000000001"/>
    <s v="High"/>
  </r>
  <r>
    <s v="ORD-2023-144816"/>
    <x v="238"/>
    <x v="15"/>
    <s v="Q2-2023"/>
    <x v="280"/>
    <d v="2023-05-29T00:00:00"/>
    <n v="22"/>
    <n v="0"/>
    <n v="0"/>
    <x v="0"/>
    <x v="11"/>
    <x v="25"/>
    <s v="Education"/>
    <s v="Distributor"/>
    <s v="K. Singh"/>
    <x v="6"/>
    <x v="324"/>
    <n v="653.86"/>
    <n v="931.84"/>
    <n v="0.121"/>
    <n v="0.121"/>
    <n v="12"/>
    <n v="9829.0483199999999"/>
    <n v="7846.32"/>
    <n v="1982.7283200000002"/>
    <n v="0.20172129136506273"/>
    <n v="532.66700000000003"/>
    <n v="1025.2280000000001"/>
    <s v="High"/>
  </r>
  <r>
    <s v="ORD-2024-153053"/>
    <x v="181"/>
    <x v="9"/>
    <s v="Q1-2024"/>
    <x v="185"/>
    <d v="2024-01-29T00:00:00"/>
    <n v="17"/>
    <n v="0"/>
    <n v="0"/>
    <x v="1"/>
    <x v="4"/>
    <x v="34"/>
    <s v="Small Business"/>
    <s v="Direct"/>
    <s v="B. Chen"/>
    <x v="0"/>
    <x v="325"/>
    <n v="310.02"/>
    <n v="619.51"/>
    <n v="4.2000000000000003E-2"/>
    <n v="4.2000000000000003E-2"/>
    <n v="4"/>
    <n v="2373.9623200000001"/>
    <n v="1240.08"/>
    <n v="1133.8823200000002"/>
    <n v="0.47763282106347843"/>
    <n v="532.66700000000003"/>
    <n v="1025.2280000000001"/>
    <s v="High"/>
  </r>
  <r>
    <s v="ORD-2023-536542"/>
    <x v="279"/>
    <x v="23"/>
    <s v="Q2-2023"/>
    <x v="281"/>
    <d v="2023-06-18T00:00:00"/>
    <n v="8"/>
    <n v="0"/>
    <n v="0"/>
    <x v="0"/>
    <x v="0"/>
    <x v="16"/>
    <s v="Enterprise"/>
    <s v="Direct"/>
    <s v="H. Kim"/>
    <x v="3"/>
    <x v="326"/>
    <n v="894.23"/>
    <n v="1421.55"/>
    <n v="0.109"/>
    <n v="0.109"/>
    <n v="3"/>
    <n v="3799.8031499999997"/>
    <n v="2682.69"/>
    <n v="1117.1131499999997"/>
    <n v="0.29399237431549574"/>
    <n v="532.66700000000003"/>
    <n v="1025.2280000000001"/>
    <s v="High"/>
  </r>
  <r>
    <s v="ORD-2025-779530"/>
    <x v="280"/>
    <x v="8"/>
    <s v="Q2-2025"/>
    <x v="282"/>
    <d v="2025-05-22T00:00:00"/>
    <n v="3"/>
    <n v="1"/>
    <n v="1"/>
    <x v="2"/>
    <x v="5"/>
    <x v="8"/>
    <s v="Small Business"/>
    <s v="Distributor"/>
    <s v="L. Okafor"/>
    <x v="5"/>
    <x v="327"/>
    <n v="383.77"/>
    <n v="952.56"/>
    <n v="0.3"/>
    <n v="0.34599999999999997"/>
    <n v="10"/>
    <n v="6667.9199999999983"/>
    <n v="3837.7"/>
    <n v="2830.2199999999984"/>
    <n v="0.42445320279787385"/>
    <n v="532.66700000000003"/>
    <n v="1025.2280000000001"/>
    <s v="High"/>
  </r>
  <r>
    <s v="ORD-2023-163610"/>
    <x v="281"/>
    <x v="32"/>
    <s v="Q4-2023"/>
    <x v="283"/>
    <d v="2023-11-16T00:00:00"/>
    <n v="25"/>
    <n v="0"/>
    <n v="0"/>
    <x v="2"/>
    <x v="3"/>
    <x v="5"/>
    <s v="Small Business"/>
    <s v="Marketplace"/>
    <s v="I. Johnson"/>
    <x v="4"/>
    <x v="328"/>
    <n v="1373.31"/>
    <n v="3154.14"/>
    <n v="0.2"/>
    <n v="0.2"/>
    <n v="11"/>
    <n v="27756.432000000001"/>
    <n v="15106.41"/>
    <n v="12650.022000000001"/>
    <n v="0.45575101295440279"/>
    <n v="532.66700000000003"/>
    <n v="1025.2280000000001"/>
    <s v="High"/>
  </r>
  <r>
    <s v="ORD-2025-653781"/>
    <x v="282"/>
    <x v="10"/>
    <s v="Q1-2025"/>
    <x v="11"/>
    <d v="2025-01-23T00:00:00"/>
    <n v="12"/>
    <n v="0"/>
    <n v="0"/>
    <x v="2"/>
    <x v="10"/>
    <x v="35"/>
    <s v="Consumer"/>
    <s v="Distributor"/>
    <s v="H. Kim"/>
    <x v="3"/>
    <x v="329"/>
    <n v="100.69"/>
    <n v="226.14"/>
    <n v="6.5000000000000002E-2"/>
    <n v="6.5000000000000002E-2"/>
    <n v="12"/>
    <n v="2537.2908000000002"/>
    <n v="1208.28"/>
    <n v="1329.0108000000002"/>
    <n v="0.52379128162999689"/>
    <n v="532.66700000000003"/>
    <n v="1025.2280000000001"/>
    <s v="High"/>
  </r>
  <r>
    <s v="ORD-2025-737787"/>
    <x v="283"/>
    <x v="11"/>
    <s v="Q3-2025"/>
    <x v="284"/>
    <d v="2025-09-26T00:00:00"/>
    <n v="12"/>
    <n v="0"/>
    <n v="0"/>
    <x v="3"/>
    <x v="8"/>
    <x v="21"/>
    <s v="Small Business"/>
    <s v="Direct"/>
    <s v="N. Brown"/>
    <x v="2"/>
    <x v="330"/>
    <n v="425.15"/>
    <n v="885.92"/>
    <n v="0.23899999999999999"/>
    <n v="0.23899999999999999"/>
    <n v="13"/>
    <n v="8764.4065599999994"/>
    <n v="5526.95"/>
    <n v="3237.4565599999996"/>
    <n v="0.3693868532725848"/>
    <n v="532.66700000000003"/>
    <n v="1025.2280000000001"/>
    <s v="High"/>
  </r>
  <r>
    <s v="ORD-2023-944052"/>
    <x v="52"/>
    <x v="25"/>
    <s v="Q3-2023"/>
    <x v="285"/>
    <d v="2023-09-03T00:00:00"/>
    <n v="4"/>
    <n v="1"/>
    <n v="1"/>
    <x v="1"/>
    <x v="4"/>
    <x v="18"/>
    <s v="Small Business"/>
    <s v="Marketplace"/>
    <s v="L. Okafor"/>
    <x v="6"/>
    <x v="331"/>
    <n v="1082.25"/>
    <n v="2433.34"/>
    <n v="0.27"/>
    <n v="0.27"/>
    <n v="4"/>
    <n v="7105.3528000000006"/>
    <n v="4329"/>
    <n v="2776.3528000000006"/>
    <n v="0.3907410199251472"/>
    <n v="532.66700000000003"/>
    <n v="1025.2280000000001"/>
    <s v="High"/>
  </r>
  <r>
    <s v="ORD-2023-181257"/>
    <x v="284"/>
    <x v="30"/>
    <s v="Q4-2023"/>
    <x v="286"/>
    <d v="2023-12-06T00:00:00"/>
    <n v="21"/>
    <n v="0"/>
    <n v="0"/>
    <x v="3"/>
    <x v="8"/>
    <x v="31"/>
    <s v="Education"/>
    <s v="Direct"/>
    <s v="H. Kim"/>
    <x v="6"/>
    <x v="332"/>
    <n v="1184.99"/>
    <n v="1154.3399999999999"/>
    <n v="2.8000000000000001E-2"/>
    <n v="2.8000000000000001E-2"/>
    <n v="5"/>
    <n v="5610.0923999999995"/>
    <n v="5924.95"/>
    <n v="-314.85760000000028"/>
    <n v="-5.6123424990290764E-2"/>
    <n v="532.66700000000003"/>
    <n v="1025.2280000000001"/>
    <s v="High"/>
  </r>
  <r>
    <s v="ORD-2025-323492"/>
    <x v="60"/>
    <x v="19"/>
    <s v="Q2-2025"/>
    <x v="217"/>
    <d v="2025-05-27T00:00:00"/>
    <n v="30"/>
    <n v="0"/>
    <n v="0"/>
    <x v="1"/>
    <x v="4"/>
    <x v="18"/>
    <s v="Enterprise"/>
    <s v="Marketplace"/>
    <s v="H. Kim"/>
    <x v="3"/>
    <x v="333"/>
    <n v="481.32"/>
    <n v="1135.99"/>
    <n v="0.14499999999999999"/>
    <n v="0.14499999999999999"/>
    <n v="5"/>
    <n v="4856.35725"/>
    <n v="2406.6"/>
    <n v="2449.7572500000001"/>
    <n v="0.50444337677175621"/>
    <n v="532.66700000000003"/>
    <n v="1025.2280000000001"/>
    <s v="High"/>
  </r>
  <r>
    <s v="ORD-2024-332076"/>
    <x v="285"/>
    <x v="20"/>
    <s v="Q2-2024"/>
    <x v="287"/>
    <d v="2024-04-18T00:00:00"/>
    <n v="9"/>
    <n v="0"/>
    <n v="0"/>
    <x v="3"/>
    <x v="7"/>
    <x v="17"/>
    <s v="Consumer"/>
    <s v="Online"/>
    <s v="E. Garcia"/>
    <x v="1"/>
    <x v="334"/>
    <n v="1288.8499999999999"/>
    <n v="2751.84"/>
    <n v="0.158"/>
    <n v="0.158"/>
    <n v="7"/>
    <n v="16219.34496"/>
    <n v="9021.9499999999989"/>
    <n v="7197.3949600000014"/>
    <n v="0.44375373837538756"/>
    <n v="532.66700000000003"/>
    <n v="1025.2280000000001"/>
    <s v="High"/>
  </r>
  <r>
    <s v="ORD-2024-571797"/>
    <x v="286"/>
    <x v="14"/>
    <s v="Q3-2024"/>
    <x v="223"/>
    <d v="2024-07-31T00:00:00"/>
    <n v="20"/>
    <n v="0"/>
    <n v="0"/>
    <x v="1"/>
    <x v="9"/>
    <x v="14"/>
    <s v="Consumer"/>
    <s v="Online"/>
    <s v="G. Dubois"/>
    <x v="3"/>
    <x v="335"/>
    <n v="647.26"/>
    <n v="1374.72"/>
    <n v="6.6000000000000003E-2"/>
    <n v="6.6000000000000003E-2"/>
    <n v="22"/>
    <n v="28247.74656"/>
    <n v="14239.72"/>
    <n v="14008.02656"/>
    <n v="0.49589890401508901"/>
    <n v="532.66700000000003"/>
    <n v="1025.2280000000001"/>
    <s v="High"/>
  </r>
  <r>
    <s v="ORD-2024-129345"/>
    <x v="142"/>
    <x v="31"/>
    <s v="Q1-2024"/>
    <x v="181"/>
    <d v="2024-03-03T00:00:00"/>
    <n v="14"/>
    <n v="0"/>
    <n v="0"/>
    <x v="2"/>
    <x v="5"/>
    <x v="8"/>
    <s v="Enterprise"/>
    <s v="Distributor"/>
    <s v="A. Patel"/>
    <x v="1"/>
    <x v="336"/>
    <n v="624.23"/>
    <n v="1318.37"/>
    <n v="0.21"/>
    <n v="0.21"/>
    <n v="37"/>
    <n v="38535.955099999999"/>
    <n v="23096.510000000002"/>
    <n v="15439.445099999997"/>
    <n v="0.40065038118128793"/>
    <n v="532.66700000000003"/>
    <n v="1025.2280000000001"/>
    <s v="High"/>
  </r>
  <r>
    <s v="ORD-2023-660608"/>
    <x v="287"/>
    <x v="24"/>
    <s v="Q3-2023"/>
    <x v="253"/>
    <d v="2023-08-10T00:00:00"/>
    <n v="16"/>
    <n v="0"/>
    <n v="0"/>
    <x v="0"/>
    <x v="1"/>
    <x v="1"/>
    <s v="Corporate"/>
    <s v="Distributor"/>
    <s v="I. Johnson"/>
    <x v="6"/>
    <x v="337"/>
    <n v="506.83"/>
    <n v="441.74"/>
    <n v="0.24"/>
    <n v="0.24"/>
    <n v="9"/>
    <n v="3021.5016000000001"/>
    <n v="4561.47"/>
    <n v="-1539.9684000000002"/>
    <n v="-0.50966989393618067"/>
    <n v="532.66700000000003"/>
    <n v="1025.2280000000001"/>
    <s v="High"/>
  </r>
  <r>
    <s v="ORD-2023-825084"/>
    <x v="288"/>
    <x v="24"/>
    <s v="Q3-2023"/>
    <x v="172"/>
    <d v="2023-07-21T00:00:00"/>
    <n v="7"/>
    <n v="1"/>
    <n v="1"/>
    <x v="0"/>
    <x v="11"/>
    <x v="25"/>
    <s v="Enterprise"/>
    <s v="Marketplace"/>
    <s v="Unassigned"/>
    <x v="5"/>
    <x v="338"/>
    <n v="620.74"/>
    <n v="1330.07"/>
    <n v="0.29899999999999999"/>
    <n v="0.29899999999999999"/>
    <n v="28"/>
    <n v="26106.613960000002"/>
    <n v="17380.72"/>
    <n v="8725.8939600000012"/>
    <n v="0.33424073965967516"/>
    <n v="532.66700000000003"/>
    <n v="1025.2280000000001"/>
    <s v="High"/>
  </r>
  <r>
    <s v="ORD-2023-261081"/>
    <x v="244"/>
    <x v="24"/>
    <s v="Q3-2023"/>
    <x v="288"/>
    <d v="2023-08-19T00:00:00"/>
    <n v="26"/>
    <n v="0"/>
    <n v="0"/>
    <x v="0"/>
    <x v="0"/>
    <x v="2"/>
    <s v="Enterprise"/>
    <s v="Distributor"/>
    <s v="M. Rossi"/>
    <x v="6"/>
    <x v="339"/>
    <n v="661.45"/>
    <n v="1634.86"/>
    <n v="0.3"/>
    <n v="0.56499999999999995"/>
    <n v="24"/>
    <n v="27465.647999999997"/>
    <n v="15874.800000000001"/>
    <n v="11590.847999999996"/>
    <n v="0.42201254454291404"/>
    <n v="532.66700000000003"/>
    <n v="1025.2280000000001"/>
    <s v="High"/>
  </r>
  <r>
    <s v="ORD-2023-766015"/>
    <x v="289"/>
    <x v="12"/>
    <s v="Q2-2023"/>
    <x v="289"/>
    <d v="2023-04-16T00:00:00"/>
    <n v="3"/>
    <n v="1"/>
    <n v="1"/>
    <x v="2"/>
    <x v="10"/>
    <x v="24"/>
    <s v="Education"/>
    <s v="Marketplace"/>
    <s v="G. Dubois"/>
    <x v="2"/>
    <x v="340"/>
    <n v="32.1"/>
    <n v="70.599999999999994"/>
    <n v="0.28199999999999997"/>
    <n v="0.28199999999999997"/>
    <n v="22"/>
    <n v="1115.1975999999997"/>
    <n v="706.2"/>
    <n v="408.99759999999969"/>
    <n v="0.36674899587301818"/>
    <n v="532.66700000000003"/>
    <n v="1025.2280000000001"/>
    <s v="High"/>
  </r>
  <r>
    <s v="ORD-2024-333192"/>
    <x v="290"/>
    <x v="1"/>
    <s v="Q4-2024"/>
    <x v="290"/>
    <d v="2024-11-04T00:00:00"/>
    <n v="6"/>
    <n v="1"/>
    <n v="1"/>
    <x v="0"/>
    <x v="0"/>
    <x v="2"/>
    <s v="Corporate"/>
    <s v="Distributor"/>
    <s v="M. Rossi"/>
    <x v="1"/>
    <x v="341"/>
    <n v="805.81"/>
    <n v="1823.04"/>
    <n v="0"/>
    <n v="0"/>
    <n v="11"/>
    <n v="20053.439999999999"/>
    <n v="8863.91"/>
    <n v="11189.529999999999"/>
    <n v="0.55798556257679477"/>
    <n v="532.66700000000003"/>
    <n v="1025.2280000000001"/>
    <s v="High"/>
  </r>
  <r>
    <s v="ORD-2024-647473"/>
    <x v="291"/>
    <x v="31"/>
    <s v="Q1-2024"/>
    <x v="146"/>
    <d v="2024-03-04T00:00:00"/>
    <n v="16"/>
    <n v="0"/>
    <n v="0"/>
    <x v="1"/>
    <x v="4"/>
    <x v="18"/>
    <s v="Small Business"/>
    <s v="Marketplace"/>
    <s v="F. Müller"/>
    <x v="3"/>
    <x v="342"/>
    <n v="1231.8"/>
    <n v="2015.99"/>
    <n v="0.26100000000000001"/>
    <n v="0.26100000000000001"/>
    <n v="6"/>
    <n v="8938.8996600000009"/>
    <n v="7390.7999999999993"/>
    <n v="1548.0996600000017"/>
    <n v="0.17318682599464391"/>
    <n v="532.66700000000003"/>
    <n v="1025.2280000000001"/>
    <s v="High"/>
  </r>
  <r>
    <s v="ORD-2024-892908"/>
    <x v="292"/>
    <x v="14"/>
    <s v="Q3-2024"/>
    <x v="291"/>
    <d v="2024-07-16T00:00:00"/>
    <n v="3"/>
    <n v="1"/>
    <n v="1"/>
    <x v="1"/>
    <x v="2"/>
    <x v="32"/>
    <s v="Small Business"/>
    <s v="Marketplace"/>
    <s v="F. Müller"/>
    <x v="2"/>
    <x v="343"/>
    <n v="105.13"/>
    <n v="244.13"/>
    <n v="7.0999999999999994E-2"/>
    <n v="7.0999999999999994E-2"/>
    <n v="14"/>
    <n v="3175.1547799999998"/>
    <n v="1471.82"/>
    <n v="1703.3347799999999"/>
    <n v="0.53645724319618837"/>
    <n v="532.66700000000003"/>
    <n v="1025.2280000000001"/>
    <s v="High"/>
  </r>
  <r>
    <s v="ORD-2023-573146"/>
    <x v="293"/>
    <x v="4"/>
    <s v="Q4-2023"/>
    <x v="292"/>
    <d v="2023-12-18T00:00:00"/>
    <n v="17"/>
    <n v="0"/>
    <n v="0"/>
    <x v="1"/>
    <x v="2"/>
    <x v="32"/>
    <s v="Small Business"/>
    <s v="Direct"/>
    <s v="N. Brown"/>
    <x v="4"/>
    <x v="344"/>
    <n v="1495.79"/>
    <n v="2783.12"/>
    <n v="0.02"/>
    <n v="0.02"/>
    <n v="5"/>
    <n v="13637.287999999999"/>
    <n v="7478.95"/>
    <n v="6158.3379999999988"/>
    <n v="0.45158084217331185"/>
    <n v="532.66700000000003"/>
    <n v="1025.2280000000001"/>
    <s v="High"/>
  </r>
  <r>
    <s v="ORD-2024-901115"/>
    <x v="19"/>
    <x v="14"/>
    <s v="Q3-2024"/>
    <x v="293"/>
    <d v="2024-08-02T00:00:00"/>
    <n v="8"/>
    <n v="0"/>
    <n v="0"/>
    <x v="2"/>
    <x v="3"/>
    <x v="19"/>
    <s v="Consumer"/>
    <s v="Direct"/>
    <s v="J. Njeri"/>
    <x v="6"/>
    <x v="345"/>
    <n v="986.81"/>
    <n v="2050.31"/>
    <n v="0.10299999999999999"/>
    <n v="0.10299999999999999"/>
    <n v="43"/>
    <n v="79082.507010000001"/>
    <n v="42432.829999999994"/>
    <n v="36649.677010000007"/>
    <n v="0.46343595310358138"/>
    <n v="532.66700000000003"/>
    <n v="1025.2280000000001"/>
    <s v="High"/>
  </r>
  <r>
    <s v="ORD-2023-898009"/>
    <x v="176"/>
    <x v="15"/>
    <s v="Q2-2023"/>
    <x v="294"/>
    <d v="2023-05-16T00:00:00"/>
    <n v="12"/>
    <n v="0"/>
    <n v="0"/>
    <x v="0"/>
    <x v="1"/>
    <x v="7"/>
    <s v="Small Business"/>
    <s v="Marketplace"/>
    <s v="J. Njeri"/>
    <x v="3"/>
    <x v="346"/>
    <n v="77.739999999999995"/>
    <n v="147.12"/>
    <n v="0"/>
    <n v="0"/>
    <n v="15"/>
    <n v="2206.8000000000002"/>
    <n v="1166.0999999999999"/>
    <n v="1040.7000000000003"/>
    <n v="0.47158781946710177"/>
    <n v="532.66700000000003"/>
    <n v="1025.2280000000001"/>
    <s v="High"/>
  </r>
  <r>
    <s v="ORD-2023-208944"/>
    <x v="294"/>
    <x v="4"/>
    <s v="Q4-2023"/>
    <x v="295"/>
    <d v="2024-01-06T00:00:00"/>
    <n v="16"/>
    <n v="0"/>
    <n v="0"/>
    <x v="0"/>
    <x v="1"/>
    <x v="7"/>
    <s v="Corporate"/>
    <s v="Marketplace"/>
    <s v="K. Singh"/>
    <x v="0"/>
    <x v="347"/>
    <n v="932.61"/>
    <n v="1982.98"/>
    <n v="0.14399999999999999"/>
    <n v="0.14399999999999999"/>
    <n v="16"/>
    <n v="27158.894079999998"/>
    <n v="14921.76"/>
    <n v="12237.134079999998"/>
    <n v="0.45057556629345635"/>
    <n v="532.66700000000003"/>
    <n v="1025.2280000000001"/>
    <s v="High"/>
  </r>
  <r>
    <s v="ORD-2025-480172"/>
    <x v="295"/>
    <x v="16"/>
    <s v="Q2-2025"/>
    <x v="227"/>
    <d v="2025-07-05T00:00:00"/>
    <n v="18"/>
    <n v="0"/>
    <n v="0"/>
    <x v="1"/>
    <x v="4"/>
    <x v="18"/>
    <s v="Consumer"/>
    <s v="Marketplace"/>
    <s v="L. Okafor"/>
    <x v="4"/>
    <x v="348"/>
    <n v="982.93"/>
    <n v="2299.3000000000002"/>
    <n v="0.113"/>
    <n v="0.113"/>
    <n v="6"/>
    <n v="12236.874600000001"/>
    <n v="5897.58"/>
    <n v="6339.2946000000011"/>
    <n v="0.51804850562087157"/>
    <n v="532.66700000000003"/>
    <n v="1025.2280000000001"/>
    <s v="High"/>
  </r>
  <r>
    <s v="ORD-2023-735274"/>
    <x v="29"/>
    <x v="2"/>
    <s v="Q1-2023"/>
    <x v="296"/>
    <d v="2023-03-08T00:00:00"/>
    <n v="13"/>
    <n v="0"/>
    <n v="0"/>
    <x v="3"/>
    <x v="8"/>
    <x v="31"/>
    <s v="Small Business"/>
    <s v="Direct"/>
    <s v="C. Otieno"/>
    <x v="1"/>
    <x v="349"/>
    <n v="307.37"/>
    <n v="462.61"/>
    <n v="0.188"/>
    <n v="0.188"/>
    <n v="11"/>
    <n v="4132.0325200000007"/>
    <n v="3381.07"/>
    <n v="750.9625200000005"/>
    <n v="0.18174167709599739"/>
    <n v="532.66700000000003"/>
    <n v="1025.2280000000001"/>
    <s v="High"/>
  </r>
  <r>
    <s v="ORD-2023-212701"/>
    <x v="296"/>
    <x v="4"/>
    <s v="Q4-2023"/>
    <x v="297"/>
    <d v="2023-12-16T00:00:00"/>
    <n v="14"/>
    <n v="0"/>
    <n v="0"/>
    <x v="3"/>
    <x v="6"/>
    <x v="36"/>
    <s v="Education"/>
    <s v="Direct"/>
    <s v="N. Brown"/>
    <x v="5"/>
    <x v="350"/>
    <n v="879.08"/>
    <n v="1093.3900000000001"/>
    <n v="0.113"/>
    <n v="0.113"/>
    <n v="17"/>
    <n v="16487.22781"/>
    <n v="14944.36"/>
    <n v="1542.8678099999997"/>
    <n v="9.3579577341935186E-2"/>
    <n v="532.66700000000003"/>
    <n v="1025.2280000000001"/>
    <s v="High"/>
  </r>
  <r>
    <s v="ORD-2023-479747"/>
    <x v="288"/>
    <x v="24"/>
    <s v="Q3-2023"/>
    <x v="138"/>
    <d v="2023-07-14T00:00:00"/>
    <n v="0"/>
    <n v="1"/>
    <n v="1"/>
    <x v="0"/>
    <x v="1"/>
    <x v="3"/>
    <s v="Education"/>
    <s v="Retail"/>
    <s v="I. Johnson"/>
    <x v="6"/>
    <x v="351"/>
    <n v="956.38"/>
    <n v="1454.22"/>
    <n v="3.9E-2"/>
    <n v="3.9E-2"/>
    <n v="19"/>
    <n v="26552.60298"/>
    <n v="18171.22"/>
    <n v="8381.3829799999985"/>
    <n v="0.31565202802576603"/>
    <n v="532.66700000000003"/>
    <n v="1025.2280000000001"/>
    <s v="High"/>
  </r>
  <r>
    <s v="ORD-2024-915495"/>
    <x v="297"/>
    <x v="21"/>
    <s v="Q3-2024"/>
    <x v="298"/>
    <d v="2024-08-20T00:00:00"/>
    <n v="12"/>
    <n v="0"/>
    <n v="0"/>
    <x v="1"/>
    <x v="2"/>
    <x v="4"/>
    <s v="Small Business"/>
    <s v="Retail"/>
    <s v="H. Kim"/>
    <x v="2"/>
    <x v="352"/>
    <n v="1233.3599999999999"/>
    <n v="2120.4"/>
    <n v="0.17899999999999999"/>
    <n v="0.17899999999999999"/>
    <n v="20"/>
    <n v="34816.968000000001"/>
    <n v="24667.199999999997"/>
    <n v="10149.768000000004"/>
    <n v="0.29151785991244278"/>
    <n v="532.66700000000003"/>
    <n v="1025.2280000000001"/>
    <s v="High"/>
  </r>
  <r>
    <s v="ORD-2024-225829"/>
    <x v="298"/>
    <x v="18"/>
    <s v="Q4-2024"/>
    <x v="299"/>
    <d v="2024-11-26T00:00:00"/>
    <n v="19"/>
    <n v="0"/>
    <n v="0"/>
    <x v="2"/>
    <x v="5"/>
    <x v="30"/>
    <s v="Non-Profit"/>
    <s v="Distributor"/>
    <s v="J. Njeri"/>
    <x v="1"/>
    <x v="353"/>
    <n v="55.35"/>
    <n v="128.68"/>
    <n v="0.128"/>
    <n v="0.128"/>
    <n v="10"/>
    <n v="1122.0896000000002"/>
    <n v="553.5"/>
    <n v="568.58960000000025"/>
    <n v="0.50672388372550647"/>
    <n v="532.66700000000003"/>
    <n v="1025.2280000000001"/>
    <s v="High"/>
  </r>
  <r>
    <s v="ORD-2024-921935"/>
    <x v="299"/>
    <x v="9"/>
    <s v="Q1-2024"/>
    <x v="242"/>
    <d v="2024-01-27T00:00:00"/>
    <n v="26"/>
    <n v="0"/>
    <n v="0"/>
    <x v="3"/>
    <x v="8"/>
    <x v="31"/>
    <s v="Education"/>
    <s v="Distributor"/>
    <s v="D. Smith"/>
    <x v="6"/>
    <x v="354"/>
    <n v="657.45"/>
    <n v="1325.96"/>
    <n v="0.16700000000000001"/>
    <n v="0.16700000000000001"/>
    <n v="21"/>
    <n v="23195.01828"/>
    <n v="13806.45"/>
    <n v="9388.5682799999995"/>
    <n v="0.40476658249048808"/>
    <n v="532.66700000000003"/>
    <n v="1025.2280000000001"/>
    <s v="High"/>
  </r>
  <r>
    <s v="ORD-2025-949776"/>
    <x v="300"/>
    <x v="28"/>
    <s v="Q3-2025"/>
    <x v="232"/>
    <d v="2025-09-11T00:00:00"/>
    <n v="28"/>
    <n v="0"/>
    <n v="0"/>
    <x v="2"/>
    <x v="5"/>
    <x v="8"/>
    <s v="Non-Profit"/>
    <s v="Direct"/>
    <s v="F. Müller"/>
    <x v="1"/>
    <x v="355"/>
    <n v="1203.02"/>
    <n v="2439.33"/>
    <n v="0"/>
    <n v="0"/>
    <n v="18"/>
    <n v="43907.94"/>
    <n v="21654.36"/>
    <n v="22253.58"/>
    <n v="0.50682359500354612"/>
    <n v="532.66700000000003"/>
    <n v="1025.2280000000001"/>
    <s v="High"/>
  </r>
  <r>
    <s v="ORD-2024-510591"/>
    <x v="149"/>
    <x v="20"/>
    <s v="Q2-2024"/>
    <x v="300"/>
    <d v="2024-04-21T00:00:00"/>
    <n v="18"/>
    <n v="0"/>
    <n v="0"/>
    <x v="2"/>
    <x v="5"/>
    <x v="10"/>
    <s v="Small Business"/>
    <s v="Distributor"/>
    <s v="B. Chen"/>
    <x v="2"/>
    <x v="356"/>
    <n v="1176.69"/>
    <n v="2201.54"/>
    <n v="0.17"/>
    <n v="0.17"/>
    <n v="27"/>
    <n v="49336.511399999996"/>
    <n v="31770.63"/>
    <n v="17565.881399999995"/>
    <n v="0.35604222717701106"/>
    <n v="532.66700000000003"/>
    <n v="1025.2280000000001"/>
    <s v="High"/>
  </r>
  <r>
    <s v="ORD-2024-961756"/>
    <x v="301"/>
    <x v="18"/>
    <s v="Q4-2024"/>
    <x v="301"/>
    <d v="2024-12-07T00:00:00"/>
    <n v="12"/>
    <n v="0"/>
    <n v="0"/>
    <x v="1"/>
    <x v="9"/>
    <x v="23"/>
    <s v="Corporate"/>
    <s v="Distributor"/>
    <s v="A. Patel"/>
    <x v="6"/>
    <x v="357"/>
    <n v="769.9"/>
    <n v="814.36"/>
    <n v="0"/>
    <n v="0"/>
    <n v="5"/>
    <n v="4071.8"/>
    <n v="3849.5"/>
    <n v="222.30000000000018"/>
    <n v="5.4595019401738831E-2"/>
    <n v="532.66700000000003"/>
    <n v="1025.2280000000001"/>
    <s v="High"/>
  </r>
  <r>
    <s v="ORD-2024-892173"/>
    <x v="302"/>
    <x v="9"/>
    <s v="Q1-2024"/>
    <x v="302"/>
    <d v="2024-02-03T00:00:00"/>
    <n v="16"/>
    <n v="0"/>
    <n v="0"/>
    <x v="0"/>
    <x v="11"/>
    <x v="33"/>
    <s v="Non-Profit"/>
    <s v="Distributor"/>
    <s v="L. Okafor"/>
    <x v="1"/>
    <x v="358"/>
    <n v="666.23"/>
    <n v="1382.91"/>
    <n v="0.17599999999999999"/>
    <n v="0.17599999999999999"/>
    <n v="13"/>
    <n v="14813.731920000002"/>
    <n v="8660.99"/>
    <n v="6152.7419200000022"/>
    <n v="0.41534043907553048"/>
    <n v="532.66700000000003"/>
    <n v="1025.2280000000001"/>
    <s v="High"/>
  </r>
  <r>
    <s v="ORD-2024-704056"/>
    <x v="303"/>
    <x v="17"/>
    <s v="Q2-2024"/>
    <x v="303"/>
    <d v="2024-06-25T00:00:00"/>
    <n v="2"/>
    <n v="1"/>
    <n v="1"/>
    <x v="3"/>
    <x v="8"/>
    <x v="12"/>
    <s v="Small Business"/>
    <s v="Marketplace"/>
    <s v="L. Okafor"/>
    <x v="6"/>
    <x v="359"/>
    <n v="951.44"/>
    <n v="1646.43"/>
    <n v="0.11"/>
    <n v="0.11"/>
    <n v="24"/>
    <n v="35167.7448"/>
    <n v="22834.560000000001"/>
    <n v="12333.184799999999"/>
    <n v="0.35069592520473475"/>
    <n v="532.66700000000003"/>
    <n v="1025.2280000000001"/>
    <s v="High"/>
  </r>
  <r>
    <s v="ORD-2025-591006"/>
    <x v="304"/>
    <x v="16"/>
    <s v="Q2-2025"/>
    <x v="35"/>
    <d v="2025-07-10T00:00:00"/>
    <n v="15"/>
    <n v="0"/>
    <n v="0"/>
    <x v="3"/>
    <x v="8"/>
    <x v="12"/>
    <s v="Non-Profit"/>
    <s v="Marketplace"/>
    <s v="D. Smith"/>
    <x v="3"/>
    <x v="360"/>
    <n v="546.83000000000004"/>
    <n v="400.84"/>
    <n v="7.8E-2"/>
    <n v="7.8E-2"/>
    <n v="13"/>
    <n v="4804.4682400000002"/>
    <n v="7108.7900000000009"/>
    <n v="-2304.3217600000007"/>
    <n v="-0.47962056254533608"/>
    <n v="532.66700000000003"/>
    <n v="1025.2280000000001"/>
    <s v="High"/>
  </r>
  <r>
    <s v="ORD-2023-159821"/>
    <x v="305"/>
    <x v="24"/>
    <s v="Q3-2023"/>
    <x v="259"/>
    <d v="2023-07-08T00:00:00"/>
    <n v="7"/>
    <n v="1"/>
    <n v="1"/>
    <x v="0"/>
    <x v="1"/>
    <x v="1"/>
    <s v="Corporate"/>
    <s v="Retail"/>
    <s v="A. Patel"/>
    <x v="4"/>
    <x v="361"/>
    <n v="834.26"/>
    <n v="1780.56"/>
    <n v="1.4E-2"/>
    <n v="1.4E-2"/>
    <n v="47"/>
    <n v="82514.711519999997"/>
    <n v="39210.22"/>
    <n v="43304.491519999996"/>
    <n v="0.5248093427497933"/>
    <n v="532.66700000000003"/>
    <n v="1025.2280000000001"/>
    <s v="High"/>
  </r>
  <r>
    <s v="ORD-2024-343877"/>
    <x v="306"/>
    <x v="0"/>
    <s v="Q1-2024"/>
    <x v="220"/>
    <d v="2024-03-26T00:00:00"/>
    <n v="17"/>
    <n v="0"/>
    <n v="0"/>
    <x v="1"/>
    <x v="9"/>
    <x v="14"/>
    <s v="Enterprise"/>
    <s v="Online"/>
    <s v="K. Singh"/>
    <x v="5"/>
    <x v="362"/>
    <n v="1029.67"/>
    <n v="1118.43"/>
    <n v="0.27200000000000002"/>
    <n v="0.27200000000000002"/>
    <n v="9"/>
    <n v="7327.9533600000004"/>
    <n v="9267.0300000000007"/>
    <n v="-1939.0766400000002"/>
    <n v="-0.26461367106736061"/>
    <n v="532.66700000000003"/>
    <n v="1025.2280000000001"/>
    <s v="High"/>
  </r>
  <r>
    <s v="ORD-2023-386663"/>
    <x v="307"/>
    <x v="23"/>
    <s v="Q2-2023"/>
    <x v="304"/>
    <d v="2023-06-28T00:00:00"/>
    <n v="23"/>
    <n v="0"/>
    <n v="0"/>
    <x v="3"/>
    <x v="8"/>
    <x v="12"/>
    <s v="Corporate"/>
    <s v="Direct"/>
    <s v="K. Singh"/>
    <x v="1"/>
    <x v="363"/>
    <n v="605.82000000000005"/>
    <n v="771.12"/>
    <n v="0.13200000000000001"/>
    <n v="0.13200000000000001"/>
    <n v="19"/>
    <n v="12717.311040000001"/>
    <n v="11510.580000000002"/>
    <n v="1206.7310399999988"/>
    <n v="9.4888851597986767E-2"/>
    <n v="532.66700000000003"/>
    <n v="1025.2280000000001"/>
    <s v="High"/>
  </r>
  <r>
    <s v="ORD-2025-125517"/>
    <x v="308"/>
    <x v="3"/>
    <s v="Q1-2025"/>
    <x v="305"/>
    <d v="2025-04-09T00:00:00"/>
    <n v="19"/>
    <n v="0"/>
    <n v="0"/>
    <x v="1"/>
    <x v="2"/>
    <x v="27"/>
    <s v="Small Business"/>
    <s v="Distributor"/>
    <s v="E. Garcia"/>
    <x v="0"/>
    <x v="364"/>
    <n v="1055.45"/>
    <n v="1210.04"/>
    <n v="8.9999999999999993E-3"/>
    <n v="8.9999999999999993E-3"/>
    <n v="18"/>
    <n v="21584.693520000001"/>
    <n v="18998.100000000002"/>
    <n v="2586.5935199999985"/>
    <n v="0.1198346188053727"/>
    <n v="532.66700000000003"/>
    <n v="1025.2280000000001"/>
    <s v="High"/>
  </r>
  <r>
    <s v="ORD-2024-819778"/>
    <x v="101"/>
    <x v="17"/>
    <s v="Q2-2024"/>
    <x v="306"/>
    <d v="2024-06-15T00:00:00"/>
    <n v="13"/>
    <n v="0"/>
    <n v="0"/>
    <x v="0"/>
    <x v="0"/>
    <x v="13"/>
    <s v="Education"/>
    <s v="Online"/>
    <s v="O. Wang"/>
    <x v="3"/>
    <x v="365"/>
    <n v="1295.18"/>
    <n v="3024.03"/>
    <n v="0.192"/>
    <n v="0.192"/>
    <n v="8"/>
    <n v="19547.329920000004"/>
    <n v="10361.44"/>
    <n v="9185.8899200000033"/>
    <n v="0.46993067378483178"/>
    <n v="532.66700000000003"/>
    <n v="1025.2280000000001"/>
    <s v="High"/>
  </r>
  <r>
    <s v="ORD-2025-624006"/>
    <x v="309"/>
    <x v="3"/>
    <s v="Q1-2025"/>
    <x v="247"/>
    <d v="2025-03-29T00:00:00"/>
    <n v="14"/>
    <n v="0"/>
    <n v="0"/>
    <x v="1"/>
    <x v="4"/>
    <x v="29"/>
    <s v="Enterprise"/>
    <s v="Direct"/>
    <s v="C. Otieno"/>
    <x v="0"/>
    <x v="366"/>
    <n v="935.83"/>
    <n v="2303.46"/>
    <n v="0.105"/>
    <n v="0.105"/>
    <n v="9"/>
    <n v="18554.370299999999"/>
    <n v="8422.4700000000012"/>
    <n v="10131.900299999998"/>
    <n v="0.54606543559174292"/>
    <n v="532.66700000000003"/>
    <n v="1025.2280000000001"/>
    <s v="High"/>
  </r>
  <r>
    <s v="ORD-2023-132101"/>
    <x v="198"/>
    <x v="27"/>
    <s v="Q3-2023"/>
    <x v="307"/>
    <d v="2023-10-09T00:00:00"/>
    <n v="14"/>
    <n v="0"/>
    <n v="0"/>
    <x v="2"/>
    <x v="10"/>
    <x v="39"/>
    <s v="Small Business"/>
    <s v="Marketplace"/>
    <s v="J. Njeri"/>
    <x v="4"/>
    <x v="367"/>
    <n v="1279.56"/>
    <n v="3083.8"/>
    <n v="0.106"/>
    <n v="0.106"/>
    <n v="5"/>
    <n v="13784.586000000001"/>
    <n v="6397.7999999999993"/>
    <n v="7386.7860000000019"/>
    <n v="0.53587289455047848"/>
    <n v="532.66700000000003"/>
    <n v="1025.2280000000001"/>
    <s v="High"/>
  </r>
  <r>
    <s v="ORD-2025-306903"/>
    <x v="35"/>
    <x v="16"/>
    <s v="Q2-2025"/>
    <x v="215"/>
    <d v="2025-07-23T00:00:00"/>
    <n v="29"/>
    <n v="0"/>
    <n v="0"/>
    <x v="2"/>
    <x v="3"/>
    <x v="26"/>
    <s v="Non-Profit"/>
    <s v="Marketplace"/>
    <s v="I. Johnson"/>
    <x v="1"/>
    <x v="368"/>
    <n v="255.4"/>
    <n v="322.70999999999998"/>
    <n v="0.115"/>
    <n v="0.115"/>
    <n v="16"/>
    <n v="4569.5735999999997"/>
    <n v="4086.4"/>
    <n v="483.17359999999962"/>
    <n v="0.10573713048412212"/>
    <n v="532.66700000000003"/>
    <n v="1025.2280000000001"/>
    <s v="High"/>
  </r>
  <r>
    <s v="ORD-2023-813340"/>
    <x v="310"/>
    <x v="4"/>
    <s v="Q4-2023"/>
    <x v="308"/>
    <d v="2024-01-03T00:00:00"/>
    <n v="8"/>
    <n v="0"/>
    <n v="0"/>
    <x v="3"/>
    <x v="7"/>
    <x v="17"/>
    <s v="Small Business"/>
    <s v="Retail"/>
    <s v="M. Rossi"/>
    <x v="4"/>
    <x v="369"/>
    <n v="492.75"/>
    <n v="731.29"/>
    <n v="5.8000000000000003E-2"/>
    <n v="5.8000000000000003E-2"/>
    <n v="6"/>
    <n v="4133.25108"/>
    <n v="2956.5"/>
    <n v="1176.75108"/>
    <n v="0.28470350753528384"/>
    <n v="532.66700000000003"/>
    <n v="1025.2280000000001"/>
    <s v="High"/>
  </r>
  <r>
    <s v="ORD-2023-855675"/>
    <x v="311"/>
    <x v="2"/>
    <s v="Q1-2023"/>
    <x v="309"/>
    <d v="2023-02-28T00:00:00"/>
    <n v="23"/>
    <n v="0"/>
    <n v="0"/>
    <x v="2"/>
    <x v="10"/>
    <x v="35"/>
    <s v="Non-Profit"/>
    <s v="Distributor"/>
    <s v="L. Okafor"/>
    <x v="3"/>
    <x v="370"/>
    <n v="1214.49"/>
    <n v="1533.95"/>
    <n v="0"/>
    <n v="0"/>
    <n v="11"/>
    <n v="16873.45"/>
    <n v="13359.39"/>
    <n v="3514.0600000000013"/>
    <n v="0.20825972163369086"/>
    <n v="532.66700000000003"/>
    <n v="1025.2280000000001"/>
    <s v="High"/>
  </r>
  <r>
    <s v="ORD-2023-545150"/>
    <x v="89"/>
    <x v="12"/>
    <s v="Q2-2023"/>
    <x v="310"/>
    <d v="2023-04-08T00:00:00"/>
    <n v="2"/>
    <n v="1"/>
    <n v="1"/>
    <x v="0"/>
    <x v="1"/>
    <x v="7"/>
    <s v="Small Business"/>
    <s v="Marketplace"/>
    <s v="K. Singh"/>
    <x v="5"/>
    <x v="371"/>
    <n v="720.35"/>
    <n v="1571.66"/>
    <n v="0.107"/>
    <n v="0.107"/>
    <n v="23"/>
    <n v="32280.32474"/>
    <n v="16568.05"/>
    <n v="15712.274740000001"/>
    <n v="0.4867446305622265"/>
    <n v="532.66700000000003"/>
    <n v="1025.2280000000001"/>
    <s v="High"/>
  </r>
  <r>
    <s v="ORD-2025-269934"/>
    <x v="253"/>
    <x v="19"/>
    <s v="Q2-2025"/>
    <x v="311"/>
    <d v="2025-04-10T00:00:00"/>
    <n v="6"/>
    <n v="1"/>
    <n v="1"/>
    <x v="3"/>
    <x v="8"/>
    <x v="12"/>
    <s v="Non-Profit"/>
    <s v="Direct"/>
    <s v="N. Brown"/>
    <x v="1"/>
    <x v="372"/>
    <n v="290.14"/>
    <n v="250.73"/>
    <n v="3.4000000000000002E-2"/>
    <n v="3.4000000000000002E-2"/>
    <n v="17"/>
    <n v="4117.4880599999997"/>
    <n v="4932.38"/>
    <n v="-814.89194000000043"/>
    <n v="-0.19790997038131072"/>
    <n v="532.66700000000003"/>
    <n v="1025.2280000000001"/>
    <s v="High"/>
  </r>
  <r>
    <s v="ORD-2024-690270"/>
    <x v="312"/>
    <x v="7"/>
    <s v="Q2-2024"/>
    <x v="102"/>
    <d v="2024-05-27T00:00:00"/>
    <n v="10"/>
    <n v="0"/>
    <n v="0"/>
    <x v="2"/>
    <x v="10"/>
    <x v="35"/>
    <s v="Non-Profit"/>
    <s v="Online"/>
    <s v="C. Otieno"/>
    <x v="3"/>
    <x v="373"/>
    <n v="1484.23"/>
    <n v="3472.81"/>
    <n v="0.25600000000000001"/>
    <n v="0.25600000000000001"/>
    <n v="12"/>
    <n v="31005.24768"/>
    <n v="17810.760000000002"/>
    <n v="13194.487679999998"/>
    <n v="0.42555659661803413"/>
    <n v="532.66700000000003"/>
    <n v="1025.2280000000001"/>
    <s v="High"/>
  </r>
  <r>
    <s v="ORD-2024-868223"/>
    <x v="313"/>
    <x v="0"/>
    <s v="Q1-2024"/>
    <x v="312"/>
    <d v="2024-03-19T00:00:00"/>
    <n v="16"/>
    <n v="0"/>
    <n v="0"/>
    <x v="1"/>
    <x v="9"/>
    <x v="37"/>
    <s v="Consumer"/>
    <s v="Distributor"/>
    <s v="G. Dubois"/>
    <x v="3"/>
    <x v="374"/>
    <n v="988.83"/>
    <n v="1206.04"/>
    <n v="6.3E-2"/>
    <n v="6.3E-2"/>
    <n v="34"/>
    <n v="38422.022320000004"/>
    <n v="33620.22"/>
    <n v="4801.8023200000025"/>
    <n v="0.12497526236406606"/>
    <n v="532.66700000000003"/>
    <n v="1025.2280000000001"/>
    <s v="High"/>
  </r>
  <r>
    <s v="ORD-2025-188059"/>
    <x v="231"/>
    <x v="16"/>
    <s v="Q2-2025"/>
    <x v="313"/>
    <d v="2025-07-11T00:00:00"/>
    <n v="14"/>
    <n v="0"/>
    <n v="0"/>
    <x v="1"/>
    <x v="9"/>
    <x v="23"/>
    <s v="Small Business"/>
    <s v="Marketplace"/>
    <s v="L. Okafor"/>
    <x v="2"/>
    <x v="375"/>
    <n v="1227.7"/>
    <n v="2197.23"/>
    <n v="9.9000000000000005E-2"/>
    <n v="9.9000000000000005E-2"/>
    <n v="22"/>
    <n v="43553.493060000001"/>
    <n v="27009.4"/>
    <n v="16544.093059999999"/>
    <n v="0.37985685871873898"/>
    <n v="532.66700000000003"/>
    <n v="1025.2280000000001"/>
    <s v="High"/>
  </r>
  <r>
    <s v="ORD-2023-281890"/>
    <x v="314"/>
    <x v="22"/>
    <s v="Q1-2023"/>
    <x v="314"/>
    <d v="2023-04-04T00:00:00"/>
    <n v="22"/>
    <n v="0"/>
    <n v="0"/>
    <x v="0"/>
    <x v="11"/>
    <x v="25"/>
    <s v="Small Business"/>
    <s v="Retail"/>
    <s v="A. Patel"/>
    <x v="0"/>
    <x v="376"/>
    <n v="1113.7"/>
    <n v="1620.6"/>
    <n v="0.13900000000000001"/>
    <n v="0.13900000000000001"/>
    <n v="11"/>
    <n v="15348.702599999999"/>
    <n v="12250.7"/>
    <n v="3098.002599999998"/>
    <n v="0.20184133348182787"/>
    <n v="532.66700000000003"/>
    <n v="1025.2280000000001"/>
    <s v="High"/>
  </r>
  <r>
    <s v="ORD-2025-636162"/>
    <x v="315"/>
    <x v="10"/>
    <s v="Q1-2025"/>
    <x v="315"/>
    <d v="2025-01-20T00:00:00"/>
    <n v="13"/>
    <n v="0"/>
    <n v="0"/>
    <x v="0"/>
    <x v="11"/>
    <x v="33"/>
    <s v="Corporate"/>
    <s v="Direct"/>
    <s v="K. Singh"/>
    <x v="2"/>
    <x v="377"/>
    <n v="432.13"/>
    <n v="1034.6600000000001"/>
    <n v="9.1999999999999998E-2"/>
    <n v="9.1999999999999998E-2"/>
    <n v="7"/>
    <n v="6576.298960000001"/>
    <n v="3024.91"/>
    <n v="3551.3889600000011"/>
    <n v="0.54002851476204794"/>
    <n v="532.66700000000003"/>
    <n v="1025.2280000000001"/>
    <s v="High"/>
  </r>
  <r>
    <s v="ORD-2025-915869"/>
    <x v="316"/>
    <x v="26"/>
    <s v="Q1-2025"/>
    <x v="97"/>
    <d v="2025-02-15T00:00:00"/>
    <n v="9"/>
    <n v="0"/>
    <n v="0"/>
    <x v="2"/>
    <x v="5"/>
    <x v="8"/>
    <s v="Non-Profit"/>
    <s v="Distributor"/>
    <s v="F. Müller"/>
    <x v="2"/>
    <x v="378"/>
    <n v="837.39"/>
    <n v="1905.42"/>
    <n v="3.2000000000000001E-2"/>
    <n v="3.2000000000000001E-2"/>
    <n v="18"/>
    <n v="33200.038079999998"/>
    <n v="15073.02"/>
    <n v="18127.018079999998"/>
    <n v="0.54599389423350919"/>
    <n v="532.66700000000003"/>
    <n v="1025.2280000000001"/>
    <s v="High"/>
  </r>
  <r>
    <s v="ORD-2025-192876"/>
    <x v="317"/>
    <x v="10"/>
    <s v="Q1-2025"/>
    <x v="316"/>
    <d v="2025-02-17T00:00:00"/>
    <n v="17"/>
    <n v="0"/>
    <n v="0"/>
    <x v="3"/>
    <x v="8"/>
    <x v="21"/>
    <s v="Enterprise"/>
    <s v="Retail"/>
    <s v="H. Kim"/>
    <x v="0"/>
    <x v="78"/>
    <n v="378.26"/>
    <n v="541.55999999999995"/>
    <n v="0.16300000000000001"/>
    <n v="0.16300000000000001"/>
    <n v="25"/>
    <n v="11332.142999999998"/>
    <n v="9456.5"/>
    <n v="1875.6429999999982"/>
    <n v="0.16551529573885526"/>
    <n v="532.66700000000003"/>
    <n v="1025.2280000000001"/>
    <s v="High"/>
  </r>
  <r>
    <s v="ORD-2025-822030"/>
    <x v="83"/>
    <x v="28"/>
    <s v="Q3-2025"/>
    <x v="317"/>
    <d v="2025-09-06T00:00:00"/>
    <n v="30"/>
    <n v="0"/>
    <n v="0"/>
    <x v="2"/>
    <x v="3"/>
    <x v="19"/>
    <s v="Education"/>
    <s v="Direct"/>
    <s v="M. Rossi"/>
    <x v="2"/>
    <x v="379"/>
    <n v="833.73"/>
    <n v="1116.5999999999999"/>
    <n v="0.17599999999999999"/>
    <n v="0.17599999999999999"/>
    <n v="14"/>
    <n v="12881.097599999999"/>
    <n v="11672.220000000001"/>
    <n v="1208.877599999998"/>
    <n v="9.3848958958279924E-2"/>
    <n v="532.66700000000003"/>
    <n v="1025.2280000000001"/>
    <s v="High"/>
  </r>
  <r>
    <s v="ORD-2025-789245"/>
    <x v="318"/>
    <x v="13"/>
    <s v="Q3-2025"/>
    <x v="318"/>
    <d v="2025-08-17T00:00:00"/>
    <n v="25"/>
    <n v="0"/>
    <n v="0"/>
    <x v="3"/>
    <x v="8"/>
    <x v="12"/>
    <s v="Education"/>
    <s v="Online"/>
    <s v="I. Johnson"/>
    <x v="1"/>
    <x v="380"/>
    <n v="1142.06"/>
    <n v="1455"/>
    <n v="7.8E-2"/>
    <n v="7.8E-2"/>
    <n v="28"/>
    <n v="37562.28"/>
    <n v="31977.68"/>
    <n v="5584.5999999999985"/>
    <n v="0.1486757459877302"/>
    <n v="532.66700000000003"/>
    <n v="1025.2280000000001"/>
    <s v="High"/>
  </r>
  <r>
    <s v="ORD-2023-594955"/>
    <x v="263"/>
    <x v="23"/>
    <s v="Q2-2023"/>
    <x v="259"/>
    <d v="2023-07-08T00:00:00"/>
    <n v="18"/>
    <n v="0"/>
    <n v="0"/>
    <x v="2"/>
    <x v="10"/>
    <x v="39"/>
    <s v="Consumer"/>
    <s v="Marketplace"/>
    <s v="O. Wang"/>
    <x v="2"/>
    <x v="381"/>
    <n v="1145.53"/>
    <n v="1278.3"/>
    <n v="0.09"/>
    <n v="0.09"/>
    <n v="41"/>
    <n v="47693.373"/>
    <n v="46966.729999999996"/>
    <n v="726.64300000000367"/>
    <n v="1.5235722581416158E-2"/>
    <n v="532.66700000000003"/>
    <n v="1025.2280000000001"/>
    <s v="High"/>
  </r>
  <r>
    <s v="ORD-2024-398783"/>
    <x v="319"/>
    <x v="14"/>
    <s v="Q3-2024"/>
    <x v="319"/>
    <d v="2024-08-07T00:00:00"/>
    <n v="20"/>
    <n v="0"/>
    <n v="0"/>
    <x v="3"/>
    <x v="7"/>
    <x v="11"/>
    <s v="Corporate"/>
    <s v="Retail"/>
    <s v="F. Müller"/>
    <x v="5"/>
    <x v="382"/>
    <n v="941.35"/>
    <n v="899.83"/>
    <n v="5.8000000000000003E-2"/>
    <n v="5.8000000000000003E-2"/>
    <n v="18"/>
    <n v="15257.51748"/>
    <n v="16944.3"/>
    <n v="-1686.7825199999988"/>
    <n v="-0.11055419220139073"/>
    <n v="532.66700000000003"/>
    <n v="1025.2280000000001"/>
    <s v="High"/>
  </r>
  <r>
    <s v="ORD-2023-676553"/>
    <x v="72"/>
    <x v="15"/>
    <s v="Q2-2023"/>
    <x v="114"/>
    <d v="2023-06-19T00:00:00"/>
    <n v="30"/>
    <n v="0"/>
    <n v="0"/>
    <x v="1"/>
    <x v="4"/>
    <x v="18"/>
    <s v="Non-Profit"/>
    <s v="Marketplace"/>
    <s v="H. Kim"/>
    <x v="4"/>
    <x v="383"/>
    <n v="1161.2"/>
    <n v="878.73"/>
    <n v="0.19"/>
    <n v="0.19"/>
    <n v="31"/>
    <n v="22064.910300000003"/>
    <n v="35997.200000000004"/>
    <n v="-13932.289700000001"/>
    <n v="-0.63142290227212028"/>
    <n v="532.66700000000003"/>
    <n v="1025.2280000000001"/>
    <s v="High"/>
  </r>
  <r>
    <s v="ORD-2025-866565"/>
    <x v="320"/>
    <x v="8"/>
    <s v="Q2-2025"/>
    <x v="320"/>
    <d v="2025-05-26T00:00:00"/>
    <n v="14"/>
    <n v="0"/>
    <n v="0"/>
    <x v="1"/>
    <x v="4"/>
    <x v="34"/>
    <s v="Corporate"/>
    <s v="Marketplace"/>
    <s v="G. Dubois"/>
    <x v="1"/>
    <x v="384"/>
    <n v="320.12"/>
    <n v="594.41999999999996"/>
    <n v="0.104"/>
    <n v="0.104"/>
    <n v="18"/>
    <n v="9586.8057599999993"/>
    <n v="5762.16"/>
    <n v="3824.6457599999994"/>
    <n v="0.39894891538931104"/>
    <n v="532.66700000000003"/>
    <n v="1025.2280000000001"/>
    <s v="High"/>
  </r>
  <r>
    <s v="ORD-2024-527858"/>
    <x v="321"/>
    <x v="7"/>
    <s v="Q2-2024"/>
    <x v="321"/>
    <d v="2024-05-12T00:00:00"/>
    <n v="5"/>
    <n v="1"/>
    <n v="1"/>
    <x v="0"/>
    <x v="1"/>
    <x v="7"/>
    <s v="Non-Profit"/>
    <s v="Distributor"/>
    <s v="L. Okafor"/>
    <x v="4"/>
    <x v="385"/>
    <n v="1163.99"/>
    <n v="1617.85"/>
    <n v="0.127"/>
    <n v="0.127"/>
    <n v="14"/>
    <n v="19773.362699999998"/>
    <n v="16295.86"/>
    <n v="3477.5026999999973"/>
    <n v="0.17586804797749436"/>
    <n v="532.66700000000003"/>
    <n v="1025.2280000000001"/>
    <s v="High"/>
  </r>
  <r>
    <s v="ORD-2023-619385"/>
    <x v="322"/>
    <x v="27"/>
    <s v="Q3-2023"/>
    <x v="322"/>
    <d v="2023-10-03T00:00:00"/>
    <n v="3"/>
    <n v="1"/>
    <n v="1"/>
    <x v="1"/>
    <x v="9"/>
    <x v="37"/>
    <s v="Non-Profit"/>
    <s v="Retail"/>
    <s v="J. Njeri"/>
    <x v="4"/>
    <x v="386"/>
    <n v="1019.36"/>
    <n v="972.91"/>
    <n v="0.14699999999999999"/>
    <n v="0.14699999999999999"/>
    <n v="17"/>
    <n v="14108.16791"/>
    <n v="17329.12"/>
    <n v="-3220.9520899999989"/>
    <n v="-0.22830406545678819"/>
    <n v="532.66700000000003"/>
    <n v="1025.2280000000001"/>
    <s v="High"/>
  </r>
  <r>
    <s v="ORD-2023-835226"/>
    <x v="323"/>
    <x v="32"/>
    <s v="Q4-2023"/>
    <x v="323"/>
    <d v="2023-11-05T00:00:00"/>
    <n v="10"/>
    <n v="0"/>
    <n v="0"/>
    <x v="0"/>
    <x v="11"/>
    <x v="33"/>
    <s v="Non-Profit"/>
    <s v="Online"/>
    <s v="I. Johnson"/>
    <x v="4"/>
    <x v="387"/>
    <n v="20.38"/>
    <n v="42.56"/>
    <n v="7.1999999999999995E-2"/>
    <n v="7.1999999999999995E-2"/>
    <n v="11"/>
    <n v="434.45248000000004"/>
    <n v="224.17999999999998"/>
    <n v="210.27248000000006"/>
    <n v="0.48399419885921713"/>
    <n v="532.66700000000003"/>
    <n v="1025.2280000000001"/>
    <s v="Low"/>
  </r>
  <r>
    <s v="ORD-2025-485946"/>
    <x v="324"/>
    <x v="16"/>
    <s v="Q2-2025"/>
    <x v="324"/>
    <d v="2025-06-30T00:00:00"/>
    <n v="15"/>
    <n v="0"/>
    <n v="0"/>
    <x v="0"/>
    <x v="11"/>
    <x v="20"/>
    <s v="Small Business"/>
    <s v="Direct"/>
    <s v="C. Otieno"/>
    <x v="5"/>
    <x v="388"/>
    <n v="1487.59"/>
    <n v="1480.83"/>
    <n v="8.9999999999999993E-3"/>
    <n v="8.9999999999999993E-3"/>
    <n v="11"/>
    <n v="16142.527829999999"/>
    <n v="16363.49"/>
    <n v="-220.9621700000007"/>
    <n v="-1.3688201273492908E-2"/>
    <n v="532.66700000000003"/>
    <n v="1025.2280000000001"/>
    <s v="High"/>
  </r>
  <r>
    <s v="ORD-2024-307849"/>
    <x v="325"/>
    <x v="21"/>
    <s v="Q3-2024"/>
    <x v="251"/>
    <d v="2024-09-07T00:00:00"/>
    <n v="28"/>
    <n v="0"/>
    <n v="0"/>
    <x v="3"/>
    <x v="7"/>
    <x v="11"/>
    <s v="Non-Profit"/>
    <s v="Direct"/>
    <s v="F. Müller"/>
    <x v="1"/>
    <x v="389"/>
    <n v="229.96"/>
    <n v="564.26"/>
    <n v="0.105"/>
    <n v="0.105"/>
    <n v="5"/>
    <n v="2525.0635000000002"/>
    <n v="1149.8"/>
    <n v="1375.2635000000002"/>
    <n v="0.54464511486542821"/>
    <n v="532.66700000000003"/>
    <n v="1025.2280000000001"/>
    <s v="High"/>
  </r>
  <r>
    <s v="ORD-2023-368449"/>
    <x v="326"/>
    <x v="32"/>
    <s v="Q4-2023"/>
    <x v="325"/>
    <d v="2023-10-26T00:00:00"/>
    <n v="17"/>
    <n v="0"/>
    <n v="0"/>
    <x v="1"/>
    <x v="9"/>
    <x v="23"/>
    <s v="Consumer"/>
    <s v="Marketplace"/>
    <s v="C. Otieno"/>
    <x v="0"/>
    <x v="390"/>
    <n v="1132.03"/>
    <n v="2137.21"/>
    <n v="0.3"/>
    <n v="0.35699999999999998"/>
    <n v="35"/>
    <n v="52361.645000000004"/>
    <n v="39621.049999999996"/>
    <n v="12740.595000000008"/>
    <n v="0.24331922727026639"/>
    <n v="532.66700000000003"/>
    <n v="1025.2280000000001"/>
    <s v="High"/>
  </r>
  <r>
    <s v="ORD-2024-251426"/>
    <x v="306"/>
    <x v="0"/>
    <s v="Q1-2024"/>
    <x v="220"/>
    <d v="2024-03-26T00:00:00"/>
    <n v="17"/>
    <n v="0"/>
    <n v="0"/>
    <x v="2"/>
    <x v="10"/>
    <x v="24"/>
    <s v="Education"/>
    <s v="Direct"/>
    <s v="I. Johnson"/>
    <x v="3"/>
    <x v="391"/>
    <n v="1137.4100000000001"/>
    <n v="1680.93"/>
    <n v="0.254"/>
    <n v="0.254"/>
    <n v="9"/>
    <n v="11285.764020000001"/>
    <n v="10236.69"/>
    <n v="1049.07402"/>
    <n v="9.2955516183121464E-2"/>
    <n v="532.66700000000003"/>
    <n v="1025.2280000000001"/>
    <s v="High"/>
  </r>
  <r>
    <s v="ORD-2023-927385"/>
    <x v="327"/>
    <x v="15"/>
    <s v="Q2-2023"/>
    <x v="326"/>
    <d v="2023-06-20T00:00:00"/>
    <n v="22"/>
    <n v="0"/>
    <n v="0"/>
    <x v="3"/>
    <x v="8"/>
    <x v="21"/>
    <s v="Small Business"/>
    <s v="Direct"/>
    <s v="K. Singh"/>
    <x v="0"/>
    <x v="392"/>
    <n v="1295.3900000000001"/>
    <n v="2905.06"/>
    <n v="0.14799999999999999"/>
    <n v="0.14799999999999999"/>
    <n v="8"/>
    <n v="19800.88896"/>
    <n v="10363.120000000001"/>
    <n v="9437.7689599999994"/>
    <n v="0.47663359857556614"/>
    <n v="532.66700000000003"/>
    <n v="1025.2280000000001"/>
    <s v="High"/>
  </r>
  <r>
    <s v="ORD-2025-486350"/>
    <x v="328"/>
    <x v="8"/>
    <s v="Q2-2025"/>
    <x v="327"/>
    <d v="2025-06-08T00:00:00"/>
    <n v="12"/>
    <n v="0"/>
    <n v="0"/>
    <x v="1"/>
    <x v="2"/>
    <x v="4"/>
    <s v="Corporate"/>
    <s v="Retail"/>
    <s v="H. Kim"/>
    <x v="6"/>
    <x v="393"/>
    <n v="653.6"/>
    <n v="842.09"/>
    <n v="9.8000000000000004E-2"/>
    <n v="9.8000000000000004E-2"/>
    <n v="19"/>
    <n v="14431.738420000001"/>
    <n v="12418.4"/>
    <n v="2013.3384200000019"/>
    <n v="0.13950768517324622"/>
    <n v="532.66700000000003"/>
    <n v="1025.2280000000001"/>
    <s v="High"/>
  </r>
  <r>
    <s v="ORD-2025-677880"/>
    <x v="164"/>
    <x v="28"/>
    <s v="Q3-2025"/>
    <x v="328"/>
    <d v="2025-09-14T00:00:00"/>
    <n v="24"/>
    <n v="0"/>
    <n v="0"/>
    <x v="3"/>
    <x v="6"/>
    <x v="9"/>
    <s v="Non-Profit"/>
    <s v="Online"/>
    <s v="A. Patel"/>
    <x v="5"/>
    <x v="394"/>
    <n v="1397.67"/>
    <n v="3131.37"/>
    <n v="0.10299999999999999"/>
    <n v="0.10299999999999999"/>
    <n v="20"/>
    <n v="56176.777799999996"/>
    <n v="27953.4"/>
    <n v="28223.377799999995"/>
    <n v="0.50240293062874808"/>
    <n v="532.66700000000003"/>
    <n v="1025.2280000000001"/>
    <s v="High"/>
  </r>
  <r>
    <s v="ORD-2024-102866"/>
    <x v="329"/>
    <x v="6"/>
    <s v="Q4-2024"/>
    <x v="71"/>
    <d v="2024-12-20T00:00:00"/>
    <n v="8"/>
    <n v="0"/>
    <n v="0"/>
    <x v="1"/>
    <x v="2"/>
    <x v="27"/>
    <s v="Corporate"/>
    <s v="Retail"/>
    <s v="B. Chen"/>
    <x v="4"/>
    <x v="395"/>
    <n v="1202.47"/>
    <n v="1444.72"/>
    <n v="0.24099999999999999"/>
    <n v="0.24099999999999999"/>
    <n v="17"/>
    <n v="18641.222160000001"/>
    <n v="20441.990000000002"/>
    <n v="-1800.7678400000004"/>
    <n v="-9.6601382921343834E-2"/>
    <n v="532.66700000000003"/>
    <n v="1025.2280000000001"/>
    <s v="High"/>
  </r>
  <r>
    <s v="ORD-2025-588029"/>
    <x v="283"/>
    <x v="11"/>
    <s v="Q3-2025"/>
    <x v="329"/>
    <d v="2025-09-23T00:00:00"/>
    <n v="9"/>
    <n v="0"/>
    <n v="0"/>
    <x v="0"/>
    <x v="11"/>
    <x v="25"/>
    <s v="Non-Profit"/>
    <s v="Online"/>
    <s v="D. Smith"/>
    <x v="0"/>
    <x v="396"/>
    <n v="1310.3"/>
    <n v="2875.8"/>
    <n v="8.3000000000000004E-2"/>
    <n v="8.3000000000000004E-2"/>
    <n v="5"/>
    <n v="13185.543"/>
    <n v="6551.5"/>
    <n v="6634.0429999999997"/>
    <n v="0.50313005691157353"/>
    <n v="532.66700000000003"/>
    <n v="1025.2280000000001"/>
    <s v="High"/>
  </r>
  <r>
    <s v="ORD-2024-972999"/>
    <x v="330"/>
    <x v="29"/>
    <s v="Q3-2024"/>
    <x v="330"/>
    <d v="2024-10-04T00:00:00"/>
    <n v="28"/>
    <n v="0"/>
    <n v="0"/>
    <x v="0"/>
    <x v="11"/>
    <x v="33"/>
    <s v="Corporate"/>
    <s v="Marketplace"/>
    <s v="D. Smith"/>
    <x v="5"/>
    <x v="397"/>
    <n v="1174.17"/>
    <n v="1641.61"/>
    <n v="0.122"/>
    <n v="0.122"/>
    <n v="9"/>
    <n v="12972.00222"/>
    <n v="10567.53"/>
    <n v="2404.4722199999997"/>
    <n v="0.18535860380079394"/>
    <n v="532.66700000000003"/>
    <n v="1025.2280000000001"/>
    <s v="High"/>
  </r>
  <r>
    <s v="ORD-2025-608069"/>
    <x v="331"/>
    <x v="19"/>
    <s v="Q2-2025"/>
    <x v="53"/>
    <d v="2025-04-30T00:00:00"/>
    <n v="18"/>
    <n v="0"/>
    <n v="0"/>
    <x v="0"/>
    <x v="0"/>
    <x v="0"/>
    <s v="Corporate"/>
    <s v="Marketplace"/>
    <s v="F. Müller"/>
    <x v="2"/>
    <x v="398"/>
    <n v="1119.04"/>
    <n v="1299.02"/>
    <n v="2.5000000000000001E-2"/>
    <n v="2.5000000000000001E-2"/>
    <n v="14"/>
    <n v="17731.623"/>
    <n v="15666.56"/>
    <n v="2065.0630000000001"/>
    <n v="0.11646215352085933"/>
    <n v="532.66700000000003"/>
    <n v="1025.2280000000001"/>
    <s v="High"/>
  </r>
  <r>
    <s v="ORD-2024-626750"/>
    <x v="174"/>
    <x v="21"/>
    <s v="Q3-2024"/>
    <x v="331"/>
    <d v="2024-08-15T00:00:00"/>
    <n v="3"/>
    <n v="1"/>
    <n v="1"/>
    <x v="2"/>
    <x v="10"/>
    <x v="15"/>
    <s v="Corporate"/>
    <s v="Marketplace"/>
    <s v="D. Smith"/>
    <x v="1"/>
    <x v="399"/>
    <n v="850.7"/>
    <n v="1118.56"/>
    <n v="0.18"/>
    <n v="0.18"/>
    <n v="19"/>
    <n v="17427.164800000002"/>
    <n v="16163.300000000001"/>
    <n v="1263.8648000000012"/>
    <n v="7.2522685962090688E-2"/>
    <n v="532.66700000000003"/>
    <n v="1025.2280000000001"/>
    <s v="High"/>
  </r>
  <r>
    <s v="ORD-2024-170021"/>
    <x v="332"/>
    <x v="18"/>
    <s v="Q4-2024"/>
    <x v="46"/>
    <d v="2024-11-08T00:00:00"/>
    <n v="3"/>
    <n v="1"/>
    <n v="1"/>
    <x v="2"/>
    <x v="3"/>
    <x v="5"/>
    <s v="Education"/>
    <s v="Marketplace"/>
    <s v="O. Wang"/>
    <x v="0"/>
    <x v="400"/>
    <n v="1020.4"/>
    <n v="1184.71"/>
    <n v="0.106"/>
    <n v="0.106"/>
    <n v="16"/>
    <n v="16946.091840000001"/>
    <n v="16326.4"/>
    <n v="619.69184000000132"/>
    <n v="3.6568422138328345E-2"/>
    <n v="532.66700000000003"/>
    <n v="1025.2280000000001"/>
    <s v="High"/>
  </r>
  <r>
    <s v="ORD-2024-678110"/>
    <x v="333"/>
    <x v="14"/>
    <s v="Q3-2024"/>
    <x v="332"/>
    <d v="2024-08-08T00:00:00"/>
    <n v="15"/>
    <n v="0"/>
    <n v="0"/>
    <x v="3"/>
    <x v="7"/>
    <x v="11"/>
    <s v="Enterprise"/>
    <s v="Marketplace"/>
    <s v="H. Kim"/>
    <x v="4"/>
    <x v="401"/>
    <n v="501.5"/>
    <n v="1201.47"/>
    <n v="0.126"/>
    <n v="0.126"/>
    <n v="5"/>
    <n v="5250.4239000000007"/>
    <n v="2507.5"/>
    <n v="2742.9239000000007"/>
    <n v="0.52241951359394057"/>
    <n v="532.66700000000003"/>
    <n v="1025.2280000000001"/>
    <s v="High"/>
  </r>
  <r>
    <s v="ORD-2025-909340"/>
    <x v="334"/>
    <x v="10"/>
    <s v="Q1-2025"/>
    <x v="333"/>
    <d v="2025-02-03T00:00:00"/>
    <n v="14"/>
    <n v="0"/>
    <n v="0"/>
    <x v="2"/>
    <x v="5"/>
    <x v="10"/>
    <s v="Enterprise"/>
    <s v="Marketplace"/>
    <s v="F. Müller"/>
    <x v="0"/>
    <x v="402"/>
    <n v="974.11"/>
    <n v="880.99"/>
    <n v="0.111"/>
    <n v="0.111"/>
    <n v="10"/>
    <n v="7832.0010999999995"/>
    <n v="9741.1"/>
    <n v="-1909.0989000000009"/>
    <n v="-0.2437562093805121"/>
    <n v="532.66700000000003"/>
    <n v="1025.2280000000001"/>
    <s v="High"/>
  </r>
  <r>
    <s v="ORD-2023-854471"/>
    <x v="335"/>
    <x v="22"/>
    <s v="Q1-2023"/>
    <x v="314"/>
    <d v="2023-04-04T00:00:00"/>
    <n v="29"/>
    <n v="0"/>
    <n v="0"/>
    <x v="1"/>
    <x v="9"/>
    <x v="37"/>
    <s v="Small Business"/>
    <s v="Direct"/>
    <s v="C. Otieno"/>
    <x v="5"/>
    <x v="403"/>
    <n v="1126.29"/>
    <n v="2050.87"/>
    <n v="6.4000000000000001E-2"/>
    <n v="6.4000000000000001E-2"/>
    <n v="7"/>
    <n v="13437.300239999999"/>
    <n v="7884.03"/>
    <n v="5553.2702399999989"/>
    <n v="0.41327276616690373"/>
    <n v="532.66700000000003"/>
    <n v="1025.2280000000001"/>
    <s v="High"/>
  </r>
  <r>
    <s v="ORD-2024-390951"/>
    <x v="336"/>
    <x v="6"/>
    <s v="Q4-2024"/>
    <x v="6"/>
    <d v="2025-01-14T00:00:00"/>
    <n v="25"/>
    <n v="0"/>
    <n v="0"/>
    <x v="1"/>
    <x v="4"/>
    <x v="18"/>
    <s v="Small Business"/>
    <s v="Retail"/>
    <s v="M. Rossi"/>
    <x v="1"/>
    <x v="404"/>
    <n v="1361.34"/>
    <n v="1737.9"/>
    <n v="7.6999999999999999E-2"/>
    <n v="7.6999999999999999E-2"/>
    <n v="14"/>
    <n v="22457.143800000002"/>
    <n v="19058.759999999998"/>
    <n v="3398.3838000000032"/>
    <n v="0.15132751654731813"/>
    <n v="532.66700000000003"/>
    <n v="1025.2280000000001"/>
    <s v="High"/>
  </r>
  <r>
    <s v="ORD-2025-881624"/>
    <x v="337"/>
    <x v="26"/>
    <s v="Q1-2025"/>
    <x v="334"/>
    <d v="2025-03-21T00:00:00"/>
    <n v="28"/>
    <n v="0"/>
    <n v="0"/>
    <x v="0"/>
    <x v="1"/>
    <x v="7"/>
    <s v="Enterprise"/>
    <s v="Marketplace"/>
    <s v="I. Johnson"/>
    <x v="3"/>
    <x v="405"/>
    <n v="1437.39"/>
    <n v="1388.31"/>
    <n v="0.13800000000000001"/>
    <n v="0.13800000000000001"/>
    <n v="18"/>
    <n v="21541.017959999997"/>
    <n v="25873.02"/>
    <n v="-4332.002040000003"/>
    <n v="-0.20110479681341872"/>
    <n v="532.66700000000003"/>
    <n v="1025.2280000000001"/>
    <s v="High"/>
  </r>
  <r>
    <s v="ORD-2025-512310"/>
    <x v="338"/>
    <x v="3"/>
    <s v="Q1-2025"/>
    <x v="335"/>
    <d v="2025-03-15T00:00:00"/>
    <n v="7"/>
    <n v="1"/>
    <n v="1"/>
    <x v="1"/>
    <x v="4"/>
    <x v="6"/>
    <s v="Corporate"/>
    <s v="Distributor"/>
    <s v="K. Singh"/>
    <x v="4"/>
    <x v="406"/>
    <n v="475.66"/>
    <n v="529.14"/>
    <n v="0.19600000000000001"/>
    <n v="0.19600000000000001"/>
    <n v="11"/>
    <n v="4679.7141600000004"/>
    <n v="5232.26"/>
    <n v="-552.54583999999977"/>
    <n v="-0.11807256193613323"/>
    <n v="532.66700000000003"/>
    <n v="1025.2280000000001"/>
    <s v="High"/>
  </r>
  <r>
    <s v="ORD-2023-674887"/>
    <x v="339"/>
    <x v="4"/>
    <s v="Q4-2023"/>
    <x v="336"/>
    <d v="2023-12-19T00:00:00"/>
    <n v="3"/>
    <n v="1"/>
    <n v="1"/>
    <x v="1"/>
    <x v="9"/>
    <x v="37"/>
    <s v="Education"/>
    <s v="Retail"/>
    <s v="A. Patel"/>
    <x v="6"/>
    <x v="407"/>
    <n v="1415.05"/>
    <n v="1972.38"/>
    <n v="0"/>
    <n v="0"/>
    <n v="12"/>
    <n v="23668.560000000001"/>
    <n v="16980.599999999999"/>
    <n v="6687.9600000000028"/>
    <n v="0.28256725377462771"/>
    <n v="532.66700000000003"/>
    <n v="1025.2280000000001"/>
    <s v="High"/>
  </r>
  <r>
    <s v="ORD-2024-542244"/>
    <x v="340"/>
    <x v="21"/>
    <s v="Q3-2024"/>
    <x v="337"/>
    <d v="2024-09-05T00:00:00"/>
    <n v="6"/>
    <n v="1"/>
    <n v="1"/>
    <x v="1"/>
    <x v="2"/>
    <x v="32"/>
    <s v="Education"/>
    <s v="Online"/>
    <s v="N. Brown"/>
    <x v="4"/>
    <x v="408"/>
    <n v="466.16"/>
    <n v="876.81"/>
    <n v="0.24099999999999999"/>
    <n v="0.24099999999999999"/>
    <n v="8"/>
    <n v="5323.9903199999999"/>
    <n v="3729.28"/>
    <n v="1594.7103199999997"/>
    <n v="0.29953291124691594"/>
    <n v="532.66700000000003"/>
    <n v="1025.2280000000001"/>
    <s v="High"/>
  </r>
  <r>
    <s v="ORD-2024-375848"/>
    <x v="22"/>
    <x v="7"/>
    <s v="Q2-2024"/>
    <x v="338"/>
    <d v="2024-05-21T00:00:00"/>
    <n v="3"/>
    <n v="1"/>
    <n v="1"/>
    <x v="3"/>
    <x v="7"/>
    <x v="11"/>
    <s v="Non-Profit"/>
    <s v="Marketplace"/>
    <s v="D. Smith"/>
    <x v="1"/>
    <x v="409"/>
    <n v="663.66"/>
    <n v="824.26"/>
    <n v="0.23899999999999999"/>
    <n v="0.23899999999999999"/>
    <n v="11"/>
    <n v="6899.8804600000003"/>
    <n v="7300.2599999999993"/>
    <n v="-400.379539999999"/>
    <n v="-5.8027025587048933E-2"/>
    <n v="532.66700000000003"/>
    <n v="1025.2280000000001"/>
    <s v="High"/>
  </r>
  <r>
    <s v="ORD-2023-933238"/>
    <x v="341"/>
    <x v="22"/>
    <s v="Q1-2023"/>
    <x v="339"/>
    <d v="2023-04-06T00:00:00"/>
    <n v="20"/>
    <n v="0"/>
    <n v="0"/>
    <x v="3"/>
    <x v="6"/>
    <x v="22"/>
    <s v="Consumer"/>
    <s v="Retail"/>
    <s v="O. Wang"/>
    <x v="3"/>
    <x v="410"/>
    <n v="692.18"/>
    <n v="1159.3499999999999"/>
    <n v="0.112"/>
    <n v="0.112"/>
    <n v="2"/>
    <n v="2059.0056"/>
    <n v="1384.36"/>
    <n v="674.64560000000006"/>
    <n v="0.32765602968734037"/>
    <n v="532.66700000000003"/>
    <n v="1025.2280000000001"/>
    <s v="High"/>
  </r>
  <r>
    <s v="ORD-2023-732585"/>
    <x v="342"/>
    <x v="25"/>
    <s v="Q3-2023"/>
    <x v="142"/>
    <d v="2023-09-16T00:00:00"/>
    <n v="22"/>
    <n v="0"/>
    <n v="0"/>
    <x v="0"/>
    <x v="1"/>
    <x v="7"/>
    <s v="Corporate"/>
    <s v="Marketplace"/>
    <s v="L. Okafor"/>
    <x v="3"/>
    <x v="411"/>
    <n v="1196.83"/>
    <n v="2513.5100000000002"/>
    <n v="8.3000000000000004E-2"/>
    <n v="8.3000000000000004E-2"/>
    <n v="7"/>
    <n v="16134.22069"/>
    <n v="8377.81"/>
    <n v="7756.4106900000006"/>
    <n v="0.48074281609445374"/>
    <n v="532.66700000000003"/>
    <n v="1025.2280000000001"/>
    <s v="High"/>
  </r>
  <r>
    <s v="ORD-2024-465898"/>
    <x v="343"/>
    <x v="17"/>
    <s v="Q2-2024"/>
    <x v="272"/>
    <d v="2024-06-24T00:00:00"/>
    <n v="18"/>
    <n v="0"/>
    <n v="0"/>
    <x v="1"/>
    <x v="4"/>
    <x v="6"/>
    <s v="Small Business"/>
    <s v="Direct"/>
    <s v="H. Kim"/>
    <x v="2"/>
    <x v="412"/>
    <n v="1253.25"/>
    <n v="3087.13"/>
    <n v="7.1999999999999995E-2"/>
    <n v="7.1999999999999995E-2"/>
    <n v="11"/>
    <n v="31513.423040000001"/>
    <n v="13785.75"/>
    <n v="17727.673040000001"/>
    <n v="0.562543555408064"/>
    <n v="532.66700000000003"/>
    <n v="1025.2280000000001"/>
    <s v="High"/>
  </r>
  <r>
    <s v="ORD-2023-987081"/>
    <x v="344"/>
    <x v="25"/>
    <s v="Q3-2023"/>
    <x v="340"/>
    <d v="2023-09-13T00:00:00"/>
    <n v="15"/>
    <n v="0"/>
    <n v="0"/>
    <x v="2"/>
    <x v="3"/>
    <x v="26"/>
    <s v="Small Business"/>
    <s v="Marketplace"/>
    <s v="O. Wang"/>
    <x v="1"/>
    <x v="413"/>
    <n v="1287.6400000000001"/>
    <n v="2717.15"/>
    <n v="3.2000000000000001E-2"/>
    <n v="3.2000000000000001E-2"/>
    <n v="7"/>
    <n v="18411.4084"/>
    <n v="9013.4800000000014"/>
    <n v="9397.9283999999989"/>
    <n v="0.51044049405802105"/>
    <n v="532.66700000000003"/>
    <n v="1025.2280000000001"/>
    <s v="High"/>
  </r>
  <r>
    <s v="ORD-2024-655710"/>
    <x v="25"/>
    <x v="18"/>
    <s v="Q4-2024"/>
    <x v="341"/>
    <d v="2024-12-10T00:00:00"/>
    <n v="10"/>
    <n v="0"/>
    <n v="0"/>
    <x v="1"/>
    <x v="4"/>
    <x v="34"/>
    <s v="Small Business"/>
    <s v="Retail"/>
    <s v="F. Müller"/>
    <x v="6"/>
    <x v="414"/>
    <n v="851.49"/>
    <n v="901.79"/>
    <n v="0.245"/>
    <n v="0.245"/>
    <n v="16"/>
    <n v="10893.6232"/>
    <n v="13623.84"/>
    <n v="-2730.2168000000001"/>
    <n v="-0.25062522816100341"/>
    <n v="532.66700000000003"/>
    <n v="1025.2280000000001"/>
    <s v="High"/>
  </r>
  <r>
    <s v="ORD-2025-411385"/>
    <x v="345"/>
    <x v="16"/>
    <s v="Q2-2025"/>
    <x v="342"/>
    <d v="2025-06-14T00:00:00"/>
    <n v="9"/>
    <n v="0"/>
    <n v="0"/>
    <x v="1"/>
    <x v="4"/>
    <x v="18"/>
    <s v="Non-Profit"/>
    <s v="Retail"/>
    <s v="A. Patel"/>
    <x v="6"/>
    <x v="415"/>
    <n v="618.69000000000005"/>
    <n v="796.15"/>
    <n v="0.09"/>
    <n v="0.09"/>
    <n v="11"/>
    <n v="7969.4615000000003"/>
    <n v="6805.59"/>
    <n v="1163.8715000000002"/>
    <n v="0.14604142325049191"/>
    <n v="532.66700000000003"/>
    <n v="1025.2280000000001"/>
    <s v="High"/>
  </r>
  <r>
    <s v="ORD-2025-222035"/>
    <x v="251"/>
    <x v="3"/>
    <s v="Q1-2025"/>
    <x v="343"/>
    <d v="2025-04-08T00:00:00"/>
    <n v="25"/>
    <n v="0"/>
    <n v="0"/>
    <x v="1"/>
    <x v="9"/>
    <x v="37"/>
    <s v="Corporate"/>
    <s v="Distributor"/>
    <s v="D. Smith"/>
    <x v="1"/>
    <x v="416"/>
    <n v="80.59"/>
    <n v="157.82"/>
    <n v="0.217"/>
    <n v="0.217"/>
    <n v="6"/>
    <n v="741.43835999999999"/>
    <n v="483.54"/>
    <n v="257.89835999999997"/>
    <n v="0.34783519967863541"/>
    <n v="532.66700000000003"/>
    <n v="1025.2280000000001"/>
    <s v="Medium"/>
  </r>
  <r>
    <s v="ORD-2024-749242"/>
    <x v="346"/>
    <x v="9"/>
    <s v="Q1-2024"/>
    <x v="344"/>
    <d v="2024-02-11T00:00:00"/>
    <n v="26"/>
    <n v="0"/>
    <n v="0"/>
    <x v="3"/>
    <x v="6"/>
    <x v="36"/>
    <s v="Non-Profit"/>
    <s v="Distributor"/>
    <s v="E. Garcia"/>
    <x v="5"/>
    <x v="417"/>
    <n v="504.93"/>
    <n v="819.06"/>
    <n v="0.22600000000000001"/>
    <n v="0.22600000000000001"/>
    <n v="15"/>
    <n v="9509.2865999999995"/>
    <n v="7573.95"/>
    <n v="1935.3365999999996"/>
    <n v="0.20352069312959814"/>
    <n v="532.66700000000003"/>
    <n v="1025.2280000000001"/>
    <s v="High"/>
  </r>
  <r>
    <s v="ORD-2023-623293"/>
    <x v="347"/>
    <x v="32"/>
    <s v="Q4-2023"/>
    <x v="208"/>
    <d v="2023-10-29T00:00:00"/>
    <n v="17"/>
    <n v="0"/>
    <n v="0"/>
    <x v="1"/>
    <x v="2"/>
    <x v="32"/>
    <s v="Non-Profit"/>
    <s v="Direct"/>
    <s v="H. Kim"/>
    <x v="3"/>
    <x v="418"/>
    <n v="1102.19"/>
    <n v="1711.16"/>
    <n v="0.151"/>
    <n v="0.151"/>
    <n v="10"/>
    <n v="14527.748400000002"/>
    <n v="11021.900000000001"/>
    <n v="3505.8484000000008"/>
    <n v="0.24132083675127525"/>
    <n v="532.66700000000003"/>
    <n v="1025.2280000000001"/>
    <s v="High"/>
  </r>
  <r>
    <s v="ORD-2025-276968"/>
    <x v="348"/>
    <x v="26"/>
    <s v="Q1-2025"/>
    <x v="345"/>
    <d v="2025-03-17T00:00:00"/>
    <n v="20"/>
    <n v="0"/>
    <n v="0"/>
    <x v="2"/>
    <x v="10"/>
    <x v="24"/>
    <s v="Non-Profit"/>
    <s v="Marketplace"/>
    <s v="H. Kim"/>
    <x v="3"/>
    <x v="419"/>
    <n v="1205.26"/>
    <n v="1696.35"/>
    <n v="1.9E-2"/>
    <n v="1.9E-2"/>
    <n v="6"/>
    <n v="9984.7160999999978"/>
    <n v="7231.5599999999995"/>
    <n v="2753.1560999999983"/>
    <n v="0.27573704374028213"/>
    <n v="532.66700000000003"/>
    <n v="1025.2280000000001"/>
    <s v="High"/>
  </r>
  <r>
    <s v="ORD-2025-650841"/>
    <x v="349"/>
    <x v="13"/>
    <s v="Q3-2025"/>
    <x v="346"/>
    <d v="2025-07-06T00:00:00"/>
    <n v="3"/>
    <n v="1"/>
    <n v="1"/>
    <x v="0"/>
    <x v="1"/>
    <x v="3"/>
    <s v="Consumer"/>
    <s v="Online"/>
    <s v="Unassigned"/>
    <x v="4"/>
    <x v="420"/>
    <n v="1313.3"/>
    <n v="2884.34"/>
    <n v="0.157"/>
    <n v="0.157"/>
    <n v="42"/>
    <n v="102122.94203999999"/>
    <n v="55158.6"/>
    <n v="46964.342039999996"/>
    <n v="0.45988042551305253"/>
    <n v="532.66700000000003"/>
    <n v="1025.2280000000001"/>
    <s v="High"/>
  </r>
  <r>
    <s v="ORD-2025-831576"/>
    <x v="165"/>
    <x v="11"/>
    <s v="Q3-2025"/>
    <x v="347"/>
    <d v="2025-09-25T00:00:00"/>
    <n v="10"/>
    <n v="0"/>
    <n v="0"/>
    <x v="1"/>
    <x v="4"/>
    <x v="18"/>
    <s v="Consumer"/>
    <s v="Retail"/>
    <s v="A. Patel"/>
    <x v="3"/>
    <x v="421"/>
    <n v="1488.91"/>
    <n v="1483.74"/>
    <n v="0.16800000000000001"/>
    <n v="0.16800000000000001"/>
    <n v="24"/>
    <n v="29627.320319999999"/>
    <n v="35733.840000000004"/>
    <n v="-6106.5196800000049"/>
    <n v="-0.20611110333450519"/>
    <n v="532.66700000000003"/>
    <n v="1025.2280000000001"/>
    <s v="High"/>
  </r>
  <r>
    <s v="ORD-2024-468655"/>
    <x v="350"/>
    <x v="31"/>
    <s v="Q1-2024"/>
    <x v="348"/>
    <d v="2024-03-06T00:00:00"/>
    <n v="16"/>
    <n v="0"/>
    <n v="0"/>
    <x v="1"/>
    <x v="9"/>
    <x v="37"/>
    <s v="Education"/>
    <s v="Marketplace"/>
    <s v="O. Wang"/>
    <x v="1"/>
    <x v="422"/>
    <n v="1477.84"/>
    <n v="3197.47"/>
    <n v="0.24299999999999999"/>
    <n v="0.24299999999999999"/>
    <n v="24"/>
    <n v="58091.634960000003"/>
    <n v="35468.159999999996"/>
    <n v="22623.474960000007"/>
    <n v="0.38944462443823091"/>
    <n v="532.66700000000003"/>
    <n v="1025.2280000000001"/>
    <s v="High"/>
  </r>
  <r>
    <s v="ORD-2024-515105"/>
    <x v="351"/>
    <x v="31"/>
    <s v="Q1-2024"/>
    <x v="220"/>
    <d v="2024-03-26T00:00:00"/>
    <n v="28"/>
    <n v="0"/>
    <n v="0"/>
    <x v="1"/>
    <x v="4"/>
    <x v="29"/>
    <s v="Education"/>
    <s v="Marketplace"/>
    <s v="G. Dubois"/>
    <x v="4"/>
    <x v="423"/>
    <n v="1035.19"/>
    <n v="2322.6999999999998"/>
    <n v="0.17299999999999999"/>
    <n v="0.17299999999999999"/>
    <n v="8"/>
    <n v="15366.983199999999"/>
    <n v="8281.52"/>
    <n v="7085.4631999999983"/>
    <n v="0.46108355217047409"/>
    <n v="532.66700000000003"/>
    <n v="1025.2280000000001"/>
    <s v="High"/>
  </r>
  <r>
    <s v="ORD-2025-803803"/>
    <x v="256"/>
    <x v="28"/>
    <s v="Q3-2025"/>
    <x v="349"/>
    <d v="2025-09-05T00:00:00"/>
    <n v="8"/>
    <n v="0"/>
    <n v="0"/>
    <x v="0"/>
    <x v="1"/>
    <x v="1"/>
    <s v="Small Business"/>
    <s v="Marketplace"/>
    <s v="E. Garcia"/>
    <x v="4"/>
    <x v="424"/>
    <n v="1271.0999999999999"/>
    <n v="1932.42"/>
    <n v="0.25"/>
    <n v="0.25"/>
    <n v="21"/>
    <n v="30435.614999999998"/>
    <n v="26693.1"/>
    <n v="3742.5149999999994"/>
    <n v="0.12296498690760807"/>
    <n v="532.66700000000003"/>
    <n v="1025.2280000000001"/>
    <s v="High"/>
  </r>
  <r>
    <s v="ORD-2024-993481"/>
    <x v="352"/>
    <x v="21"/>
    <s v="Q3-2024"/>
    <x v="350"/>
    <d v="2024-09-12T00:00:00"/>
    <n v="25"/>
    <n v="0"/>
    <n v="0"/>
    <x v="1"/>
    <x v="4"/>
    <x v="29"/>
    <s v="Consumer"/>
    <s v="Marketplace"/>
    <s v="C. Otieno"/>
    <x v="3"/>
    <x v="425"/>
    <n v="1154.03"/>
    <n v="1590.36"/>
    <n v="0.3"/>
    <n v="0.314"/>
    <n v="18"/>
    <n v="20038.536"/>
    <n v="20772.54"/>
    <n v="-734.00400000000081"/>
    <n v="-3.6629622044245191E-2"/>
    <n v="532.66700000000003"/>
    <n v="1025.2280000000001"/>
    <s v="High"/>
  </r>
  <r>
    <s v="ORD-2024-811752"/>
    <x v="353"/>
    <x v="31"/>
    <s v="Q1-2024"/>
    <x v="351"/>
    <d v="2024-03-09T00:00:00"/>
    <n v="13"/>
    <n v="0"/>
    <n v="0"/>
    <x v="3"/>
    <x v="7"/>
    <x v="11"/>
    <s v="Small Business"/>
    <s v="Distributor"/>
    <s v="E. Garcia"/>
    <x v="5"/>
    <x v="426"/>
    <n v="322.44"/>
    <n v="395.61"/>
    <n v="0"/>
    <n v="0"/>
    <n v="34"/>
    <n v="13450.74"/>
    <n v="10962.96"/>
    <n v="2487.7800000000007"/>
    <n v="0.18495487980586947"/>
    <n v="532.66700000000003"/>
    <n v="1025.2280000000001"/>
    <s v="High"/>
  </r>
  <r>
    <s v="ORD-2025-673091"/>
    <x v="354"/>
    <x v="8"/>
    <s v="Q2-2025"/>
    <x v="57"/>
    <d v="2025-05-13T00:00:00"/>
    <n v="6"/>
    <n v="1"/>
    <n v="1"/>
    <x v="1"/>
    <x v="4"/>
    <x v="6"/>
    <s v="Enterprise"/>
    <s v="Direct"/>
    <s v="J. Njeri"/>
    <x v="3"/>
    <x v="427"/>
    <n v="935.98"/>
    <n v="2077.69"/>
    <n v="0.17499999999999999"/>
    <n v="0.17499999999999999"/>
    <n v="24"/>
    <n v="41138.261999999995"/>
    <n v="22463.52"/>
    <n v="18674.741999999995"/>
    <n v="0.45395067978321491"/>
    <n v="532.66700000000003"/>
    <n v="1025.2280000000001"/>
    <s v="High"/>
  </r>
  <r>
    <s v="ORD-2024-381197"/>
    <x v="355"/>
    <x v="18"/>
    <s v="Q4-2024"/>
    <x v="352"/>
    <d v="2024-11-12T00:00:00"/>
    <n v="11"/>
    <n v="0"/>
    <n v="0"/>
    <x v="3"/>
    <x v="6"/>
    <x v="36"/>
    <s v="Consumer"/>
    <s v="Online"/>
    <s v="B. Chen"/>
    <x v="1"/>
    <x v="428"/>
    <n v="599.84"/>
    <n v="1330.85"/>
    <n v="0.115"/>
    <n v="0.115"/>
    <n v="11"/>
    <n v="12955.824749999998"/>
    <n v="6598.2400000000007"/>
    <n v="6357.5847499999973"/>
    <n v="0.49071246892252063"/>
    <n v="532.66700000000003"/>
    <n v="1025.2280000000001"/>
    <s v="High"/>
  </r>
  <r>
    <s v="ORD-2024-651852"/>
    <x v="356"/>
    <x v="6"/>
    <s v="Q4-2024"/>
    <x v="16"/>
    <d v="2025-01-08T00:00:00"/>
    <n v="11"/>
    <n v="0"/>
    <n v="0"/>
    <x v="1"/>
    <x v="9"/>
    <x v="14"/>
    <s v="Enterprise"/>
    <s v="Online"/>
    <s v="K. Singh"/>
    <x v="4"/>
    <x v="429"/>
    <n v="1201.31"/>
    <n v="2764.65"/>
    <n v="0"/>
    <n v="0"/>
    <n v="21"/>
    <n v="58057.65"/>
    <n v="25227.51"/>
    <n v="32830.14"/>
    <n v="0.56547483406579491"/>
    <n v="532.66700000000003"/>
    <n v="1025.2280000000001"/>
    <s v="High"/>
  </r>
  <r>
    <s v="ORD-2023-659070"/>
    <x v="258"/>
    <x v="32"/>
    <s v="Q4-2023"/>
    <x v="353"/>
    <d v="2023-10-21T00:00:00"/>
    <n v="0"/>
    <n v="1"/>
    <n v="1"/>
    <x v="3"/>
    <x v="8"/>
    <x v="31"/>
    <s v="Enterprise"/>
    <s v="Distributor"/>
    <s v="J. Njeri"/>
    <x v="5"/>
    <x v="430"/>
    <n v="384.19"/>
    <n v="278.35000000000002"/>
    <n v="5.6000000000000001E-2"/>
    <n v="5.6000000000000001E-2"/>
    <n v="10"/>
    <n v="2627.6239999999998"/>
    <n v="3841.9"/>
    <n v="-1214.2760000000003"/>
    <n v="-0.46211938998882657"/>
    <n v="532.66700000000003"/>
    <n v="1025.2280000000001"/>
    <s v="High"/>
  </r>
  <r>
    <s v="ORD-2024-837651"/>
    <x v="16"/>
    <x v="6"/>
    <s v="Q4-2024"/>
    <x v="354"/>
    <d v="2024-12-19T00:00:00"/>
    <n v="9"/>
    <n v="0"/>
    <n v="0"/>
    <x v="0"/>
    <x v="1"/>
    <x v="3"/>
    <s v="Corporate"/>
    <s v="Retail"/>
    <s v="O. Wang"/>
    <x v="5"/>
    <x v="431"/>
    <n v="488.68"/>
    <n v="984.36"/>
    <n v="5.8999999999999997E-2"/>
    <n v="5.8999999999999997E-2"/>
    <n v="14"/>
    <n v="12967.958640000001"/>
    <n v="6841.52"/>
    <n v="6126.4386400000003"/>
    <n v="0.47242891576649876"/>
    <n v="532.66700000000003"/>
    <n v="1025.2280000000001"/>
    <s v="High"/>
  </r>
  <r>
    <s v="ORD-2024-581530"/>
    <x v="254"/>
    <x v="29"/>
    <s v="Q3-2024"/>
    <x v="150"/>
    <d v="2024-09-18T00:00:00"/>
    <n v="11"/>
    <n v="0"/>
    <n v="0"/>
    <x v="1"/>
    <x v="9"/>
    <x v="37"/>
    <s v="Consumer"/>
    <s v="Distributor"/>
    <s v="O. Wang"/>
    <x v="2"/>
    <x v="432"/>
    <n v="181.74"/>
    <n v="190.84"/>
    <n v="0.214"/>
    <n v="0.214"/>
    <n v="13"/>
    <n v="1950.0031200000001"/>
    <n v="2362.62"/>
    <n v="-412.61687999999981"/>
    <n v="-0.21159806144310159"/>
    <n v="532.66700000000003"/>
    <n v="1025.2280000000001"/>
    <s v="High"/>
  </r>
  <r>
    <s v="ORD-2023-378104"/>
    <x v="357"/>
    <x v="32"/>
    <s v="Q4-2023"/>
    <x v="355"/>
    <d v="2023-10-20T00:00:00"/>
    <n v="2"/>
    <n v="1"/>
    <n v="1"/>
    <x v="0"/>
    <x v="0"/>
    <x v="0"/>
    <s v="Consumer"/>
    <s v="Retail"/>
    <s v="J. Njeri"/>
    <x v="3"/>
    <x v="433"/>
    <n v="774.12"/>
    <n v="908.3"/>
    <n v="0"/>
    <n v="0"/>
    <n v="30"/>
    <n v="27249"/>
    <n v="23223.599999999999"/>
    <n v="4025.4000000000015"/>
    <n v="0.14772652207420461"/>
    <n v="532.66700000000003"/>
    <n v="1025.2280000000001"/>
    <s v="High"/>
  </r>
  <r>
    <s v="ORD-2024-972318"/>
    <x v="358"/>
    <x v="6"/>
    <s v="Q4-2024"/>
    <x v="356"/>
    <d v="2025-01-13T00:00:00"/>
    <n v="20"/>
    <n v="0"/>
    <n v="0"/>
    <x v="1"/>
    <x v="4"/>
    <x v="6"/>
    <s v="Corporate"/>
    <s v="Marketplace"/>
    <s v="D. Smith"/>
    <x v="2"/>
    <x v="434"/>
    <n v="126.15"/>
    <n v="284.23"/>
    <n v="0.113"/>
    <n v="0.113"/>
    <n v="22"/>
    <n v="5546.4642200000008"/>
    <n v="2775.3"/>
    <n v="2771.1642200000006"/>
    <n v="0.49962716968541088"/>
    <n v="532.66700000000003"/>
    <n v="1025.2280000000001"/>
    <s v="High"/>
  </r>
  <r>
    <s v="ORD-2023-752962"/>
    <x v="67"/>
    <x v="12"/>
    <s v="Q2-2023"/>
    <x v="357"/>
    <d v="2023-04-24T00:00:00"/>
    <n v="3"/>
    <n v="1"/>
    <n v="1"/>
    <x v="1"/>
    <x v="2"/>
    <x v="32"/>
    <s v="Small Business"/>
    <s v="Direct"/>
    <s v="M. Rossi"/>
    <x v="0"/>
    <x v="435"/>
    <n v="607.04"/>
    <n v="1229.3399999999999"/>
    <n v="0.14699999999999999"/>
    <n v="0.14699999999999999"/>
    <n v="7"/>
    <n v="7340.3891399999993"/>
    <n v="4249.28"/>
    <n v="3091.1091399999996"/>
    <n v="0.42110970972310058"/>
    <n v="532.66700000000003"/>
    <n v="1025.2280000000001"/>
    <s v="High"/>
  </r>
  <r>
    <s v="ORD-2023-808024"/>
    <x v="359"/>
    <x v="4"/>
    <s v="Q4-2023"/>
    <x v="358"/>
    <d v="2024-01-08T00:00:00"/>
    <n v="9"/>
    <n v="0"/>
    <n v="0"/>
    <x v="3"/>
    <x v="7"/>
    <x v="11"/>
    <s v="Consumer"/>
    <s v="Marketplace"/>
    <s v="L. Okafor"/>
    <x v="6"/>
    <x v="436"/>
    <n v="861.1"/>
    <n v="1224.72"/>
    <n v="0.17399999999999999"/>
    <n v="0.17399999999999999"/>
    <n v="24"/>
    <n v="24278.849280000002"/>
    <n v="20666.400000000001"/>
    <n v="3612.4492800000007"/>
    <n v="0.14878997098827909"/>
    <n v="532.66700000000003"/>
    <n v="1025.2280000000001"/>
    <s v="High"/>
  </r>
  <r>
    <s v="ORD-2023-156396"/>
    <x v="360"/>
    <x v="2"/>
    <s v="Q1-2023"/>
    <x v="157"/>
    <d v="2023-03-12T00:00:00"/>
    <n v="19"/>
    <n v="0"/>
    <n v="0"/>
    <x v="0"/>
    <x v="0"/>
    <x v="16"/>
    <s v="Corporate"/>
    <s v="Online"/>
    <s v="F. Müller"/>
    <x v="2"/>
    <x v="437"/>
    <n v="352.65"/>
    <n v="485.86"/>
    <n v="4.1000000000000002E-2"/>
    <n v="4.1000000000000002E-2"/>
    <n v="6"/>
    <n v="2795.6384399999997"/>
    <n v="2115.8999999999996"/>
    <n v="679.73844000000008"/>
    <n v="0.24314247159943908"/>
    <n v="532.66700000000003"/>
    <n v="1025.2280000000001"/>
    <s v="High"/>
  </r>
  <r>
    <s v="ORD-2023-184577"/>
    <x v="361"/>
    <x v="15"/>
    <s v="Q2-2023"/>
    <x v="359"/>
    <d v="2023-06-03T00:00:00"/>
    <n v="17"/>
    <n v="0"/>
    <n v="0"/>
    <x v="1"/>
    <x v="9"/>
    <x v="37"/>
    <s v="Non-Profit"/>
    <s v="Distributor"/>
    <s v="M. Rossi"/>
    <x v="1"/>
    <x v="438"/>
    <n v="979.59"/>
    <n v="2210.94"/>
    <n v="0.15"/>
    <n v="0.15"/>
    <n v="11"/>
    <n v="20672.289000000001"/>
    <n v="10775.49"/>
    <n v="9896.7990000000009"/>
    <n v="0.47874712858358359"/>
    <n v="532.66700000000003"/>
    <n v="1025.2280000000001"/>
    <s v="High"/>
  </r>
  <r>
    <s v="ORD-2024-446030"/>
    <x v="362"/>
    <x v="0"/>
    <s v="Q1-2024"/>
    <x v="220"/>
    <d v="2024-03-26T00:00:00"/>
    <n v="3"/>
    <n v="1"/>
    <n v="1"/>
    <x v="1"/>
    <x v="4"/>
    <x v="6"/>
    <s v="Education"/>
    <s v="Direct"/>
    <s v="G. Dubois"/>
    <x v="3"/>
    <x v="439"/>
    <n v="382.21"/>
    <n v="571.89"/>
    <n v="0.14799999999999999"/>
    <n v="0.14799999999999999"/>
    <n v="26"/>
    <n v="12668.50728"/>
    <n v="9937.4599999999991"/>
    <n v="2731.0472800000007"/>
    <n v="0.2155776698578809"/>
    <n v="532.66700000000003"/>
    <n v="1025.2280000000001"/>
    <s v="High"/>
  </r>
  <r>
    <s v="ORD-2023-842820"/>
    <x v="363"/>
    <x v="27"/>
    <s v="Q3-2023"/>
    <x v="360"/>
    <d v="2023-09-28T00:00:00"/>
    <n v="8"/>
    <n v="0"/>
    <n v="0"/>
    <x v="1"/>
    <x v="4"/>
    <x v="18"/>
    <s v="Corporate"/>
    <s v="Direct"/>
    <s v="B. Chen"/>
    <x v="6"/>
    <x v="440"/>
    <n v="1362.06"/>
    <n v="3398.37"/>
    <n v="0.157"/>
    <n v="0.157"/>
    <n v="11"/>
    <n v="31513.085009999999"/>
    <n v="14982.66"/>
    <n v="16530.425009999999"/>
    <n v="0.52455749745714919"/>
    <n v="532.66700000000003"/>
    <n v="1025.2280000000001"/>
    <s v="High"/>
  </r>
  <r>
    <s v="ORD-2024-745424"/>
    <x v="364"/>
    <x v="21"/>
    <s v="Q3-2024"/>
    <x v="104"/>
    <d v="2024-09-04T00:00:00"/>
    <n v="13"/>
    <n v="0"/>
    <n v="0"/>
    <x v="3"/>
    <x v="6"/>
    <x v="36"/>
    <s v="Non-Profit"/>
    <s v="Retail"/>
    <s v="L. Okafor"/>
    <x v="1"/>
    <x v="441"/>
    <n v="90.04"/>
    <n v="194.62"/>
    <n v="4.2999999999999997E-2"/>
    <n v="4.2999999999999997E-2"/>
    <n v="32"/>
    <n v="5960.04288"/>
    <n v="2881.28"/>
    <n v="3078.7628799999998"/>
    <n v="0.51656723650954672"/>
    <n v="532.66700000000003"/>
    <n v="1025.2280000000001"/>
    <s v="High"/>
  </r>
  <r>
    <s v="ORD-2024-510520"/>
    <x v="365"/>
    <x v="29"/>
    <s v="Q3-2024"/>
    <x v="361"/>
    <d v="2024-10-03T00:00:00"/>
    <n v="8"/>
    <n v="0"/>
    <n v="0"/>
    <x v="2"/>
    <x v="3"/>
    <x v="5"/>
    <s v="Consumer"/>
    <s v="Online"/>
    <s v="E. Garcia"/>
    <x v="1"/>
    <x v="442"/>
    <n v="558.19000000000005"/>
    <n v="1031.6400000000001"/>
    <n v="0"/>
    <n v="0"/>
    <n v="21"/>
    <n v="21664.440000000002"/>
    <n v="11721.990000000002"/>
    <n v="9942.4500000000007"/>
    <n v="0.45892947152107322"/>
    <n v="532.66700000000003"/>
    <n v="1025.2280000000001"/>
    <s v="High"/>
  </r>
  <r>
    <s v="ORD-2023-769774"/>
    <x v="366"/>
    <x v="23"/>
    <s v="Q2-2023"/>
    <x v="37"/>
    <d v="2023-06-24T00:00:00"/>
    <n v="11"/>
    <n v="0"/>
    <n v="0"/>
    <x v="2"/>
    <x v="3"/>
    <x v="5"/>
    <s v="Corporate"/>
    <s v="Online"/>
    <s v="C. Otieno"/>
    <x v="1"/>
    <x v="443"/>
    <n v="247.07"/>
    <n v="495.19"/>
    <n v="2.8000000000000001E-2"/>
    <n v="2.8000000000000001E-2"/>
    <n v="4"/>
    <n v="1925.29872"/>
    <n v="988.28"/>
    <n v="937.01872000000003"/>
    <n v="0.48668744764968214"/>
    <n v="532.66700000000003"/>
    <n v="1025.2280000000001"/>
    <s v="High"/>
  </r>
  <r>
    <s v="ORD-2023-580751"/>
    <x v="239"/>
    <x v="4"/>
    <s v="Q4-2023"/>
    <x v="362"/>
    <d v="2024-01-13T00:00:00"/>
    <n v="20"/>
    <n v="0"/>
    <n v="0"/>
    <x v="1"/>
    <x v="2"/>
    <x v="32"/>
    <s v="Education"/>
    <s v="Direct"/>
    <s v="B. Chen"/>
    <x v="4"/>
    <x v="444"/>
    <n v="625.37"/>
    <n v="1319.04"/>
    <n v="7.3999999999999996E-2"/>
    <n v="7.3999999999999996E-2"/>
    <n v="8"/>
    <n v="9771.4483199999995"/>
    <n v="5002.96"/>
    <n v="4768.4883199999995"/>
    <n v="0.48800220436513547"/>
    <n v="532.66700000000003"/>
    <n v="1025.2280000000001"/>
    <s v="High"/>
  </r>
  <r>
    <s v="ORD-2025-473192"/>
    <x v="257"/>
    <x v="3"/>
    <s v="Q1-2025"/>
    <x v="363"/>
    <d v="2025-04-29T00:00:00"/>
    <n v="30"/>
    <n v="0"/>
    <n v="0"/>
    <x v="0"/>
    <x v="11"/>
    <x v="25"/>
    <s v="Consumer"/>
    <s v="Marketplace"/>
    <s v="J. Njeri"/>
    <x v="5"/>
    <x v="445"/>
    <n v="194.6"/>
    <n v="314.87"/>
    <n v="0.29299999999999998"/>
    <n v="0.29299999999999998"/>
    <n v="25"/>
    <n v="5565.3272500000003"/>
    <n v="4865"/>
    <n v="700.32725000000028"/>
    <n v="0.1258375686712763"/>
    <n v="532.66700000000003"/>
    <n v="1025.2280000000001"/>
    <s v="High"/>
  </r>
  <r>
    <s v="ORD-2024-886939"/>
    <x v="367"/>
    <x v="17"/>
    <s v="Q2-2024"/>
    <x v="272"/>
    <d v="2024-06-24T00:00:00"/>
    <n v="21"/>
    <n v="0"/>
    <n v="0"/>
    <x v="2"/>
    <x v="3"/>
    <x v="5"/>
    <s v="Small Business"/>
    <s v="Direct"/>
    <s v="G. Dubois"/>
    <x v="5"/>
    <x v="446"/>
    <n v="1205.5"/>
    <n v="2210.17"/>
    <n v="0.104"/>
    <n v="0.104"/>
    <n v="23"/>
    <n v="45547.183360000003"/>
    <n v="27726.5"/>
    <n v="17820.683360000003"/>
    <n v="0.39125763758314652"/>
    <n v="532.66700000000003"/>
    <n v="1025.2280000000001"/>
    <s v="High"/>
  </r>
  <r>
    <s v="ORD-2024-566589"/>
    <x v="368"/>
    <x v="17"/>
    <s v="Q2-2024"/>
    <x v="364"/>
    <d v="2024-07-09T00:00:00"/>
    <n v="28"/>
    <n v="0"/>
    <n v="0"/>
    <x v="0"/>
    <x v="1"/>
    <x v="1"/>
    <s v="Corporate"/>
    <s v="Marketplace"/>
    <s v="I. Johnson"/>
    <x v="3"/>
    <x v="447"/>
    <n v="895.54"/>
    <n v="1045"/>
    <n v="0.216"/>
    <n v="0.216"/>
    <n v="15"/>
    <n v="12289.2"/>
    <n v="13433.099999999999"/>
    <n v="-1143.8999999999978"/>
    <n v="-9.3081730299775234E-2"/>
    <n v="532.66700000000003"/>
    <n v="1025.2280000000001"/>
    <s v="High"/>
  </r>
  <r>
    <s v="ORD-2023-109927"/>
    <x v="369"/>
    <x v="24"/>
    <s v="Q3-2023"/>
    <x v="172"/>
    <d v="2023-07-25T00:00:00"/>
    <n v="3"/>
    <n v="1"/>
    <n v="1"/>
    <x v="1"/>
    <x v="4"/>
    <x v="18"/>
    <s v="Small Business"/>
    <s v="Distributor"/>
    <s v="E. Garcia"/>
    <x v="1"/>
    <x v="448"/>
    <n v="946.99"/>
    <n v="2132.19"/>
    <n v="0.16500000000000001"/>
    <n v="0.16500000000000001"/>
    <n v="7"/>
    <n v="12462.65055"/>
    <n v="6628.93"/>
    <n v="5833.72055"/>
    <n v="0.46809629513362228"/>
    <n v="532.66700000000003"/>
    <n v="1025.2280000000001"/>
    <s v="High"/>
  </r>
  <r>
    <s v="ORD-2023-780206"/>
    <x v="370"/>
    <x v="5"/>
    <s v="Q1-2023"/>
    <x v="186"/>
    <d v="2023-02-03T00:00:00"/>
    <n v="15"/>
    <n v="0"/>
    <n v="0"/>
    <x v="3"/>
    <x v="8"/>
    <x v="21"/>
    <s v="Enterprise"/>
    <s v="Distributor"/>
    <s v="G. Dubois"/>
    <x v="6"/>
    <x v="449"/>
    <n v="873.06"/>
    <n v="2101.5500000000002"/>
    <n v="6.6000000000000003E-2"/>
    <n v="6.6000000000000003E-2"/>
    <n v="10"/>
    <n v="19628.476999999999"/>
    <n v="8730.5999999999985"/>
    <n v="10897.877"/>
    <n v="0.55520746719167269"/>
    <n v="532.66700000000003"/>
    <n v="1025.2280000000001"/>
    <s v="High"/>
  </r>
  <r>
    <s v="ORD-2024-851993"/>
    <x v="371"/>
    <x v="7"/>
    <s v="Q2-2024"/>
    <x v="365"/>
    <d v="2024-05-16T00:00:00"/>
    <n v="15"/>
    <n v="0"/>
    <n v="0"/>
    <x v="1"/>
    <x v="4"/>
    <x v="6"/>
    <s v="Small Business"/>
    <s v="Retail"/>
    <s v="L. Okafor"/>
    <x v="0"/>
    <x v="450"/>
    <n v="901.19"/>
    <n v="2125.44"/>
    <n v="7.0999999999999994E-2"/>
    <n v="7.0999999999999994E-2"/>
    <n v="12"/>
    <n v="23694.405119999999"/>
    <n v="10814.28"/>
    <n v="12880.125119999999"/>
    <n v="0.54359352154100415"/>
    <n v="532.66700000000003"/>
    <n v="1025.2280000000001"/>
    <s v="High"/>
  </r>
  <r>
    <s v="ORD-2025-417942"/>
    <x v="56"/>
    <x v="16"/>
    <s v="Q2-2025"/>
    <x v="366"/>
    <d v="2025-06-24T00:00:00"/>
    <n v="15"/>
    <n v="0"/>
    <n v="0"/>
    <x v="1"/>
    <x v="2"/>
    <x v="32"/>
    <s v="Corporate"/>
    <s v="Direct"/>
    <s v="B. Chen"/>
    <x v="3"/>
    <x v="451"/>
    <n v="400.39"/>
    <n v="712.75"/>
    <n v="0.115"/>
    <n v="0.115"/>
    <n v="19"/>
    <n v="11984.891250000001"/>
    <n v="7607.41"/>
    <n v="4377.4812500000007"/>
    <n v="0.36524997671547504"/>
    <n v="532.66700000000003"/>
    <n v="1025.2280000000001"/>
    <s v="High"/>
  </r>
  <r>
    <s v="ORD-2023-172095"/>
    <x v="372"/>
    <x v="15"/>
    <s v="Q2-2023"/>
    <x v="367"/>
    <d v="2023-06-21T00:00:00"/>
    <n v="28"/>
    <n v="0"/>
    <n v="0"/>
    <x v="2"/>
    <x v="10"/>
    <x v="35"/>
    <s v="Small Business"/>
    <s v="Marketplace"/>
    <s v="G. Dubois"/>
    <x v="5"/>
    <x v="452"/>
    <n v="813.97"/>
    <n v="1568.83"/>
    <n v="1.7000000000000001E-2"/>
    <n v="1.7000000000000001E-2"/>
    <n v="15"/>
    <n v="23132.398349999996"/>
    <n v="12209.550000000001"/>
    <n v="10922.848349999995"/>
    <n v="0.4721883215364911"/>
    <n v="532.66700000000003"/>
    <n v="1025.2280000000001"/>
    <s v="High"/>
  </r>
  <r>
    <s v="ORD-2024-257550"/>
    <x v="6"/>
    <x v="6"/>
    <s v="Q4-2024"/>
    <x v="368"/>
    <d v="2024-12-29T00:00:00"/>
    <n v="2"/>
    <n v="1"/>
    <n v="1"/>
    <x v="2"/>
    <x v="3"/>
    <x v="26"/>
    <s v="Enterprise"/>
    <s v="Marketplace"/>
    <s v="C. Otieno"/>
    <x v="6"/>
    <x v="453"/>
    <n v="1146.72"/>
    <n v="2074.34"/>
    <n v="0.111"/>
    <n v="0.111"/>
    <n v="8"/>
    <n v="14752.706080000002"/>
    <n v="9173.76"/>
    <n v="5578.9460800000015"/>
    <n v="0.37816425337472737"/>
    <n v="532.66700000000003"/>
    <n v="1025.2280000000001"/>
    <s v="High"/>
  </r>
  <r>
    <s v="ORD-2023-581799"/>
    <x v="373"/>
    <x v="4"/>
    <s v="Q4-2023"/>
    <x v="369"/>
    <d v="2023-12-12T00:00:00"/>
    <n v="7"/>
    <n v="1"/>
    <n v="1"/>
    <x v="2"/>
    <x v="5"/>
    <x v="10"/>
    <s v="Corporate"/>
    <s v="Direct"/>
    <s v="F. Müller"/>
    <x v="3"/>
    <x v="454"/>
    <n v="307.43"/>
    <n v="495.19"/>
    <n v="0"/>
    <n v="0"/>
    <n v="42"/>
    <n v="20797.98"/>
    <n v="12912.06"/>
    <n v="7885.92"/>
    <n v="0.37916759223732305"/>
    <n v="532.66700000000003"/>
    <n v="1025.2280000000001"/>
    <s v="High"/>
  </r>
  <r>
    <s v="ORD-2023-880296"/>
    <x v="129"/>
    <x v="15"/>
    <s v="Q2-2023"/>
    <x v="370"/>
    <d v="2023-05-19T00:00:00"/>
    <n v="17"/>
    <n v="0"/>
    <n v="0"/>
    <x v="1"/>
    <x v="9"/>
    <x v="23"/>
    <s v="Non-Profit"/>
    <s v="Direct"/>
    <s v="J. Njeri"/>
    <x v="5"/>
    <x v="455"/>
    <n v="714.28"/>
    <n v="757.59"/>
    <n v="0.13600000000000001"/>
    <n v="0.13600000000000001"/>
    <n v="12"/>
    <n v="7854.6931199999999"/>
    <n v="8571.36"/>
    <n v="-716.66688000000067"/>
    <n v="-9.1240595787910383E-2"/>
    <n v="532.66700000000003"/>
    <n v="1025.2280000000001"/>
    <s v="High"/>
  </r>
  <r>
    <s v="ORD-2023-191563"/>
    <x v="134"/>
    <x v="30"/>
    <s v="Q4-2023"/>
    <x v="371"/>
    <d v="2023-12-10T00:00:00"/>
    <n v="10"/>
    <n v="0"/>
    <n v="0"/>
    <x v="3"/>
    <x v="6"/>
    <x v="22"/>
    <s v="Small Business"/>
    <s v="Direct"/>
    <s v="F. Müller"/>
    <x v="4"/>
    <x v="456"/>
    <n v="174.74"/>
    <n v="415.96"/>
    <n v="0.125"/>
    <n v="0.125"/>
    <n v="21"/>
    <n v="7643.2649999999994"/>
    <n v="3669.54"/>
    <n v="3973.7249999999995"/>
    <n v="0.51989889137691803"/>
    <n v="532.66700000000003"/>
    <n v="1025.2280000000001"/>
    <s v="High"/>
  </r>
  <r>
    <s v="ORD-2024-202166"/>
    <x v="374"/>
    <x v="7"/>
    <s v="Q2-2024"/>
    <x v="372"/>
    <d v="2024-05-18T00:00:00"/>
    <n v="13"/>
    <n v="0"/>
    <n v="0"/>
    <x v="3"/>
    <x v="7"/>
    <x v="11"/>
    <s v="Corporate"/>
    <s v="Marketplace"/>
    <s v="A. Patel"/>
    <x v="0"/>
    <x v="457"/>
    <n v="1264.04"/>
    <n v="1870.89"/>
    <n v="0"/>
    <n v="0"/>
    <n v="13"/>
    <n v="24321.57"/>
    <n v="16432.52"/>
    <n v="7889.0499999999993"/>
    <n v="0.32436433996653996"/>
    <n v="532.66700000000003"/>
    <n v="1025.2280000000001"/>
    <s v="High"/>
  </r>
  <r>
    <s v="ORD-2023-539967"/>
    <x v="375"/>
    <x v="24"/>
    <s v="Q3-2023"/>
    <x v="373"/>
    <d v="2023-07-19T00:00:00"/>
    <n v="10"/>
    <n v="0"/>
    <n v="0"/>
    <x v="1"/>
    <x v="2"/>
    <x v="27"/>
    <s v="Enterprise"/>
    <s v="Distributor"/>
    <s v="N. Brown"/>
    <x v="0"/>
    <x v="458"/>
    <n v="141.26"/>
    <n v="206.88"/>
    <n v="0.107"/>
    <n v="0.107"/>
    <n v="9"/>
    <n v="1662.6945600000001"/>
    <n v="1271.3399999999999"/>
    <n v="391.35456000000022"/>
    <n v="0.23537369365062469"/>
    <n v="532.66700000000003"/>
    <n v="1025.2280000000001"/>
    <s v="High"/>
  </r>
  <r>
    <s v="ORD-2023-704111"/>
    <x v="361"/>
    <x v="15"/>
    <s v="Q2-2023"/>
    <x v="374"/>
    <d v="2023-06-15T00:00:00"/>
    <n v="29"/>
    <n v="0"/>
    <n v="0"/>
    <x v="0"/>
    <x v="11"/>
    <x v="25"/>
    <s v="Enterprise"/>
    <s v="Retail"/>
    <s v="K. Singh"/>
    <x v="6"/>
    <x v="459"/>
    <n v="40.89"/>
    <n v="62.82"/>
    <n v="0.129"/>
    <n v="0.129"/>
    <n v="17"/>
    <n v="930.17574000000002"/>
    <n v="695.13"/>
    <n v="235.04574000000002"/>
    <n v="0.25268960465470752"/>
    <n v="532.66700000000003"/>
    <n v="1025.2280000000001"/>
    <s v="Medium"/>
  </r>
  <r>
    <s v="ORD-2024-356812"/>
    <x v="34"/>
    <x v="0"/>
    <s v="Q1-2024"/>
    <x v="375"/>
    <d v="2024-04-03T00:00:00"/>
    <n v="27"/>
    <n v="0"/>
    <n v="0"/>
    <x v="3"/>
    <x v="6"/>
    <x v="36"/>
    <s v="Corporate"/>
    <s v="Direct"/>
    <s v="M. Rossi"/>
    <x v="1"/>
    <x v="460"/>
    <n v="738.16"/>
    <n v="956.49"/>
    <n v="0.152"/>
    <n v="0.152"/>
    <n v="5"/>
    <n v="4055.5175999999997"/>
    <n v="3690.7999999999997"/>
    <n v="364.71759999999995"/>
    <n v="8.9931208780847108E-2"/>
    <n v="532.66700000000003"/>
    <n v="1025.2280000000001"/>
    <s v="High"/>
  </r>
  <r>
    <s v="ORD-2025-306251"/>
    <x v="376"/>
    <x v="19"/>
    <s v="Q2-2025"/>
    <x v="376"/>
    <d v="2025-04-19T00:00:00"/>
    <n v="9"/>
    <n v="0"/>
    <n v="0"/>
    <x v="0"/>
    <x v="11"/>
    <x v="25"/>
    <s v="Enterprise"/>
    <m/>
    <s v="G. Dubois"/>
    <x v="2"/>
    <x v="461"/>
    <n v="113.74"/>
    <n v="165.7"/>
    <n v="0.124"/>
    <n v="0.124"/>
    <n v="13"/>
    <n v="1886.9915999999998"/>
    <n v="1478.62"/>
    <n v="408.37159999999994"/>
    <n v="0.21641410592394794"/>
    <n v="532.66700000000003"/>
    <n v="1025.2280000000001"/>
    <s v="High"/>
  </r>
  <r>
    <s v="ORD-2025-496178"/>
    <x v="377"/>
    <x v="13"/>
    <s v="Q3-2025"/>
    <x v="377"/>
    <d v="2025-08-15T00:00:00"/>
    <n v="19"/>
    <n v="0"/>
    <n v="0"/>
    <x v="1"/>
    <x v="2"/>
    <x v="27"/>
    <s v="Small Business"/>
    <s v="Marketplace"/>
    <s v="J. Njeri"/>
    <x v="0"/>
    <x v="462"/>
    <n v="275.43"/>
    <n v="608.36"/>
    <n v="0.25700000000000001"/>
    <n v="0.25700000000000001"/>
    <n v="4"/>
    <n v="1808.04592"/>
    <n v="1101.72"/>
    <n v="706.32592"/>
    <n v="0.39065706915231446"/>
    <n v="532.66700000000003"/>
    <n v="1025.2280000000001"/>
    <s v="High"/>
  </r>
  <r>
    <s v="ORD-2024-508213"/>
    <x v="378"/>
    <x v="18"/>
    <s v="Q4-2024"/>
    <x v="133"/>
    <d v="2024-12-15T00:00:00"/>
    <n v="23"/>
    <n v="0"/>
    <n v="0"/>
    <x v="0"/>
    <x v="0"/>
    <x v="13"/>
    <s v="Non-Profit"/>
    <s v="Distributor"/>
    <s v="C. Otieno"/>
    <x v="0"/>
    <x v="463"/>
    <n v="1335.76"/>
    <n v="2665.91"/>
    <n v="0.21099999999999999"/>
    <n v="0.21099999999999999"/>
    <n v="40"/>
    <n v="84136.119600000005"/>
    <n v="53430.400000000001"/>
    <n v="30705.719600000004"/>
    <n v="0.36495288522909253"/>
    <n v="532.66700000000003"/>
    <n v="1025.2280000000001"/>
    <s v="High"/>
  </r>
  <r>
    <s v="ORD-2024-787018"/>
    <x v="303"/>
    <x v="17"/>
    <s v="Q2-2024"/>
    <x v="75"/>
    <d v="2024-06-28T00:00:00"/>
    <n v="5"/>
    <n v="1"/>
    <n v="1"/>
    <x v="0"/>
    <x v="1"/>
    <x v="1"/>
    <s v="Non-Profit"/>
    <s v="Direct"/>
    <s v="M. Rossi"/>
    <x v="6"/>
    <x v="464"/>
    <n v="242.31"/>
    <n v="587.95000000000005"/>
    <n v="0.22900000000000001"/>
    <n v="0.22900000000000001"/>
    <n v="6"/>
    <n v="2719.8567000000003"/>
    <n v="1453.8600000000001"/>
    <n v="1265.9967000000001"/>
    <n v="0.46546448568411714"/>
    <n v="532.66700000000003"/>
    <n v="1025.2280000000001"/>
    <s v="High"/>
  </r>
  <r>
    <s v="ORD-2023-728177"/>
    <x v="379"/>
    <x v="4"/>
    <s v="Q4-2023"/>
    <x v="197"/>
    <d v="2024-01-14T00:00:00"/>
    <n v="27"/>
    <n v="0"/>
    <n v="0"/>
    <x v="1"/>
    <x v="4"/>
    <x v="29"/>
    <s v="Consumer"/>
    <s v="Distributor"/>
    <s v="D. Smith"/>
    <x v="2"/>
    <x v="465"/>
    <n v="1408.3"/>
    <n v="2193.13"/>
    <n v="7.0999999999999994E-2"/>
    <n v="7.0999999999999994E-2"/>
    <n v="7"/>
    <n v="14261.92439"/>
    <n v="9858.1"/>
    <n v="4403.8243899999998"/>
    <n v="0.30878191957656281"/>
    <n v="532.66700000000003"/>
    <n v="1025.2280000000001"/>
    <s v="High"/>
  </r>
  <r>
    <s v="ORD-2025-795385"/>
    <x v="261"/>
    <x v="16"/>
    <s v="Q2-2025"/>
    <x v="378"/>
    <d v="2025-06-05T00:00:00"/>
    <n v="4"/>
    <n v="1"/>
    <n v="1"/>
    <x v="3"/>
    <x v="6"/>
    <x v="22"/>
    <s v="Enterprise"/>
    <s v="Direct"/>
    <s v="M. Rossi"/>
    <x v="0"/>
    <x v="466"/>
    <n v="1171.42"/>
    <n v="2187.8000000000002"/>
    <n v="0.23"/>
    <n v="0.23"/>
    <n v="15"/>
    <n v="25269.09"/>
    <n v="17571.300000000003"/>
    <n v="7697.7899999999972"/>
    <n v="0.30463265594447592"/>
    <n v="532.66700000000003"/>
    <n v="1025.2280000000001"/>
    <s v="High"/>
  </r>
  <r>
    <s v="ORD-2025-947929"/>
    <x v="380"/>
    <x v="3"/>
    <s v="Q1-2025"/>
    <x v="3"/>
    <d v="2025-04-02T00:00:00"/>
    <n v="10"/>
    <n v="0"/>
    <n v="0"/>
    <x v="3"/>
    <x v="6"/>
    <x v="9"/>
    <s v="Enterprise"/>
    <s v="Online"/>
    <s v="E. Garcia"/>
    <x v="1"/>
    <x v="467"/>
    <n v="663.61"/>
    <n v="1002.11"/>
    <n v="4.5999999999999999E-2"/>
    <n v="4.5999999999999999E-2"/>
    <n v="17"/>
    <n v="16252.219979999998"/>
    <n v="11281.37"/>
    <n v="4970.8499799999972"/>
    <n v="0.30585667595670812"/>
    <n v="532.66700000000003"/>
    <n v="1025.2280000000001"/>
    <s v="High"/>
  </r>
  <r>
    <s v="ORD-2023-931633"/>
    <x v="381"/>
    <x v="15"/>
    <s v="Q2-2023"/>
    <x v="379"/>
    <d v="2023-05-22T00:00:00"/>
    <n v="8"/>
    <n v="0"/>
    <n v="0"/>
    <x v="0"/>
    <x v="0"/>
    <x v="13"/>
    <s v="Small Business"/>
    <s v="Distributor"/>
    <s v="F. Müller"/>
    <x v="1"/>
    <x v="468"/>
    <n v="432.01"/>
    <n v="913.78"/>
    <n v="4.9000000000000002E-2"/>
    <n v="4.9000000000000002E-2"/>
    <n v="12"/>
    <n v="10428.057360000001"/>
    <n v="5184.12"/>
    <n v="5243.9373600000008"/>
    <n v="0.50286809699711899"/>
    <n v="532.66700000000003"/>
    <n v="1025.2280000000001"/>
    <s v="High"/>
  </r>
  <r>
    <s v="ORD-2023-243704"/>
    <x v="344"/>
    <x v="25"/>
    <s v="Q3-2023"/>
    <x v="380"/>
    <d v="2023-09-19T00:00:00"/>
    <n v="21"/>
    <n v="0"/>
    <n v="0"/>
    <x v="3"/>
    <x v="7"/>
    <x v="17"/>
    <s v="Small Business"/>
    <s v="Direct"/>
    <s v="B. Chen"/>
    <x v="1"/>
    <x v="469"/>
    <n v="784.46"/>
    <n v="1843.51"/>
    <n v="0.13800000000000001"/>
    <n v="0.13800000000000001"/>
    <n v="23"/>
    <n v="36549.429260000004"/>
    <n v="18042.580000000002"/>
    <n v="18506.849260000003"/>
    <n v="0.50635125184441798"/>
    <n v="532.66700000000003"/>
    <n v="1025.2280000000001"/>
    <s v="High"/>
  </r>
  <r>
    <s v="ORD-2025-779659"/>
    <x v="349"/>
    <x v="13"/>
    <s v="Q3-2025"/>
    <x v="215"/>
    <d v="2025-07-23T00:00:00"/>
    <n v="20"/>
    <n v="0"/>
    <n v="0"/>
    <x v="1"/>
    <x v="9"/>
    <x v="37"/>
    <s v="Small Business"/>
    <s v="Online"/>
    <s v="M. Rossi"/>
    <x v="0"/>
    <x v="470"/>
    <n v="647.36"/>
    <n v="1383.6"/>
    <n v="7.3999999999999996E-2"/>
    <n v="7.3999999999999996E-2"/>
    <n v="12"/>
    <n v="15374.563199999999"/>
    <n v="7768.32"/>
    <n v="7606.243199999999"/>
    <n v="0.49472906000997802"/>
    <n v="532.66700000000003"/>
    <n v="1025.2280000000001"/>
    <s v="High"/>
  </r>
  <r>
    <s v="ORD-2024-647571"/>
    <x v="382"/>
    <x v="31"/>
    <s v="Q1-2024"/>
    <x v="381"/>
    <d v="2024-02-28T00:00:00"/>
    <n v="22"/>
    <n v="0"/>
    <n v="0"/>
    <x v="0"/>
    <x v="0"/>
    <x v="0"/>
    <s v="Non-Profit"/>
    <s v="Online"/>
    <s v="K. Singh"/>
    <x v="5"/>
    <x v="471"/>
    <n v="834.93"/>
    <n v="1588.53"/>
    <n v="0.126"/>
    <n v="0.126"/>
    <n v="6"/>
    <n v="8330.2513199999994"/>
    <n v="5009.58"/>
    <n v="3320.6713199999995"/>
    <n v="0.39862798761274343"/>
    <n v="532.66700000000003"/>
    <n v="1025.2280000000001"/>
    <s v="High"/>
  </r>
  <r>
    <s v="ORD-2025-683043"/>
    <x v="383"/>
    <x v="28"/>
    <s v="Q3-2025"/>
    <x v="382"/>
    <d v="2025-09-03T00:00:00"/>
    <n v="21"/>
    <n v="0"/>
    <n v="0"/>
    <x v="3"/>
    <x v="7"/>
    <x v="28"/>
    <s v="Education"/>
    <s v="Retail"/>
    <s v="I. Johnson"/>
    <x v="3"/>
    <x v="472"/>
    <n v="603.47"/>
    <n v="1344.05"/>
    <n v="0.20499999999999999"/>
    <n v="0.20499999999999999"/>
    <n v="18"/>
    <n v="19233.355499999998"/>
    <n v="10862.460000000001"/>
    <n v="8370.8954999999969"/>
    <n v="0.43522803392262976"/>
    <n v="532.66700000000003"/>
    <n v="1025.2280000000001"/>
    <s v="High"/>
  </r>
  <r>
    <s v="ORD-2023-588455"/>
    <x v="206"/>
    <x v="15"/>
    <s v="Q2-2023"/>
    <x v="383"/>
    <d v="2023-05-25T00:00:00"/>
    <n v="2"/>
    <n v="1"/>
    <n v="1"/>
    <x v="2"/>
    <x v="5"/>
    <x v="30"/>
    <s v="Enterprise"/>
    <s v="Retail"/>
    <s v="M. Rossi"/>
    <x v="1"/>
    <x v="473"/>
    <n v="690.49"/>
    <n v="1290.29"/>
    <n v="4.2000000000000003E-2"/>
    <n v="4.2000000000000003E-2"/>
    <n v="22"/>
    <n v="27194.152039999997"/>
    <n v="15190.78"/>
    <n v="12003.372039999997"/>
    <n v="0.44139534199647718"/>
    <n v="532.66700000000003"/>
    <n v="1025.2280000000001"/>
    <s v="High"/>
  </r>
  <r>
    <s v="ORD-2024-641220"/>
    <x v="384"/>
    <x v="7"/>
    <s v="Q2-2024"/>
    <x v="365"/>
    <d v="2024-05-16T00:00:00"/>
    <n v="6"/>
    <n v="1"/>
    <n v="1"/>
    <x v="3"/>
    <x v="8"/>
    <x v="12"/>
    <s v="Non-Profit"/>
    <s v="Direct"/>
    <s v="G. Dubois"/>
    <x v="4"/>
    <x v="474"/>
    <n v="210.76"/>
    <n v="221.58"/>
    <n v="8.8999999999999996E-2"/>
    <n v="8.8999999999999996E-2"/>
    <n v="5"/>
    <n v="1009.2969000000002"/>
    <n v="1053.8"/>
    <n v="-44.50309999999979"/>
    <n v="-4.4093170205912434E-2"/>
    <n v="532.66700000000003"/>
    <n v="1025.2280000000001"/>
    <s v="Medium"/>
  </r>
  <r>
    <s v="ORD-2023-799597"/>
    <x v="210"/>
    <x v="22"/>
    <s v="Q1-2023"/>
    <x v="384"/>
    <d v="2023-03-18T00:00:00"/>
    <n v="4"/>
    <n v="1"/>
    <n v="1"/>
    <x v="3"/>
    <x v="6"/>
    <x v="36"/>
    <s v="Enterprise"/>
    <s v="Direct"/>
    <s v="A. Patel"/>
    <x v="0"/>
    <x v="475"/>
    <n v="472.33"/>
    <n v="360.34"/>
    <n v="0.16500000000000001"/>
    <n v="0.16500000000000001"/>
    <n v="14"/>
    <n v="4212.3745999999992"/>
    <n v="6612.62"/>
    <n v="-2400.2454000000007"/>
    <n v="-0.56980815523861561"/>
    <n v="532.66700000000003"/>
    <n v="1025.2280000000001"/>
    <s v="High"/>
  </r>
  <r>
    <s v="ORD-2023-569862"/>
    <x v="385"/>
    <x v="24"/>
    <s v="Q3-2023"/>
    <x v="240"/>
    <d v="2023-08-13T00:00:00"/>
    <n v="28"/>
    <n v="0"/>
    <n v="0"/>
    <x v="3"/>
    <x v="8"/>
    <x v="31"/>
    <s v="Non-Profit"/>
    <s v="Online"/>
    <s v="J. Njeri"/>
    <x v="4"/>
    <x v="476"/>
    <n v="1039.03"/>
    <n v="2545.81"/>
    <n v="0.216"/>
    <n v="0.216"/>
    <n v="21"/>
    <n v="41914.215840000004"/>
    <n v="21819.63"/>
    <n v="20094.585840000003"/>
    <n v="0.47942172929364774"/>
    <n v="532.66700000000003"/>
    <n v="1025.2280000000001"/>
    <s v="High"/>
  </r>
  <r>
    <s v="ORD-2023-609394"/>
    <x v="386"/>
    <x v="12"/>
    <s v="Q2-2023"/>
    <x v="357"/>
    <d v="2023-04-19T00:00:00"/>
    <n v="3"/>
    <n v="1"/>
    <n v="1"/>
    <x v="3"/>
    <x v="6"/>
    <x v="22"/>
    <s v="Corporate"/>
    <s v="Direct"/>
    <s v="B. Chen"/>
    <x v="6"/>
    <x v="477"/>
    <n v="553.61"/>
    <n v="699.47"/>
    <n v="0.02"/>
    <n v="0.02"/>
    <n v="33"/>
    <n v="22620.859800000002"/>
    <n v="18269.13"/>
    <n v="4351.729800000001"/>
    <n v="0.19237685209472014"/>
    <n v="532.66700000000003"/>
    <n v="1025.2280000000001"/>
    <s v="High"/>
  </r>
  <r>
    <s v="ORD-2024-105586"/>
    <x v="278"/>
    <x v="9"/>
    <s v="Q1-2024"/>
    <x v="385"/>
    <d v="2024-01-15T00:00:00"/>
    <n v="13"/>
    <n v="0"/>
    <n v="0"/>
    <x v="1"/>
    <x v="2"/>
    <x v="32"/>
    <s v="Small Business"/>
    <s v="Marketplace"/>
    <s v="G. Dubois"/>
    <x v="2"/>
    <x v="478"/>
    <n v="1219.06"/>
    <n v="2738.69"/>
    <n v="7.5999999999999998E-2"/>
    <n v="7.5999999999999998E-2"/>
    <n v="16"/>
    <n v="40488.792960000006"/>
    <n v="19504.96"/>
    <n v="20983.832960000007"/>
    <n v="0.51826274447673737"/>
    <n v="532.66700000000003"/>
    <n v="1025.2280000000001"/>
    <s v="High"/>
  </r>
  <r>
    <s v="ORD-2024-207792"/>
    <x v="208"/>
    <x v="29"/>
    <s v="Q3-2024"/>
    <x v="251"/>
    <d v="2024-09-07T00:00:00"/>
    <n v="4"/>
    <n v="1"/>
    <n v="1"/>
    <x v="1"/>
    <x v="2"/>
    <x v="27"/>
    <s v="Small Business"/>
    <s v="Distributor"/>
    <s v="N. Brown"/>
    <x v="1"/>
    <x v="479"/>
    <n v="43.23"/>
    <n v="94.78"/>
    <n v="9.0999999999999998E-2"/>
    <n v="9.0999999999999998E-2"/>
    <n v="55"/>
    <n v="4738.5261"/>
    <n v="2377.6499999999996"/>
    <n v="2360.8761000000004"/>
    <n v="0.49823005090127082"/>
    <n v="532.66700000000003"/>
    <n v="1025.2280000000001"/>
    <s v="High"/>
  </r>
  <r>
    <s v="ORD-2025-417336"/>
    <x v="387"/>
    <x v="28"/>
    <s v="Q3-2025"/>
    <x v="382"/>
    <d v="2025-09-03T00:00:00"/>
    <n v="4"/>
    <n v="1"/>
    <n v="1"/>
    <x v="3"/>
    <x v="7"/>
    <x v="11"/>
    <s v="Small Business"/>
    <s v="Marketplace"/>
    <s v="J. Njeri"/>
    <x v="4"/>
    <x v="480"/>
    <n v="1286.56"/>
    <n v="2777.35"/>
    <n v="0.13200000000000001"/>
    <n v="0.13200000000000001"/>
    <n v="15"/>
    <n v="36161.097000000002"/>
    <n v="19298.399999999998"/>
    <n v="16862.697000000004"/>
    <n v="0.46632150014696744"/>
    <n v="532.66700000000003"/>
    <n v="1025.2280000000001"/>
    <s v="High"/>
  </r>
  <r>
    <s v="ORD-2025-252117"/>
    <x v="86"/>
    <x v="19"/>
    <s v="Q2-2025"/>
    <x v="19"/>
    <d v="2025-05-19T00:00:00"/>
    <n v="21"/>
    <n v="0"/>
    <n v="0"/>
    <x v="3"/>
    <x v="6"/>
    <x v="9"/>
    <s v="Corporate"/>
    <s v="Distributor"/>
    <s v="B. Chen"/>
    <x v="3"/>
    <x v="481"/>
    <n v="350.76"/>
    <n v="492.18"/>
    <n v="5.2999999999999999E-2"/>
    <n v="5.2999999999999999E-2"/>
    <n v="11"/>
    <n v="5127.0390600000001"/>
    <n v="3858.3599999999997"/>
    <n v="1268.6790600000004"/>
    <n v="0.24744868239798437"/>
    <n v="532.66700000000003"/>
    <n v="1025.2280000000001"/>
    <s v="High"/>
  </r>
  <r>
    <s v="ORD-2023-867175"/>
    <x v="388"/>
    <x v="25"/>
    <s v="Q3-2023"/>
    <x v="386"/>
    <d v="2023-08-15T00:00:00"/>
    <n v="5"/>
    <n v="1"/>
    <n v="1"/>
    <x v="2"/>
    <x v="5"/>
    <x v="8"/>
    <s v="Education"/>
    <s v="Direct"/>
    <s v="G. Dubois"/>
    <x v="2"/>
    <x v="482"/>
    <n v="1307.52"/>
    <n v="1921.65"/>
    <n v="0.123"/>
    <n v="0.123"/>
    <n v="13"/>
    <n v="21908.731650000002"/>
    <n v="16997.759999999998"/>
    <n v="4910.9716500000031"/>
    <n v="0.22415590863289445"/>
    <n v="532.66700000000003"/>
    <n v="1025.2280000000001"/>
    <s v="High"/>
  </r>
  <r>
    <s v="ORD-2024-382152"/>
    <x v="389"/>
    <x v="6"/>
    <s v="Q4-2024"/>
    <x v="387"/>
    <d v="2024-12-08T00:00:00"/>
    <n v="0"/>
    <n v="1"/>
    <n v="1"/>
    <x v="3"/>
    <x v="7"/>
    <x v="17"/>
    <s v="Enterprise"/>
    <s v="Retail"/>
    <s v="H. Kim"/>
    <x v="0"/>
    <x v="483"/>
    <n v="257.44"/>
    <n v="290.33"/>
    <n v="9.1999999999999998E-2"/>
    <n v="9.1999999999999998E-2"/>
    <n v="23"/>
    <n v="6063.2517199999993"/>
    <n v="5921.12"/>
    <n v="142.1317199999994"/>
    <n v="2.3441500792581216E-2"/>
    <n v="532.66700000000003"/>
    <n v="1025.2280000000001"/>
    <s v="High"/>
  </r>
  <r>
    <s v="ORD-2023-597666"/>
    <x v="390"/>
    <x v="32"/>
    <s v="Q4-2023"/>
    <x v="388"/>
    <d v="2023-11-24T00:00:00"/>
    <n v="30"/>
    <n v="0"/>
    <n v="0"/>
    <x v="3"/>
    <x v="7"/>
    <x v="28"/>
    <s v="Enterprise"/>
    <s v="Distributor"/>
    <s v="C. Otieno"/>
    <x v="3"/>
    <x v="484"/>
    <n v="287.85000000000002"/>
    <n v="602.91999999999996"/>
    <n v="0.222"/>
    <n v="0.222"/>
    <n v="11"/>
    <n v="5159.7893599999998"/>
    <n v="3166.3500000000004"/>
    <n v="1993.4393599999994"/>
    <n v="0.38634122847216373"/>
    <n v="532.66700000000003"/>
    <n v="1025.2280000000001"/>
    <s v="High"/>
  </r>
  <r>
    <s v="ORD-2024-371409"/>
    <x v="391"/>
    <x v="18"/>
    <s v="Q4-2024"/>
    <x v="389"/>
    <d v="2024-11-28T00:00:00"/>
    <n v="11"/>
    <n v="0"/>
    <n v="0"/>
    <x v="2"/>
    <x v="3"/>
    <x v="40"/>
    <s v="Consumer"/>
    <s v="Distributor"/>
    <s v="A. Patel"/>
    <x v="1"/>
    <x v="485"/>
    <n v="1008.16"/>
    <n v="2077.5"/>
    <n v="7.3999999999999996E-2"/>
    <n v="7.3999999999999996E-2"/>
    <n v="15"/>
    <n v="28856.475000000002"/>
    <n v="15122.4"/>
    <n v="13734.075000000003"/>
    <n v="0.47594430712691005"/>
    <n v="532.66700000000003"/>
    <n v="1025.2280000000001"/>
    <s v="High"/>
  </r>
  <r>
    <s v="ORD-2024-973420"/>
    <x v="392"/>
    <x v="7"/>
    <s v="Q2-2024"/>
    <x v="390"/>
    <d v="2024-05-24T00:00:00"/>
    <n v="12"/>
    <n v="0"/>
    <n v="0"/>
    <x v="3"/>
    <x v="8"/>
    <x v="31"/>
    <s v="Education"/>
    <s v="Marketplace"/>
    <s v="K. Singh"/>
    <x v="1"/>
    <x v="486"/>
    <n v="111.02"/>
    <n v="172.88"/>
    <n v="0.19700000000000001"/>
    <n v="0.19700000000000001"/>
    <n v="29"/>
    <n v="4025.8565599999993"/>
    <n v="3219.58"/>
    <n v="806.27655999999934"/>
    <n v="0.20027453735212053"/>
    <n v="532.66700000000003"/>
    <n v="1025.2280000000001"/>
    <s v="High"/>
  </r>
  <r>
    <s v="ORD-2025-254721"/>
    <x v="393"/>
    <x v="8"/>
    <s v="Q2-2025"/>
    <x v="378"/>
    <d v="2025-06-05T00:00:00"/>
    <n v="21"/>
    <n v="0"/>
    <n v="0"/>
    <x v="1"/>
    <x v="2"/>
    <x v="4"/>
    <s v="Enterprise"/>
    <s v="Direct"/>
    <s v="H. Kim"/>
    <x v="3"/>
    <x v="487"/>
    <n v="1466.5"/>
    <n v="2778.74"/>
    <n v="0.13500000000000001"/>
    <n v="0.13500000000000001"/>
    <n v="4"/>
    <n v="9614.4403999999995"/>
    <n v="5866"/>
    <n v="3748.4403999999995"/>
    <n v="0.38987608680792279"/>
    <n v="532.66700000000003"/>
    <n v="1025.2280000000001"/>
    <s v="High"/>
  </r>
  <r>
    <s v="ORD-2024-247032"/>
    <x v="394"/>
    <x v="20"/>
    <s v="Q2-2024"/>
    <x v="225"/>
    <d v="2024-05-19T00:00:00"/>
    <n v="28"/>
    <n v="0"/>
    <n v="0"/>
    <x v="0"/>
    <x v="1"/>
    <x v="3"/>
    <s v="Corporate"/>
    <s v="Distributor"/>
    <s v="A. Patel"/>
    <x v="6"/>
    <x v="488"/>
    <n v="187.22"/>
    <n v="309.47000000000003"/>
    <n v="0"/>
    <n v="0"/>
    <n v="5"/>
    <n v="1547.3500000000001"/>
    <n v="936.1"/>
    <n v="611.25000000000011"/>
    <n v="0.39503021294471197"/>
    <n v="532.66700000000003"/>
    <n v="1025.2280000000001"/>
    <s v="High"/>
  </r>
  <r>
    <s v="ORD-2024-792353"/>
    <x v="395"/>
    <x v="21"/>
    <s v="Q3-2024"/>
    <x v="251"/>
    <d v="2024-09-07T00:00:00"/>
    <n v="19"/>
    <n v="0"/>
    <n v="0"/>
    <x v="3"/>
    <x v="7"/>
    <x v="17"/>
    <s v="Corporate"/>
    <s v="Direct"/>
    <s v="J. Njeri"/>
    <x v="0"/>
    <x v="489"/>
    <n v="297.58999999999997"/>
    <n v="666.41"/>
    <n v="0"/>
    <n v="0"/>
    <n v="10"/>
    <n v="6664.0999999999995"/>
    <n v="2975.8999999999996"/>
    <n v="3688.2"/>
    <n v="0.55344307558409989"/>
    <n v="532.66700000000003"/>
    <n v="1025.2280000000001"/>
    <s v="High"/>
  </r>
  <r>
    <s v="ORD-2025-703623"/>
    <x v="318"/>
    <x v="13"/>
    <s v="Q3-2025"/>
    <x v="85"/>
    <d v="2025-08-19T00:00:00"/>
    <n v="27"/>
    <n v="0"/>
    <n v="0"/>
    <x v="1"/>
    <x v="2"/>
    <x v="32"/>
    <s v="Consumer"/>
    <s v="Marketplace"/>
    <s v="B. Chen"/>
    <x v="6"/>
    <x v="490"/>
    <n v="896.09"/>
    <n v="744.27"/>
    <n v="8.3000000000000004E-2"/>
    <n v="8.3000000000000004E-2"/>
    <n v="11"/>
    <n v="7507.4514899999995"/>
    <n v="9856.99"/>
    <n v="-2349.5385100000003"/>
    <n v="-0.31296086469950679"/>
    <n v="532.66700000000003"/>
    <n v="1025.2280000000001"/>
    <s v="High"/>
  </r>
  <r>
    <s v="ORD-2024-516704"/>
    <x v="396"/>
    <x v="0"/>
    <s v="Q1-2024"/>
    <x v="391"/>
    <d v="2024-03-04T00:00:00"/>
    <n v="3"/>
    <n v="1"/>
    <n v="1"/>
    <x v="2"/>
    <x v="5"/>
    <x v="8"/>
    <s v="Non-Profit"/>
    <s v="Direct"/>
    <s v="I. Johnson"/>
    <x v="3"/>
    <x v="491"/>
    <n v="5.34"/>
    <n v="12.69"/>
    <n v="0.13200000000000001"/>
    <n v="0.13200000000000001"/>
    <n v="10"/>
    <n v="110.14919999999999"/>
    <n v="53.4"/>
    <n v="56.749199999999995"/>
    <n v="0.51520301554618642"/>
    <n v="532.66700000000003"/>
    <n v="1025.2280000000001"/>
    <s v="Low"/>
  </r>
  <r>
    <s v="ORD-2024-578646"/>
    <x v="397"/>
    <x v="7"/>
    <s v="Q2-2024"/>
    <x v="392"/>
    <d v="2024-06-17T00:00:00"/>
    <n v="21"/>
    <n v="0"/>
    <n v="0"/>
    <x v="1"/>
    <x v="4"/>
    <x v="18"/>
    <s v="Small Business"/>
    <s v="Online"/>
    <s v="H. Kim"/>
    <x v="6"/>
    <x v="492"/>
    <n v="465.02"/>
    <n v="651.55999999999995"/>
    <n v="4.2000000000000003E-2"/>
    <n v="4.2000000000000003E-2"/>
    <n v="19"/>
    <n v="11859.695119999998"/>
    <n v="8835.3799999999992"/>
    <n v="3024.3151199999993"/>
    <n v="0.25500783025187918"/>
    <n v="532.66700000000003"/>
    <n v="1025.2280000000001"/>
    <s v="High"/>
  </r>
  <r>
    <s v="ORD-2024-433936"/>
    <x v="398"/>
    <x v="21"/>
    <s v="Q3-2024"/>
    <x v="148"/>
    <d v="2024-08-17T00:00:00"/>
    <n v="13"/>
    <n v="0"/>
    <n v="0"/>
    <x v="2"/>
    <x v="10"/>
    <x v="35"/>
    <s v="Consumer"/>
    <s v="Retail"/>
    <s v="D. Smith"/>
    <x v="5"/>
    <x v="493"/>
    <n v="352.79"/>
    <n v="754.22"/>
    <n v="0.113"/>
    <n v="0.113"/>
    <n v="7"/>
    <n v="4682.9519799999998"/>
    <n v="2469.5300000000002"/>
    <n v="2213.4219799999996"/>
    <n v="0.47265528014233443"/>
    <n v="532.66700000000003"/>
    <n v="1025.2280000000001"/>
    <s v="High"/>
  </r>
  <r>
    <s v="ORD-2023-434071"/>
    <x v="263"/>
    <x v="23"/>
    <s v="Q2-2023"/>
    <x v="393"/>
    <d v="2023-07-04T00:00:00"/>
    <n v="14"/>
    <n v="0"/>
    <n v="0"/>
    <x v="2"/>
    <x v="5"/>
    <x v="10"/>
    <s v="Non-Profit"/>
    <s v="Direct"/>
    <s v="C. Otieno"/>
    <x v="2"/>
    <x v="494"/>
    <n v="1292.8599999999999"/>
    <n v="2981.01"/>
    <n v="0.14199999999999999"/>
    <n v="0.14199999999999999"/>
    <n v="12"/>
    <n v="30692.47896"/>
    <n v="15514.32"/>
    <n v="15178.158960000001"/>
    <n v="0.49452372288927687"/>
    <n v="532.66700000000003"/>
    <n v="1025.2280000000001"/>
    <s v="High"/>
  </r>
  <r>
    <s v="ORD-2024-728474"/>
    <x v="190"/>
    <x v="29"/>
    <s v="Q3-2024"/>
    <x v="394"/>
    <d v="2024-09-13T00:00:00"/>
    <n v="4"/>
    <n v="1"/>
    <n v="1"/>
    <x v="3"/>
    <x v="8"/>
    <x v="21"/>
    <s v="Consumer"/>
    <s v="Marketplace"/>
    <s v="F. Müller"/>
    <x v="2"/>
    <x v="495"/>
    <n v="1133.08"/>
    <n v="976.17"/>
    <n v="4.2000000000000003E-2"/>
    <n v="4.2000000000000003E-2"/>
    <n v="27"/>
    <n v="25249.613219999999"/>
    <n v="30593.159999999996"/>
    <n v="-5343.5467799999969"/>
    <n v="-0.21162885678452373"/>
    <n v="532.66700000000003"/>
    <n v="1025.2280000000001"/>
    <s v="High"/>
  </r>
  <r>
    <s v="ORD-2023-406606"/>
    <x v="390"/>
    <x v="32"/>
    <s v="Q4-2023"/>
    <x v="395"/>
    <d v="2023-10-28T00:00:00"/>
    <n v="3"/>
    <n v="1"/>
    <n v="1"/>
    <x v="2"/>
    <x v="5"/>
    <x v="10"/>
    <s v="Corporate"/>
    <s v="Distributor"/>
    <s v="L. Okafor"/>
    <x v="6"/>
    <x v="496"/>
    <n v="509.31"/>
    <n v="1145.9000000000001"/>
    <n v="5.7000000000000002E-2"/>
    <n v="5.7000000000000002E-2"/>
    <n v="8"/>
    <n v="8644.6696000000011"/>
    <n v="4074.48"/>
    <n v="4570.1896000000015"/>
    <n v="0.52867140231709964"/>
    <n v="532.66700000000003"/>
    <n v="1025.2280000000001"/>
    <s v="High"/>
  </r>
  <r>
    <s v="ORD-2025-823055"/>
    <x v="17"/>
    <x v="11"/>
    <s v="Q3-2025"/>
    <x v="396"/>
    <d v="2025-10-05T00:00:00"/>
    <n v="27"/>
    <n v="0"/>
    <n v="0"/>
    <x v="2"/>
    <x v="5"/>
    <x v="30"/>
    <s v="Education"/>
    <s v="Online"/>
    <s v="C. Otieno"/>
    <x v="5"/>
    <x v="497"/>
    <n v="660.78"/>
    <n v="1630.39"/>
    <n v="0.218"/>
    <n v="0.218"/>
    <n v="13"/>
    <n v="16574.544740000001"/>
    <n v="8590.14"/>
    <n v="7984.4047400000018"/>
    <n v="0.48172694123724097"/>
    <n v="532.66700000000003"/>
    <n v="1025.2280000000001"/>
    <s v="High"/>
  </r>
  <r>
    <s v="ORD-2023-573656"/>
    <x v="129"/>
    <x v="15"/>
    <s v="Q2-2023"/>
    <x v="294"/>
    <d v="2023-05-16T00:00:00"/>
    <n v="14"/>
    <n v="0"/>
    <n v="0"/>
    <x v="1"/>
    <x v="4"/>
    <x v="6"/>
    <s v="Non-Profit"/>
    <s v="Retail"/>
    <s v="L. Okafor"/>
    <x v="5"/>
    <x v="498"/>
    <n v="475.37"/>
    <n v="963.73"/>
    <n v="4.1000000000000002E-2"/>
    <n v="4.1000000000000002E-2"/>
    <n v="22"/>
    <n v="20332.775539999999"/>
    <n v="10458.14"/>
    <n v="9874.6355399999993"/>
    <n v="0.48565113604750881"/>
    <n v="532.66700000000003"/>
    <n v="1025.2280000000001"/>
    <s v="High"/>
  </r>
  <r>
    <s v="ORD-2024-567435"/>
    <x v="399"/>
    <x v="20"/>
    <s v="Q2-2024"/>
    <x v="141"/>
    <d v="2024-04-29T00:00:00"/>
    <n v="3"/>
    <n v="1"/>
    <n v="1"/>
    <x v="3"/>
    <x v="8"/>
    <x v="21"/>
    <s v="Non-Profit"/>
    <s v="Distributor"/>
    <s v="N. Brown"/>
    <x v="3"/>
    <x v="499"/>
    <n v="1232.77"/>
    <n v="891.73"/>
    <n v="0.16700000000000001"/>
    <n v="0.16700000000000001"/>
    <n v="10"/>
    <n v="7428.1108999999988"/>
    <n v="12327.7"/>
    <n v="-4899.589100000002"/>
    <n v="-0.65960096260813805"/>
    <n v="532.66700000000003"/>
    <n v="1025.2280000000001"/>
    <s v="High"/>
  </r>
  <r>
    <s v="ORD-2023-744942"/>
    <x v="29"/>
    <x v="2"/>
    <s v="Q1-2023"/>
    <x v="384"/>
    <d v="2023-03-18T00:00:00"/>
    <n v="23"/>
    <n v="0"/>
    <n v="0"/>
    <x v="1"/>
    <x v="9"/>
    <x v="37"/>
    <s v="Education"/>
    <s v="Distributor"/>
    <s v="K. Singh"/>
    <x v="1"/>
    <x v="500"/>
    <n v="770.11"/>
    <n v="1667.82"/>
    <n v="6.9000000000000006E-2"/>
    <n v="6.9000000000000006E-2"/>
    <n v="7"/>
    <n v="10869.182940000001"/>
    <n v="5390.77"/>
    <n v="5478.4129400000002"/>
    <n v="0.50403171703355287"/>
    <n v="532.66700000000003"/>
    <n v="1025.2280000000001"/>
    <s v="High"/>
  </r>
  <r>
    <s v="ORD-2025-331237"/>
    <x v="400"/>
    <x v="3"/>
    <s v="Q1-2025"/>
    <x v="397"/>
    <d v="2025-03-25T00:00:00"/>
    <n v="1"/>
    <n v="1"/>
    <n v="1"/>
    <x v="1"/>
    <x v="9"/>
    <x v="37"/>
    <s v="Non-Profit"/>
    <s v="Online"/>
    <s v="G. Dubois"/>
    <x v="2"/>
    <x v="501"/>
    <n v="1133.03"/>
    <n v="1921.51"/>
    <n v="0.10100000000000001"/>
    <n v="0.10100000000000001"/>
    <n v="5"/>
    <n v="8637.1874499999994"/>
    <n v="5665.15"/>
    <n v="2972.0374499999998"/>
    <n v="0.3440978289755654"/>
    <n v="532.66700000000003"/>
    <n v="1025.2280000000001"/>
    <s v="High"/>
  </r>
  <r>
    <s v="ORD-2025-680118"/>
    <x v="401"/>
    <x v="3"/>
    <s v="Q1-2025"/>
    <x v="398"/>
    <d v="2025-03-27T00:00:00"/>
    <n v="17"/>
    <n v="0"/>
    <n v="0"/>
    <x v="2"/>
    <x v="5"/>
    <x v="30"/>
    <s v="Enterprise"/>
    <s v="Direct"/>
    <s v="F. Müller"/>
    <x v="2"/>
    <x v="502"/>
    <n v="996.73"/>
    <n v="1217.43"/>
    <n v="7.0000000000000007E-2"/>
    <n v="7.0000000000000007E-2"/>
    <n v="9"/>
    <n v="10189.8891"/>
    <n v="8970.57"/>
    <n v="1219.3191000000006"/>
    <n v="0.11965970267527255"/>
    <n v="532.66700000000003"/>
    <n v="1025.2280000000001"/>
    <s v="High"/>
  </r>
  <r>
    <s v="ORD-2024-310809"/>
    <x v="402"/>
    <x v="20"/>
    <s v="Q2-2024"/>
    <x v="58"/>
    <d v="2024-04-09T00:00:00"/>
    <n v="4"/>
    <n v="1"/>
    <n v="1"/>
    <x v="0"/>
    <x v="1"/>
    <x v="3"/>
    <s v="Non-Profit"/>
    <s v="Direct"/>
    <s v="K. Singh"/>
    <x v="0"/>
    <x v="503"/>
    <n v="395.07"/>
    <n v="970.27"/>
    <n v="0.123"/>
    <n v="0.123"/>
    <n v="38"/>
    <n v="32335.21802"/>
    <n v="15012.66"/>
    <n v="17322.55802"/>
    <n v="0.53571799049833657"/>
    <n v="532.66700000000003"/>
    <n v="1025.2280000000001"/>
    <s v="High"/>
  </r>
  <r>
    <s v="ORD-2025-474368"/>
    <x v="60"/>
    <x v="19"/>
    <s v="Q2-2025"/>
    <x v="282"/>
    <d v="2025-05-17T00:00:00"/>
    <n v="20"/>
    <n v="0"/>
    <n v="0"/>
    <x v="2"/>
    <x v="10"/>
    <x v="35"/>
    <s v="Corporate"/>
    <s v="Direct"/>
    <s v="N. Brown"/>
    <x v="3"/>
    <x v="504"/>
    <n v="932.26"/>
    <n v="1624.67"/>
    <n v="0.23499999999999999"/>
    <n v="0.23499999999999999"/>
    <n v="28"/>
    <n v="34800.431400000001"/>
    <n v="26103.279999999999"/>
    <n v="8697.1514000000025"/>
    <n v="0.24991504559337163"/>
    <n v="532.66700000000003"/>
    <n v="1025.2280000000001"/>
    <s v="High"/>
  </r>
  <r>
    <s v="ORD-2024-732543"/>
    <x v="403"/>
    <x v="1"/>
    <s v="Q4-2024"/>
    <x v="399"/>
    <d v="2024-10-28T00:00:00"/>
    <n v="4"/>
    <n v="1"/>
    <n v="1"/>
    <x v="1"/>
    <x v="9"/>
    <x v="23"/>
    <s v="Small Business"/>
    <s v="Distributor"/>
    <s v="I. Johnson"/>
    <x v="2"/>
    <x v="505"/>
    <n v="1331.77"/>
    <n v="2606.11"/>
    <n v="0.02"/>
    <n v="0.02"/>
    <n v="6"/>
    <n v="15323.926799999999"/>
    <n v="7990.62"/>
    <n v="7333.3067999999994"/>
    <n v="0.47855271665745619"/>
    <n v="532.66700000000003"/>
    <n v="1025.2280000000001"/>
    <s v="High"/>
  </r>
  <r>
    <s v="ORD-2023-867166"/>
    <x v="289"/>
    <x v="12"/>
    <s v="Q2-2023"/>
    <x v="400"/>
    <d v="2023-04-20T00:00:00"/>
    <n v="7"/>
    <n v="1"/>
    <n v="1"/>
    <x v="3"/>
    <x v="7"/>
    <x v="17"/>
    <s v="Small Business"/>
    <s v="Online"/>
    <s v="A. Patel"/>
    <x v="4"/>
    <x v="506"/>
    <n v="227.02"/>
    <n v="434.72"/>
    <n v="9.8000000000000004E-2"/>
    <n v="9.8000000000000004E-2"/>
    <n v="10"/>
    <n v="3921.1744000000008"/>
    <n v="2270.2000000000003"/>
    <n v="1650.9744000000005"/>
    <n v="0.42104079838938052"/>
    <n v="532.66700000000003"/>
    <n v="1025.2280000000001"/>
    <s v="High"/>
  </r>
  <r>
    <s v="ORD-2024-776337"/>
    <x v="404"/>
    <x v="18"/>
    <s v="Q4-2024"/>
    <x v="401"/>
    <d v="2024-11-21T00:00:00"/>
    <n v="9"/>
    <n v="0"/>
    <n v="0"/>
    <x v="1"/>
    <x v="4"/>
    <x v="29"/>
    <s v="Corporate"/>
    <s v="Direct"/>
    <s v="H. Kim"/>
    <x v="4"/>
    <x v="507"/>
    <n v="903.41"/>
    <n v="1860.41"/>
    <n v="0.108"/>
    <n v="0.108"/>
    <n v="5"/>
    <n v="8297.4286000000011"/>
    <n v="4517.05"/>
    <n v="3780.3786000000009"/>
    <n v="0.455608451996803"/>
    <n v="532.66700000000003"/>
    <n v="1025.2280000000001"/>
    <s v="High"/>
  </r>
  <r>
    <s v="ORD-2023-913592"/>
    <x v="405"/>
    <x v="15"/>
    <s v="Q2-2023"/>
    <x v="28"/>
    <d v="2023-05-14T00:00:00"/>
    <n v="4"/>
    <n v="1"/>
    <n v="1"/>
    <x v="1"/>
    <x v="4"/>
    <x v="18"/>
    <s v="Non-Profit"/>
    <s v="Distributor"/>
    <s v="C. Otieno"/>
    <x v="5"/>
    <x v="508"/>
    <n v="622.6"/>
    <n v="833.69"/>
    <n v="0.20899999999999999"/>
    <n v="0.20899999999999999"/>
    <n v="14"/>
    <n v="9232.2830599999998"/>
    <n v="8716.4"/>
    <n v="515.88306000000011"/>
    <n v="5.5878167582959715E-2"/>
    <n v="532.66700000000003"/>
    <n v="1025.2280000000001"/>
    <s v="High"/>
  </r>
  <r>
    <s v="ORD-2024-961501"/>
    <x v="262"/>
    <x v="0"/>
    <s v="Q1-2024"/>
    <x v="402"/>
    <d v="2024-03-23T00:00:00"/>
    <n v="21"/>
    <n v="0"/>
    <n v="0"/>
    <x v="2"/>
    <x v="10"/>
    <x v="15"/>
    <s v="Small Business"/>
    <s v="Online"/>
    <s v="F. Müller"/>
    <x v="0"/>
    <x v="509"/>
    <n v="225.01"/>
    <n v="333.48"/>
    <n v="0.11899999999999999"/>
    <n v="0.11899999999999999"/>
    <n v="12"/>
    <n v="3525.5505600000001"/>
    <n v="2700.12"/>
    <n v="825.43056000000024"/>
    <n v="0.23412813004729685"/>
    <n v="532.66700000000003"/>
    <n v="1025.2280000000001"/>
    <s v="High"/>
  </r>
  <r>
    <s v="ORD-2024-964950"/>
    <x v="406"/>
    <x v="1"/>
    <s v="Q4-2024"/>
    <x v="168"/>
    <d v="2024-10-11T00:00:00"/>
    <n v="1"/>
    <n v="1"/>
    <n v="1"/>
    <x v="3"/>
    <x v="8"/>
    <x v="31"/>
    <s v="Non-Profit"/>
    <s v="Distributor"/>
    <s v="L. Okafor"/>
    <x v="0"/>
    <x v="510"/>
    <n v="1389.46"/>
    <n v="1784.7"/>
    <n v="0.14599999999999999"/>
    <n v="0.14599999999999999"/>
    <n v="33"/>
    <n v="50296.415399999998"/>
    <n v="45852.18"/>
    <n v="4444.2353999999978"/>
    <n v="8.8360877503011831E-2"/>
    <n v="532.66700000000003"/>
    <n v="1025.2280000000001"/>
    <s v="High"/>
  </r>
  <r>
    <s v="ORD-2023-349264"/>
    <x v="407"/>
    <x v="23"/>
    <s v="Q2-2023"/>
    <x v="403"/>
    <d v="2023-06-08T00:00:00"/>
    <n v="7"/>
    <n v="1"/>
    <n v="1"/>
    <x v="3"/>
    <x v="6"/>
    <x v="36"/>
    <s v="Consumer"/>
    <s v="Online"/>
    <s v="A. Patel"/>
    <x v="3"/>
    <x v="511"/>
    <n v="804.17"/>
    <n v="1072.29"/>
    <n v="3.2000000000000001E-2"/>
    <n v="3.2000000000000001E-2"/>
    <n v="5"/>
    <n v="5189.8836000000001"/>
    <n v="4020.85"/>
    <n v="1169.0336000000002"/>
    <n v="0.2252523736755869"/>
    <n v="532.66700000000003"/>
    <n v="1025.2280000000001"/>
    <s v="High"/>
  </r>
  <r>
    <s v="ORD-2025-137394"/>
    <x v="408"/>
    <x v="10"/>
    <s v="Q1-2025"/>
    <x v="404"/>
    <d v="2025-01-05T00:00:00"/>
    <n v="1"/>
    <n v="1"/>
    <n v="1"/>
    <x v="1"/>
    <x v="4"/>
    <x v="18"/>
    <s v="Education"/>
    <s v="Retail"/>
    <s v="I. Johnson"/>
    <x v="0"/>
    <x v="512"/>
    <n v="1428.33"/>
    <n v="3028.05"/>
    <n v="0"/>
    <n v="0"/>
    <n v="11"/>
    <n v="33308.550000000003"/>
    <n v="15711.63"/>
    <n v="17596.920000000006"/>
    <n v="0.52830039134096207"/>
    <n v="532.66700000000003"/>
    <n v="1025.2280000000001"/>
    <s v="High"/>
  </r>
  <r>
    <s v="ORD-2025-635337"/>
    <x v="117"/>
    <x v="28"/>
    <s v="Q3-2025"/>
    <x v="405"/>
    <d v="2025-08-28T00:00:00"/>
    <n v="23"/>
    <n v="0"/>
    <n v="0"/>
    <x v="1"/>
    <x v="4"/>
    <x v="29"/>
    <s v="Non-Profit"/>
    <s v="Distributor"/>
    <s v="N. Brown"/>
    <x v="4"/>
    <x v="513"/>
    <n v="638.54"/>
    <n v="987.24"/>
    <n v="0"/>
    <n v="0"/>
    <n v="11"/>
    <n v="10859.64"/>
    <n v="7023.94"/>
    <n v="3835.7"/>
    <n v="0.35320692030306716"/>
    <n v="532.66700000000003"/>
    <n v="1025.2280000000001"/>
    <s v="High"/>
  </r>
  <r>
    <s v="ORD-2023-568013"/>
    <x v="322"/>
    <x v="27"/>
    <s v="Q3-2023"/>
    <x v="406"/>
    <d v="2023-10-30T00:00:00"/>
    <n v="30"/>
    <n v="0"/>
    <n v="0"/>
    <x v="1"/>
    <x v="2"/>
    <x v="27"/>
    <s v="Enterprise"/>
    <s v="Online"/>
    <s v="D. Smith"/>
    <x v="1"/>
    <x v="514"/>
    <n v="649.13"/>
    <n v="975.43"/>
    <n v="0.157"/>
    <n v="0.157"/>
    <n v="27"/>
    <n v="22201.762229999997"/>
    <n v="17526.509999999998"/>
    <n v="4675.2522299999982"/>
    <n v="0.21058023149543473"/>
    <n v="532.66700000000003"/>
    <n v="1025.2280000000001"/>
    <s v="High"/>
  </r>
  <r>
    <s v="ORD-2025-828263"/>
    <x v="252"/>
    <x v="8"/>
    <s v="Q2-2025"/>
    <x v="407"/>
    <d v="2025-05-30T00:00:00"/>
    <n v="13"/>
    <n v="0"/>
    <n v="0"/>
    <x v="0"/>
    <x v="1"/>
    <x v="3"/>
    <s v="Consumer"/>
    <s v="Distributor"/>
    <s v="F. Müller"/>
    <x v="6"/>
    <x v="515"/>
    <n v="66.400000000000006"/>
    <n v="141.43"/>
    <n v="0.107"/>
    <n v="0.107"/>
    <n v="8"/>
    <n v="1010.3759200000001"/>
    <n v="531.20000000000005"/>
    <n v="479.17592000000002"/>
    <n v="0.47425508715607551"/>
    <n v="532.66700000000003"/>
    <n v="1025.2280000000001"/>
    <s v="Medium"/>
  </r>
  <r>
    <s v="ORD-2024-402240"/>
    <x v="371"/>
    <x v="7"/>
    <s v="Q2-2024"/>
    <x v="94"/>
    <d v="2024-05-26T00:00:00"/>
    <n v="25"/>
    <n v="0"/>
    <n v="0"/>
    <x v="3"/>
    <x v="6"/>
    <x v="9"/>
    <s v="Non-Profit"/>
    <s v="Retail"/>
    <s v="B. Chen"/>
    <x v="2"/>
    <x v="516"/>
    <n v="930.71"/>
    <n v="1625.42"/>
    <n v="0.13800000000000001"/>
    <n v="0.13800000000000001"/>
    <n v="7"/>
    <n v="9807.7842799999999"/>
    <n v="6514.97"/>
    <n v="3292.8142799999996"/>
    <n v="0.33573477821231196"/>
    <n v="532.66700000000003"/>
    <n v="1025.2280000000001"/>
    <s v="High"/>
  </r>
  <r>
    <s v="ORD-2023-125739"/>
    <x v="409"/>
    <x v="15"/>
    <s v="Q2-2023"/>
    <x v="72"/>
    <d v="2023-05-18T00:00:00"/>
    <n v="17"/>
    <n v="0"/>
    <n v="0"/>
    <x v="0"/>
    <x v="1"/>
    <x v="1"/>
    <s v="Corporate"/>
    <s v="Direct"/>
    <s v="F. Müller"/>
    <x v="0"/>
    <x v="517"/>
    <n v="327.97"/>
    <n v="299.94"/>
    <n v="4.9000000000000002E-2"/>
    <n v="4.9000000000000002E-2"/>
    <n v="3"/>
    <n v="855.72881999999993"/>
    <n v="983.91000000000008"/>
    <n v="-128.18118000000015"/>
    <n v="-0.14979182306843442"/>
    <n v="532.66700000000003"/>
    <n v="1025.2280000000001"/>
    <s v="Medium"/>
  </r>
  <r>
    <s v="ORD-2024-892879"/>
    <x v="410"/>
    <x v="14"/>
    <s v="Q3-2024"/>
    <x v="332"/>
    <d v="2024-08-08T00:00:00"/>
    <n v="30"/>
    <n v="0"/>
    <n v="0"/>
    <x v="3"/>
    <x v="7"/>
    <x v="11"/>
    <s v="Corporate"/>
    <s v="Direct"/>
    <s v="J. Njeri"/>
    <x v="0"/>
    <x v="518"/>
    <n v="1062.3800000000001"/>
    <n v="1503.96"/>
    <n v="0.18"/>
    <n v="0.18"/>
    <n v="6"/>
    <n v="7399.4832000000006"/>
    <n v="6374.2800000000007"/>
    <n v="1025.2031999999999"/>
    <n v="0.13855064905073369"/>
    <n v="532.66700000000003"/>
    <n v="1025.2280000000001"/>
    <s v="High"/>
  </r>
  <r>
    <s v="ORD-2023-472050"/>
    <x v="405"/>
    <x v="15"/>
    <s v="Q2-2023"/>
    <x v="408"/>
    <d v="2023-05-27T00:00:00"/>
    <n v="17"/>
    <n v="0"/>
    <n v="0"/>
    <x v="1"/>
    <x v="4"/>
    <x v="29"/>
    <s v="Consumer"/>
    <s v="Retail"/>
    <s v="M. Rossi"/>
    <x v="4"/>
    <x v="519"/>
    <n v="1286.1600000000001"/>
    <n v="3101.11"/>
    <n v="0.1"/>
    <n v="0.1"/>
    <n v="23"/>
    <n v="64192.976999999999"/>
    <n v="29581.68"/>
    <n v="34611.296999999999"/>
    <n v="0.53917575749758417"/>
    <n v="532.66700000000003"/>
    <n v="1025.2280000000001"/>
    <s v="High"/>
  </r>
  <r>
    <s v="ORD-2024-468615"/>
    <x v="410"/>
    <x v="14"/>
    <s v="Q3-2024"/>
    <x v="291"/>
    <d v="2024-07-12T00:00:00"/>
    <n v="3"/>
    <n v="1"/>
    <n v="1"/>
    <x v="1"/>
    <x v="9"/>
    <x v="23"/>
    <s v="Small Business"/>
    <s v="Retail"/>
    <s v="D. Smith"/>
    <x v="6"/>
    <x v="520"/>
    <n v="748.39"/>
    <n v="979.42"/>
    <n v="0"/>
    <n v="0"/>
    <n v="23"/>
    <n v="22526.66"/>
    <n v="17212.97"/>
    <n v="5313.6899999999987"/>
    <n v="0.23588450307324738"/>
    <n v="532.66700000000003"/>
    <n v="1025.2280000000001"/>
    <s v="High"/>
  </r>
  <r>
    <s v="ORD-2024-833375"/>
    <x v="411"/>
    <x v="20"/>
    <s v="Q2-2024"/>
    <x v="409"/>
    <d v="2024-05-10T00:00:00"/>
    <n v="16"/>
    <n v="0"/>
    <n v="0"/>
    <x v="0"/>
    <x v="0"/>
    <x v="0"/>
    <s v="Non-Profit"/>
    <s v="Online"/>
    <s v="N. Brown"/>
    <x v="5"/>
    <x v="521"/>
    <n v="513.30999999999995"/>
    <n v="1186.26"/>
    <n v="9.4E-2"/>
    <n v="9.4E-2"/>
    <n v="15"/>
    <n v="16121.273400000002"/>
    <n v="7699.65"/>
    <n v="8421.6234000000022"/>
    <n v="0.52239194702820446"/>
    <n v="532.66700000000003"/>
    <n v="1025.2280000000001"/>
    <s v="High"/>
  </r>
  <r>
    <s v="ORD-2024-206311"/>
    <x v="94"/>
    <x v="9"/>
    <s v="Q1-2024"/>
    <x v="385"/>
    <d v="2024-01-15T00:00:00"/>
    <n v="2"/>
    <n v="1"/>
    <n v="1"/>
    <x v="2"/>
    <x v="10"/>
    <x v="24"/>
    <s v="Non-Profit"/>
    <s v="Direct"/>
    <s v="E. Garcia"/>
    <x v="0"/>
    <x v="522"/>
    <n v="1061.3699999999999"/>
    <n v="1938.33"/>
    <n v="0.17"/>
    <n v="0.17"/>
    <n v="4"/>
    <n v="6435.2555999999995"/>
    <n v="4245.4799999999996"/>
    <n v="2189.7755999999999"/>
    <n v="0.34027795259600879"/>
    <n v="532.66700000000003"/>
    <n v="1025.2280000000001"/>
    <s v="High"/>
  </r>
  <r>
    <s v="ORD-2024-364080"/>
    <x v="412"/>
    <x v="20"/>
    <s v="Q2-2024"/>
    <x v="410"/>
    <d v="2024-04-27T00:00:00"/>
    <n v="11"/>
    <n v="0"/>
    <n v="0"/>
    <x v="0"/>
    <x v="0"/>
    <x v="16"/>
    <s v="Enterprise"/>
    <s v="Online"/>
    <s v="D. Smith"/>
    <x v="1"/>
    <x v="523"/>
    <n v="401.3"/>
    <n v="826.47"/>
    <n v="0.22500000000000001"/>
    <n v="0.22500000000000001"/>
    <n v="13"/>
    <n v="8326.6852500000005"/>
    <n v="5216.9000000000005"/>
    <n v="3109.7852499999999"/>
    <n v="0.37347217489696755"/>
    <n v="532.66700000000003"/>
    <n v="1025.2280000000001"/>
    <s v="High"/>
  </r>
  <r>
    <s v="ORD-2025-460466"/>
    <x v="413"/>
    <x v="26"/>
    <s v="Q1-2025"/>
    <x v="51"/>
    <d v="2025-02-16T00:00:00"/>
    <n v="9"/>
    <n v="0"/>
    <n v="0"/>
    <x v="0"/>
    <x v="1"/>
    <x v="3"/>
    <s v="Small Business"/>
    <s v="Distributor"/>
    <s v="C. Otieno"/>
    <x v="1"/>
    <x v="524"/>
    <n v="90.68"/>
    <n v="118.17"/>
    <n v="0.13500000000000001"/>
    <n v="0.13500000000000001"/>
    <n v="21"/>
    <n v="2146.5580500000001"/>
    <n v="1904.2800000000002"/>
    <n v="242.27804999999989"/>
    <n v="0.11286815653552899"/>
    <n v="532.66700000000003"/>
    <n v="1025.2280000000001"/>
    <s v="High"/>
  </r>
  <r>
    <s v="ORD-2023-700699"/>
    <x v="414"/>
    <x v="5"/>
    <s v="Q1-2023"/>
    <x v="411"/>
    <d v="2023-01-26T00:00:00"/>
    <n v="14"/>
    <n v="0"/>
    <n v="0"/>
    <x v="1"/>
    <x v="9"/>
    <x v="14"/>
    <s v="Non-Profit"/>
    <s v="Retail"/>
    <s v="M. Rossi"/>
    <x v="1"/>
    <x v="525"/>
    <n v="1083.0899999999999"/>
    <n v="1425.87"/>
    <n v="0"/>
    <n v="0"/>
    <n v="8"/>
    <n v="11406.96"/>
    <n v="8664.7199999999993"/>
    <n v="2742.24"/>
    <n v="0.24040059752992909"/>
    <n v="532.66700000000003"/>
    <n v="1025.2280000000001"/>
    <s v="High"/>
  </r>
  <r>
    <s v="ORD-2024-713332"/>
    <x v="415"/>
    <x v="17"/>
    <s v="Q2-2024"/>
    <x v="412"/>
    <d v="2024-06-23T00:00:00"/>
    <n v="18"/>
    <n v="0"/>
    <n v="0"/>
    <x v="0"/>
    <x v="0"/>
    <x v="2"/>
    <s v="Consumer"/>
    <s v="Distributor"/>
    <s v="D. Smith"/>
    <x v="4"/>
    <x v="526"/>
    <n v="1208.74"/>
    <n v="1594.78"/>
    <n v="5.8999999999999997E-2"/>
    <n v="5.8999999999999997E-2"/>
    <n v="39"/>
    <n v="58526.83122"/>
    <n v="47140.86"/>
    <n v="11385.971219999999"/>
    <n v="0.1945427589817838"/>
    <n v="532.66700000000003"/>
    <n v="1025.2280000000001"/>
    <s v="High"/>
  </r>
  <r>
    <s v="ORD-2023-640022"/>
    <x v="416"/>
    <x v="25"/>
    <s v="Q3-2023"/>
    <x v="413"/>
    <d v="2023-09-20T00:00:00"/>
    <n v="27"/>
    <n v="0"/>
    <n v="0"/>
    <x v="0"/>
    <x v="11"/>
    <x v="25"/>
    <s v="Small Business"/>
    <s v="Marketplace"/>
    <s v="M. Rossi"/>
    <x v="1"/>
    <x v="527"/>
    <n v="1399.64"/>
    <n v="3342.11"/>
    <n v="0"/>
    <n v="0"/>
    <n v="10"/>
    <n v="33421.1"/>
    <n v="13996.400000000001"/>
    <n v="19424.699999999997"/>
    <n v="0.58121067229983447"/>
    <n v="532.66700000000003"/>
    <n v="1025.2280000000001"/>
    <s v="High"/>
  </r>
  <r>
    <s v="ORD-2024-532184"/>
    <x v="246"/>
    <x v="9"/>
    <s v="Q1-2024"/>
    <x v="414"/>
    <d v="2024-02-08T00:00:00"/>
    <n v="14"/>
    <n v="0"/>
    <n v="0"/>
    <x v="1"/>
    <x v="2"/>
    <x v="4"/>
    <s v="Consumer"/>
    <s v="Marketplace"/>
    <s v="I. Johnson"/>
    <x v="2"/>
    <x v="528"/>
    <n v="937.16"/>
    <n v="1069.77"/>
    <n v="3.7999999999999999E-2"/>
    <n v="3.7999999999999999E-2"/>
    <n v="9"/>
    <n v="9262.0686600000008"/>
    <n v="8434.44"/>
    <n v="827.62866000000031"/>
    <n v="8.9356783066645962E-2"/>
    <n v="532.66700000000003"/>
    <n v="1025.2280000000001"/>
    <s v="High"/>
  </r>
  <r>
    <s v="ORD-2025-926547"/>
    <x v="417"/>
    <x v="3"/>
    <s v="Q1-2025"/>
    <x v="267"/>
    <d v="2025-03-26T00:00:00"/>
    <n v="15"/>
    <n v="0"/>
    <n v="0"/>
    <x v="3"/>
    <x v="6"/>
    <x v="9"/>
    <s v="Small Business"/>
    <s v="Online"/>
    <s v="I. Johnson"/>
    <x v="3"/>
    <x v="529"/>
    <n v="116.97"/>
    <n v="140.82"/>
    <n v="0.122"/>
    <n v="0.122"/>
    <n v="5"/>
    <n v="618.19979999999987"/>
    <n v="584.85"/>
    <n v="33.349799999999846"/>
    <n v="5.3946636669891926E-2"/>
    <n v="532.66700000000003"/>
    <n v="1025.2280000000001"/>
    <s v="Medium"/>
  </r>
  <r>
    <s v="ORD-2025-778145"/>
    <x v="221"/>
    <x v="19"/>
    <s v="Q2-2025"/>
    <x v="415"/>
    <d v="2025-05-12T00:00:00"/>
    <n v="20"/>
    <n v="0"/>
    <n v="0"/>
    <x v="3"/>
    <x v="7"/>
    <x v="17"/>
    <s v="Enterprise"/>
    <s v="Marketplace"/>
    <s v="K. Singh"/>
    <x v="5"/>
    <x v="530"/>
    <n v="59.51"/>
    <n v="67.040000000000006"/>
    <n v="0.114"/>
    <n v="0.114"/>
    <n v="9"/>
    <n v="534.57695999999999"/>
    <n v="535.59"/>
    <n v="-1.0130400000000463"/>
    <n v="-1.8950311663264469E-3"/>
    <n v="532.66700000000003"/>
    <n v="1025.2280000000001"/>
    <s v="Medium"/>
  </r>
  <r>
    <s v="ORD-2023-525643"/>
    <x v="418"/>
    <x v="25"/>
    <s v="Q3-2023"/>
    <x v="285"/>
    <d v="2023-09-03T00:00:00"/>
    <n v="17"/>
    <n v="0"/>
    <n v="0"/>
    <x v="0"/>
    <x v="11"/>
    <x v="25"/>
    <s v="Enterprise"/>
    <s v="Retail"/>
    <s v="A. Patel"/>
    <x v="3"/>
    <x v="531"/>
    <n v="676.37"/>
    <n v="1276.67"/>
    <n v="6.6000000000000003E-2"/>
    <n v="6.6000000000000003E-2"/>
    <n v="10"/>
    <n v="11924.0978"/>
    <n v="6763.7"/>
    <n v="5160.3977999999997"/>
    <n v="0.4327705027712872"/>
    <n v="532.66700000000003"/>
    <n v="1025.2280000000001"/>
    <s v="High"/>
  </r>
  <r>
    <s v="ORD-2025-312803"/>
    <x v="35"/>
    <x v="16"/>
    <s v="Q2-2025"/>
    <x v="244"/>
    <d v="2025-07-14T00:00:00"/>
    <n v="20"/>
    <n v="0"/>
    <n v="0"/>
    <x v="0"/>
    <x v="11"/>
    <x v="20"/>
    <s v="Enterprise"/>
    <s v="Marketplace"/>
    <s v="J. Njeri"/>
    <x v="4"/>
    <x v="532"/>
    <n v="1151.06"/>
    <n v="2821.36"/>
    <n v="0.248"/>
    <n v="0.248"/>
    <n v="20"/>
    <n v="42433.254400000005"/>
    <n v="23021.199999999997"/>
    <n v="19412.054400000008"/>
    <n v="0.45747267501594235"/>
    <n v="532.66700000000003"/>
    <n v="1025.2280000000001"/>
    <s v="High"/>
  </r>
  <r>
    <s v="ORD-2025-149156"/>
    <x v="419"/>
    <x v="10"/>
    <s v="Q1-2025"/>
    <x v="194"/>
    <d v="2025-02-06T00:00:00"/>
    <n v="27"/>
    <n v="0"/>
    <n v="0"/>
    <x v="2"/>
    <x v="5"/>
    <x v="10"/>
    <s v="Non-Profit"/>
    <s v="Retail"/>
    <s v="B. Chen"/>
    <x v="4"/>
    <x v="533"/>
    <n v="725.62"/>
    <n v="1559.19"/>
    <n v="0.19"/>
    <n v="0.19"/>
    <n v="12"/>
    <n v="15155.326800000001"/>
    <n v="8707.44"/>
    <n v="6447.8868000000002"/>
    <n v="0.42545349797405885"/>
    <n v="532.66700000000003"/>
    <n v="1025.2280000000001"/>
    <s v="High"/>
  </r>
  <r>
    <s v="ORD-2023-215819"/>
    <x v="305"/>
    <x v="24"/>
    <s v="Q3-2023"/>
    <x v="416"/>
    <d v="2023-07-11T00:00:00"/>
    <n v="10"/>
    <n v="0"/>
    <n v="0"/>
    <x v="3"/>
    <x v="7"/>
    <x v="28"/>
    <s v="Corporate"/>
    <s v="Direct"/>
    <s v="F. Müller"/>
    <x v="2"/>
    <x v="534"/>
    <n v="479.5"/>
    <n v="656.66"/>
    <n v="0.14899999999999999"/>
    <n v="0.14899999999999999"/>
    <n v="14"/>
    <n v="7823.4472399999995"/>
    <n v="6713"/>
    <n v="1110.4472399999995"/>
    <n v="0.14193835606412289"/>
    <n v="532.66700000000003"/>
    <n v="1025.2280000000001"/>
    <s v="High"/>
  </r>
  <r>
    <s v="ORD-2024-353078"/>
    <x v="420"/>
    <x v="21"/>
    <s v="Q3-2024"/>
    <x v="417"/>
    <d v="2024-08-26T00:00:00"/>
    <n v="10"/>
    <n v="0"/>
    <n v="0"/>
    <x v="2"/>
    <x v="10"/>
    <x v="15"/>
    <s v="Corporate"/>
    <s v="Distributor"/>
    <s v="L. Okafor"/>
    <x v="4"/>
    <x v="386"/>
    <n v="1291.7"/>
    <n v="2657.84"/>
    <n v="8.6999999999999994E-2"/>
    <n v="8.6999999999999994E-2"/>
    <n v="21"/>
    <n v="50958.766320000002"/>
    <n v="27125.7"/>
    <n v="23833.066320000002"/>
    <n v="0.46769315745083367"/>
    <n v="532.66700000000003"/>
    <n v="1025.2280000000001"/>
    <s v="High"/>
  </r>
  <r>
    <s v="ORD-2023-621393"/>
    <x v="421"/>
    <x v="24"/>
    <s v="Q3-2023"/>
    <x v="418"/>
    <d v="2023-07-13T00:00:00"/>
    <n v="6"/>
    <n v="1"/>
    <n v="1"/>
    <x v="0"/>
    <x v="11"/>
    <x v="33"/>
    <s v="Small Business"/>
    <s v="Marketplace"/>
    <s v="B. Chen"/>
    <x v="6"/>
    <x v="535"/>
    <n v="612.59"/>
    <n v="1424.74"/>
    <n v="4.3999999999999997E-2"/>
    <n v="4.3999999999999997E-2"/>
    <n v="15"/>
    <n v="20430.771599999996"/>
    <n v="9188.85"/>
    <n v="11241.921599999996"/>
    <n v="0.55024459281802152"/>
    <n v="532.66700000000003"/>
    <n v="1025.2280000000001"/>
    <s v="High"/>
  </r>
  <r>
    <s v="ORD-2023-974506"/>
    <x v="422"/>
    <x v="4"/>
    <s v="Q4-2023"/>
    <x v="235"/>
    <d v="2024-01-01T00:00:00"/>
    <n v="4"/>
    <n v="1"/>
    <n v="1"/>
    <x v="0"/>
    <x v="11"/>
    <x v="33"/>
    <s v="Education"/>
    <s v="Distributor"/>
    <s v="A. Patel"/>
    <x v="1"/>
    <x v="536"/>
    <n v="1141.8"/>
    <n v="2318.7399999999998"/>
    <n v="0.107"/>
    <n v="0.107"/>
    <n v="32"/>
    <n v="66260.314239999992"/>
    <n v="36537.599999999999"/>
    <n v="29722.714239999994"/>
    <n v="0.44857490612468304"/>
    <n v="532.66700000000003"/>
    <n v="1025.2280000000001"/>
    <s v="High"/>
  </r>
  <r>
    <s v="ORD-2023-811823"/>
    <x v="423"/>
    <x v="5"/>
    <s v="Q1-2023"/>
    <x v="419"/>
    <d v="2023-02-15T00:00:00"/>
    <n v="20"/>
    <n v="0"/>
    <n v="0"/>
    <x v="3"/>
    <x v="6"/>
    <x v="9"/>
    <s v="Small Business"/>
    <s v="Online"/>
    <s v="O. Wang"/>
    <x v="2"/>
    <x v="537"/>
    <n v="492.62"/>
    <n v="366.7"/>
    <n v="8.8999999999999996E-2"/>
    <n v="8.8999999999999996E-2"/>
    <n v="10"/>
    <n v="3340.6370000000002"/>
    <n v="4926.2"/>
    <n v="-1585.5629999999996"/>
    <n v="-0.47462894052840809"/>
    <n v="532.66700000000003"/>
    <n v="1025.2280000000001"/>
    <s v="High"/>
  </r>
  <r>
    <s v="ORD-2023-286720"/>
    <x v="424"/>
    <x v="24"/>
    <s v="Q3-2023"/>
    <x v="420"/>
    <d v="2023-07-09T00:00:00"/>
    <n v="1"/>
    <n v="1"/>
    <n v="1"/>
    <x v="0"/>
    <x v="0"/>
    <x v="2"/>
    <s v="Consumer"/>
    <s v="Online"/>
    <s v="D. Smith"/>
    <x v="4"/>
    <x v="538"/>
    <n v="1258.72"/>
    <n v="2797.41"/>
    <n v="0"/>
    <n v="0"/>
    <n v="7"/>
    <n v="19581.87"/>
    <n v="8811.0400000000009"/>
    <n v="10770.829999999998"/>
    <n v="0.55004093071805704"/>
    <n v="532.66700000000003"/>
    <n v="1025.2280000000001"/>
    <s v="High"/>
  </r>
  <r>
    <s v="ORD-2024-626925"/>
    <x v="116"/>
    <x v="17"/>
    <s v="Q2-2024"/>
    <x v="421"/>
    <d v="2024-06-09T00:00:00"/>
    <n v="2"/>
    <n v="1"/>
    <n v="1"/>
    <x v="1"/>
    <x v="9"/>
    <x v="23"/>
    <s v="Corporate"/>
    <s v="Retail"/>
    <s v="O. Wang"/>
    <x v="5"/>
    <x v="539"/>
    <n v="1370.28"/>
    <n v="2209.66"/>
    <n v="0.13300000000000001"/>
    <n v="0.13300000000000001"/>
    <n v="16"/>
    <n v="30652.403519999996"/>
    <n v="21924.48"/>
    <n v="8727.9235199999966"/>
    <n v="0.28473863442079589"/>
    <n v="532.66700000000003"/>
    <n v="1025.2280000000001"/>
    <s v="High"/>
  </r>
  <r>
    <s v="ORD-2023-960380"/>
    <x v="425"/>
    <x v="2"/>
    <s v="Q1-2023"/>
    <x v="24"/>
    <d v="2023-02-12T00:00:00"/>
    <n v="1"/>
    <n v="1"/>
    <n v="1"/>
    <x v="0"/>
    <x v="1"/>
    <x v="1"/>
    <s v="Non-Profit"/>
    <s v="Direct"/>
    <s v="D. Smith"/>
    <x v="6"/>
    <x v="540"/>
    <n v="944.61"/>
    <n v="839.04"/>
    <n v="5.8999999999999997E-2"/>
    <n v="5.8999999999999997E-2"/>
    <n v="6"/>
    <n v="4737.2198399999997"/>
    <n v="5667.66"/>
    <n v="-930.44016000000011"/>
    <n v="-0.19641059343363726"/>
    <n v="532.66700000000003"/>
    <n v="1025.2280000000001"/>
    <s v="High"/>
  </r>
  <r>
    <s v="ORD-2023-453699"/>
    <x v="305"/>
    <x v="24"/>
    <s v="Q3-2023"/>
    <x v="259"/>
    <d v="2023-07-08T00:00:00"/>
    <n v="7"/>
    <n v="1"/>
    <n v="1"/>
    <x v="3"/>
    <x v="6"/>
    <x v="36"/>
    <s v="Small Business"/>
    <s v="Distributor"/>
    <s v="N. Brown"/>
    <x v="4"/>
    <x v="541"/>
    <n v="460.21"/>
    <n v="1139.1500000000001"/>
    <n v="0.115"/>
    <n v="0.115"/>
    <n v="14"/>
    <n v="14114.068500000001"/>
    <n v="6442.94"/>
    <n v="7671.1285000000016"/>
    <n v="0.54350937151821255"/>
    <n v="532.66700000000003"/>
    <n v="1025.2280000000001"/>
    <s v="High"/>
  </r>
  <r>
    <s v="ORD-2025-960931"/>
    <x v="426"/>
    <x v="28"/>
    <s v="Q3-2025"/>
    <x v="254"/>
    <d v="2025-08-26T00:00:00"/>
    <n v="6"/>
    <n v="1"/>
    <n v="1"/>
    <x v="2"/>
    <x v="10"/>
    <x v="39"/>
    <s v="Corporate"/>
    <s v="Retail"/>
    <s v="M. Rossi"/>
    <x v="2"/>
    <x v="542"/>
    <n v="1304.95"/>
    <n v="1712.03"/>
    <n v="0.21199999999999999"/>
    <n v="0.21199999999999999"/>
    <n v="8"/>
    <n v="10792.637119999999"/>
    <n v="10439.6"/>
    <n v="353.03711999999905"/>
    <n v="3.2710922833287949E-2"/>
    <n v="532.66700000000003"/>
    <n v="1025.2280000000001"/>
    <s v="High"/>
  </r>
  <r>
    <s v="ORD-2024-419248"/>
    <x v="427"/>
    <x v="0"/>
    <s v="Q1-2024"/>
    <x v="258"/>
    <d v="2024-03-16T00:00:00"/>
    <n v="12"/>
    <n v="0"/>
    <n v="0"/>
    <x v="0"/>
    <x v="11"/>
    <x v="20"/>
    <s v="Enterprise"/>
    <s v="Distributor"/>
    <s v="M. Rossi"/>
    <x v="5"/>
    <x v="543"/>
    <n v="441.08"/>
    <n v="1054.29"/>
    <n v="0.23699999999999999"/>
    <n v="0.23699999999999999"/>
    <n v="6"/>
    <n v="4826.5396199999996"/>
    <n v="2646.48"/>
    <n v="2180.0596199999995"/>
    <n v="0.45168169985932899"/>
    <n v="532.66700000000003"/>
    <n v="1025.2280000000001"/>
    <s v="High"/>
  </r>
  <r>
    <s v="ORD-2023-488227"/>
    <x v="428"/>
    <x v="27"/>
    <s v="Q3-2023"/>
    <x v="202"/>
    <d v="2023-10-02T00:00:00"/>
    <n v="24"/>
    <n v="0"/>
    <n v="0"/>
    <x v="2"/>
    <x v="3"/>
    <x v="5"/>
    <s v="Education"/>
    <s v="Direct"/>
    <s v="A. Patel"/>
    <x v="6"/>
    <x v="544"/>
    <n v="1299.03"/>
    <n v="2451.2199999999998"/>
    <n v="0.20799999999999999"/>
    <n v="0.20799999999999999"/>
    <n v="8"/>
    <n v="15530.929919999999"/>
    <n v="10392.24"/>
    <n v="5138.6899199999989"/>
    <n v="0.3308681416032041"/>
    <n v="532.66700000000003"/>
    <n v="1025.2280000000001"/>
    <s v="High"/>
  </r>
  <r>
    <s v="ORD-2023-472078"/>
    <x v="2"/>
    <x v="2"/>
    <s v="Q1-2023"/>
    <x v="422"/>
    <d v="2023-03-06T00:00:00"/>
    <n v="6"/>
    <n v="1"/>
    <n v="1"/>
    <x v="3"/>
    <x v="6"/>
    <x v="36"/>
    <s v="Small Business"/>
    <s v="Marketplace"/>
    <s v="D. Smith"/>
    <x v="1"/>
    <x v="545"/>
    <n v="880.02"/>
    <n v="1251.21"/>
    <n v="0.123"/>
    <n v="0.123"/>
    <n v="29"/>
    <n v="31822.023930000003"/>
    <n v="25520.579999999998"/>
    <n v="6301.4439300000049"/>
    <n v="0.19802146915172672"/>
    <n v="532.66700000000003"/>
    <n v="1025.2280000000001"/>
    <s v="High"/>
  </r>
  <r>
    <s v="ORD-2024-202877"/>
    <x v="292"/>
    <x v="14"/>
    <s v="Q3-2024"/>
    <x v="423"/>
    <d v="2024-08-03T00:00:00"/>
    <n v="21"/>
    <n v="0"/>
    <n v="0"/>
    <x v="2"/>
    <x v="5"/>
    <x v="30"/>
    <s v="Corporate"/>
    <s v="Marketplace"/>
    <s v="M. Rossi"/>
    <x v="5"/>
    <x v="546"/>
    <n v="702.98"/>
    <n v="1104.8"/>
    <n v="0.17499999999999999"/>
    <n v="0.17499999999999999"/>
    <n v="12"/>
    <n v="10937.519999999999"/>
    <n v="8435.76"/>
    <n v="2501.7599999999984"/>
    <n v="0.22873192460448061"/>
    <n v="532.66700000000003"/>
    <n v="1025.2280000000001"/>
    <s v="High"/>
  </r>
  <r>
    <s v="ORD-2024-140633"/>
    <x v="429"/>
    <x v="6"/>
    <s v="Q4-2024"/>
    <x v="129"/>
    <d v="2024-12-26T00:00:00"/>
    <n v="19"/>
    <n v="0"/>
    <n v="0"/>
    <x v="3"/>
    <x v="8"/>
    <x v="21"/>
    <s v="Enterprise"/>
    <s v="Online"/>
    <s v="D. Smith"/>
    <x v="2"/>
    <x v="547"/>
    <n v="1035.24"/>
    <n v="2383.41"/>
    <n v="0.17"/>
    <n v="0.17"/>
    <n v="15"/>
    <n v="29673.454499999993"/>
    <n v="15528.6"/>
    <n v="14144.854499999992"/>
    <n v="0.47668378145860962"/>
    <n v="532.66700000000003"/>
    <n v="1025.2280000000001"/>
    <s v="High"/>
  </r>
  <r>
    <s v="ORD-2025-419532"/>
    <x v="430"/>
    <x v="28"/>
    <s v="Q3-2025"/>
    <x v="424"/>
    <d v="2025-08-23T00:00:00"/>
    <n v="17"/>
    <n v="0"/>
    <n v="0"/>
    <x v="2"/>
    <x v="5"/>
    <x v="10"/>
    <s v="Consumer"/>
    <s v="Distributor"/>
    <s v="A. Patel"/>
    <x v="5"/>
    <x v="548"/>
    <n v="86.64"/>
    <n v="213.06"/>
    <n v="0.21199999999999999"/>
    <n v="0.21199999999999999"/>
    <n v="11"/>
    <n v="1846.8040799999999"/>
    <n v="953.04"/>
    <n v="893.76407999999992"/>
    <n v="0.48395175735154322"/>
    <n v="532.66700000000003"/>
    <n v="1025.2280000000001"/>
    <s v="High"/>
  </r>
  <r>
    <s v="ORD-2023-139236"/>
    <x v="431"/>
    <x v="22"/>
    <s v="Q1-2023"/>
    <x v="96"/>
    <d v="2023-03-20T00:00:00"/>
    <n v="17"/>
    <n v="0"/>
    <n v="0"/>
    <x v="1"/>
    <x v="2"/>
    <x v="32"/>
    <s v="Small Business"/>
    <s v="Online"/>
    <s v="D. Smith"/>
    <x v="2"/>
    <x v="549"/>
    <n v="1171.17"/>
    <n v="2030.64"/>
    <n v="0.157"/>
    <n v="0.157"/>
    <n v="11"/>
    <n v="18830.12472"/>
    <n v="12882.87"/>
    <n v="5947.254719999999"/>
    <n v="0.31583724528830415"/>
    <n v="532.66700000000003"/>
    <n v="1025.2280000000001"/>
    <s v="High"/>
  </r>
  <r>
    <s v="ORD-2025-337268"/>
    <x v="432"/>
    <x v="26"/>
    <s v="Q1-2025"/>
    <x v="345"/>
    <d v="2025-03-17T00:00:00"/>
    <n v="29"/>
    <n v="0"/>
    <n v="0"/>
    <x v="3"/>
    <x v="6"/>
    <x v="22"/>
    <s v="Consumer"/>
    <s v="Retail"/>
    <s v="L. Okafor"/>
    <x v="6"/>
    <x v="550"/>
    <n v="730.42"/>
    <n v="956.7"/>
    <n v="4.2000000000000003E-2"/>
    <n v="4.2000000000000003E-2"/>
    <n v="22"/>
    <n v="20163.409200000002"/>
    <n v="16069.24"/>
    <n v="4094.1692000000021"/>
    <n v="0.20304945256975698"/>
    <n v="532.66700000000003"/>
    <n v="1025.2280000000001"/>
    <s v="High"/>
  </r>
  <r>
    <s v="ORD-2025-332931"/>
    <x v="146"/>
    <x v="26"/>
    <s v="Q1-2025"/>
    <x v="54"/>
    <d v="2025-03-01T00:00:00"/>
    <n v="14"/>
    <n v="0"/>
    <n v="0"/>
    <x v="0"/>
    <x v="0"/>
    <x v="13"/>
    <s v="Education"/>
    <s v="Direct"/>
    <s v="L. Okafor"/>
    <x v="6"/>
    <x v="551"/>
    <n v="1162.8599999999999"/>
    <n v="1447.68"/>
    <n v="8.6999999999999994E-2"/>
    <n v="8.6999999999999994E-2"/>
    <n v="12"/>
    <n v="15860.782080000001"/>
    <n v="13954.32"/>
    <n v="1906.4620800000012"/>
    <n v="0.12019975247021369"/>
    <n v="532.66700000000003"/>
    <n v="1025.2280000000001"/>
    <s v="High"/>
  </r>
  <r>
    <s v="ORD-2024-536442"/>
    <x v="433"/>
    <x v="21"/>
    <s v="Q3-2024"/>
    <x v="425"/>
    <d v="2024-09-26T00:00:00"/>
    <n v="26"/>
    <n v="0"/>
    <n v="0"/>
    <x v="1"/>
    <x v="2"/>
    <x v="27"/>
    <s v="Education"/>
    <s v="Online"/>
    <s v="I. Johnson"/>
    <x v="3"/>
    <x v="552"/>
    <n v="1189.03"/>
    <n v="2949.62"/>
    <n v="0.125"/>
    <n v="0.125"/>
    <n v="13"/>
    <n v="33551.927499999998"/>
    <n v="15457.39"/>
    <n v="18094.537499999999"/>
    <n v="0.53929949330034765"/>
    <n v="532.66700000000003"/>
    <n v="1025.2280000000001"/>
    <s v="High"/>
  </r>
  <r>
    <s v="ORD-2023-957692"/>
    <x v="238"/>
    <x v="15"/>
    <s v="Q2-2023"/>
    <x v="426"/>
    <d v="2023-05-20T00:00:00"/>
    <n v="13"/>
    <n v="0"/>
    <n v="0"/>
    <x v="1"/>
    <x v="4"/>
    <x v="29"/>
    <s v="Enterprise"/>
    <s v="Retail"/>
    <s v="D. Smith"/>
    <x v="6"/>
    <x v="553"/>
    <n v="1443.28"/>
    <n v="2580.5700000000002"/>
    <n v="0"/>
    <n v="0"/>
    <n v="18"/>
    <n v="46450.26"/>
    <n v="25979.040000000001"/>
    <n v="20471.22"/>
    <n v="0.4407127107577008"/>
    <n v="532.66700000000003"/>
    <n v="1025.2280000000001"/>
    <s v="High"/>
  </r>
  <r>
    <s v="ORD-2025-874124"/>
    <x v="78"/>
    <x v="8"/>
    <s v="Q2-2025"/>
    <x v="415"/>
    <d v="2025-05-17T00:00:00"/>
    <n v="3"/>
    <n v="1"/>
    <n v="1"/>
    <x v="2"/>
    <x v="3"/>
    <x v="26"/>
    <s v="Non-Profit"/>
    <s v="Distributor"/>
    <s v="F. Müller"/>
    <x v="1"/>
    <x v="554"/>
    <n v="883.5"/>
    <n v="1978.91"/>
    <n v="5.3999999999999999E-2"/>
    <n v="5.3999999999999999E-2"/>
    <n v="27"/>
    <n v="50545.319219999998"/>
    <n v="23854.5"/>
    <n v="26690.819219999998"/>
    <n v="0.52805718970390547"/>
    <n v="532.66700000000003"/>
    <n v="1025.2280000000001"/>
    <s v="High"/>
  </r>
  <r>
    <s v="ORD-2024-687073"/>
    <x v="0"/>
    <x v="0"/>
    <s v="Q1-2024"/>
    <x v="427"/>
    <d v="2024-03-29T00:00:00"/>
    <n v="18"/>
    <n v="0"/>
    <n v="0"/>
    <x v="2"/>
    <x v="10"/>
    <x v="39"/>
    <s v="Corporate"/>
    <s v="Retail"/>
    <s v="M. Rossi"/>
    <x v="5"/>
    <x v="555"/>
    <n v="710.98"/>
    <n v="1481.45"/>
    <n v="0.21099999999999999"/>
    <n v="0.21099999999999999"/>
    <n v="9"/>
    <n v="10519.776450000001"/>
    <n v="6398.82"/>
    <n v="4120.9564500000015"/>
    <n v="0.39173422264120461"/>
    <n v="532.66700000000003"/>
    <n v="1025.2280000000001"/>
    <s v="High"/>
  </r>
  <r>
    <s v="ORD-2024-555229"/>
    <x v="22"/>
    <x v="7"/>
    <s v="Q2-2024"/>
    <x v="428"/>
    <d v="2024-05-22T00:00:00"/>
    <n v="4"/>
    <n v="1"/>
    <n v="1"/>
    <x v="0"/>
    <x v="0"/>
    <x v="2"/>
    <s v="Corporate"/>
    <s v="Direct"/>
    <s v="H. Kim"/>
    <x v="6"/>
    <x v="556"/>
    <n v="857.42"/>
    <n v="1658.92"/>
    <n v="0.122"/>
    <n v="0.122"/>
    <n v="9"/>
    <n v="13108.78584"/>
    <n v="7716.78"/>
    <n v="5392.0058400000007"/>
    <n v="0.41132763215544305"/>
    <n v="532.66700000000003"/>
    <n v="1025.2280000000001"/>
    <s v="High"/>
  </r>
  <r>
    <s v="ORD-2024-872291"/>
    <x v="434"/>
    <x v="9"/>
    <s v="Q1-2024"/>
    <x v="429"/>
    <d v="2024-01-12T00:00:00"/>
    <n v="4"/>
    <n v="1"/>
    <n v="1"/>
    <x v="1"/>
    <x v="4"/>
    <x v="6"/>
    <s v="Corporate"/>
    <s v="Direct"/>
    <s v="E. Garcia"/>
    <x v="1"/>
    <x v="557"/>
    <n v="802.32"/>
    <n v="602.34"/>
    <n v="0.12"/>
    <n v="0.12"/>
    <n v="25"/>
    <n v="13251.48"/>
    <n v="20058"/>
    <n v="-6806.52"/>
    <n v="-0.51364224977134632"/>
    <n v="532.66700000000003"/>
    <n v="1025.2280000000001"/>
    <s v="High"/>
  </r>
  <r>
    <s v="ORD-2024-250862"/>
    <x v="40"/>
    <x v="1"/>
    <s v="Q4-2024"/>
    <x v="271"/>
    <d v="2024-11-05T00:00:00"/>
    <n v="11"/>
    <n v="0"/>
    <n v="0"/>
    <x v="2"/>
    <x v="10"/>
    <x v="39"/>
    <s v="Corporate"/>
    <s v="Distributor"/>
    <s v="N. Brown"/>
    <x v="0"/>
    <x v="558"/>
    <n v="446.66"/>
    <n v="527.64"/>
    <n v="0.14499999999999999"/>
    <n v="0.14499999999999999"/>
    <n v="15"/>
    <n v="6766.9829999999993"/>
    <n v="6699.9000000000005"/>
    <n v="67.082999999998719"/>
    <n v="9.9132804087137105E-3"/>
    <n v="532.66700000000003"/>
    <n v="1025.2280000000001"/>
    <s v="High"/>
  </r>
  <r>
    <s v="ORD-2024-331226"/>
    <x v="25"/>
    <x v="18"/>
    <s v="Q4-2024"/>
    <x v="354"/>
    <d v="2024-12-19T00:00:00"/>
    <n v="19"/>
    <n v="0"/>
    <n v="0"/>
    <x v="0"/>
    <x v="0"/>
    <x v="0"/>
    <s v="Corporate"/>
    <s v="Online"/>
    <s v="L. Okafor"/>
    <x v="3"/>
    <x v="559"/>
    <n v="1195.98"/>
    <n v="1841.9"/>
    <n v="5.5E-2"/>
    <n v="5.5E-2"/>
    <n v="19"/>
    <n v="33071.3145"/>
    <n v="22723.62"/>
    <n v="10347.694500000001"/>
    <n v="0.31289032977506842"/>
    <n v="532.66700000000003"/>
    <n v="1025.2280000000001"/>
    <s v="High"/>
  </r>
  <r>
    <s v="ORD-2023-356427"/>
    <x v="289"/>
    <x v="12"/>
    <s v="Q2-2023"/>
    <x v="430"/>
    <d v="2023-05-02T00:00:00"/>
    <n v="19"/>
    <n v="0"/>
    <n v="0"/>
    <x v="2"/>
    <x v="3"/>
    <x v="19"/>
    <s v="Consumer"/>
    <s v="Distributor"/>
    <s v="E. Garcia"/>
    <x v="5"/>
    <x v="560"/>
    <n v="671.05"/>
    <n v="1645.48"/>
    <n v="0.13700000000000001"/>
    <n v="0.13700000000000001"/>
    <n v="6"/>
    <n v="8520.2954399999999"/>
    <n v="4026.2999999999997"/>
    <n v="4493.9954400000006"/>
    <n v="0.52744596377517172"/>
    <n v="532.66700000000003"/>
    <n v="1025.2280000000001"/>
    <s v="High"/>
  </r>
  <r>
    <s v="ORD-2025-659650"/>
    <x v="184"/>
    <x v="26"/>
    <s v="Q1-2025"/>
    <x v="173"/>
    <d v="2025-02-08T00:00:00"/>
    <n v="4"/>
    <n v="1"/>
    <n v="1"/>
    <x v="3"/>
    <x v="8"/>
    <x v="31"/>
    <s v="Enterprise"/>
    <s v="Marketplace"/>
    <s v="L. Okafor"/>
    <x v="2"/>
    <x v="561"/>
    <n v="586.21"/>
    <n v="727.22"/>
    <n v="6.8000000000000005E-2"/>
    <n v="6.8000000000000005E-2"/>
    <n v="15"/>
    <n v="10166.535600000001"/>
    <n v="8793.1500000000015"/>
    <n v="1373.3855999999996"/>
    <n v="0.13508884973559721"/>
    <n v="532.66700000000003"/>
    <n v="1025.2280000000001"/>
    <s v="High"/>
  </r>
  <r>
    <s v="ORD-2024-207669"/>
    <x v="435"/>
    <x v="9"/>
    <s v="Q1-2024"/>
    <x v="431"/>
    <d v="2024-02-04T00:00:00"/>
    <n v="11"/>
    <n v="0"/>
    <n v="0"/>
    <x v="3"/>
    <x v="8"/>
    <x v="31"/>
    <s v="Consumer"/>
    <s v="Retail"/>
    <s v="B. Chen"/>
    <x v="4"/>
    <x v="562"/>
    <n v="525.34"/>
    <n v="1233.79"/>
    <n v="0.14299999999999999"/>
    <n v="0.14299999999999999"/>
    <n v="4"/>
    <n v="4229.4321199999995"/>
    <n v="2101.36"/>
    <n v="2128.0721199999994"/>
    <n v="0.50315788494082736"/>
    <n v="532.66700000000003"/>
    <n v="1025.2280000000001"/>
    <s v="High"/>
  </r>
  <r>
    <s v="ORD-2024-979401"/>
    <x v="436"/>
    <x v="31"/>
    <s v="Q1-2024"/>
    <x v="10"/>
    <d v="2024-02-09T00:00:00"/>
    <n v="1"/>
    <n v="1"/>
    <n v="1"/>
    <x v="0"/>
    <x v="0"/>
    <x v="13"/>
    <s v="Corporate"/>
    <s v="Direct"/>
    <s v="F. Müller"/>
    <x v="0"/>
    <x v="563"/>
    <n v="1233.52"/>
    <n v="1543.76"/>
    <n v="0.126"/>
    <n v="0.126"/>
    <n v="13"/>
    <n v="17540.201120000002"/>
    <n v="16035.76"/>
    <n v="1504.4411200000013"/>
    <n v="8.5771030201277493E-2"/>
    <n v="532.66700000000003"/>
    <n v="1025.2280000000001"/>
    <s v="High"/>
  </r>
  <r>
    <s v="ORD-2025-929414"/>
    <x v="437"/>
    <x v="16"/>
    <s v="Q2-2025"/>
    <x v="313"/>
    <d v="2025-07-11T00:00:00"/>
    <n v="15"/>
    <n v="0"/>
    <n v="0"/>
    <x v="0"/>
    <x v="1"/>
    <x v="1"/>
    <s v="Small Business"/>
    <s v="Online"/>
    <s v="A. Patel"/>
    <x v="4"/>
    <x v="564"/>
    <n v="1170.1500000000001"/>
    <n v="2115.19"/>
    <n v="9.1999999999999998E-2"/>
    <n v="9.1999999999999998E-2"/>
    <n v="23"/>
    <n v="44173.627960000005"/>
    <n v="26913.45"/>
    <n v="17260.177960000005"/>
    <n v="0.39073489674946776"/>
    <n v="532.66700000000003"/>
    <n v="1025.2280000000001"/>
    <s v="High"/>
  </r>
  <r>
    <s v="ORD-2024-766980"/>
    <x v="272"/>
    <x v="18"/>
    <s v="Q4-2024"/>
    <x v="432"/>
    <d v="2024-11-07T00:00:00"/>
    <n v="3"/>
    <n v="1"/>
    <n v="1"/>
    <x v="3"/>
    <x v="7"/>
    <x v="17"/>
    <s v="Corporate"/>
    <s v="Online"/>
    <s v="O. Wang"/>
    <x v="5"/>
    <x v="565"/>
    <n v="740.68"/>
    <n v="1837.19"/>
    <n v="0.19700000000000001"/>
    <n v="0.19700000000000001"/>
    <n v="17"/>
    <n v="25079.480689999997"/>
    <n v="12591.56"/>
    <n v="12487.920689999997"/>
    <n v="0.4979337827748298"/>
    <n v="532.66700000000003"/>
    <n v="1025.2280000000001"/>
    <s v="High"/>
  </r>
  <r>
    <s v="ORD-2024-437164"/>
    <x v="438"/>
    <x v="31"/>
    <s v="Q1-2024"/>
    <x v="433"/>
    <d v="2024-02-20T00:00:00"/>
    <n v="0"/>
    <n v="1"/>
    <n v="1"/>
    <x v="2"/>
    <x v="10"/>
    <x v="39"/>
    <s v="Enterprise"/>
    <s v="Online"/>
    <s v="C. Otieno"/>
    <x v="2"/>
    <x v="566"/>
    <n v="1407.05"/>
    <n v="2858.93"/>
    <n v="0"/>
    <n v="0"/>
    <n v="12"/>
    <n v="34307.159999999996"/>
    <n v="16884.599999999999"/>
    <n v="17422.559999999998"/>
    <n v="0.50784034586366222"/>
    <n v="532.66700000000003"/>
    <n v="1025.2280000000001"/>
    <s v="High"/>
  </r>
  <r>
    <s v="ORD-2025-169093"/>
    <x v="439"/>
    <x v="19"/>
    <s v="Q2-2025"/>
    <x v="434"/>
    <d v="2025-04-14T00:00:00"/>
    <n v="1"/>
    <n v="1"/>
    <n v="1"/>
    <x v="1"/>
    <x v="2"/>
    <x v="4"/>
    <s v="Enterprise"/>
    <s v="Online"/>
    <s v="G. Dubois"/>
    <x v="0"/>
    <x v="567"/>
    <n v="138.9"/>
    <n v="289.92"/>
    <n v="2.9000000000000001E-2"/>
    <n v="2.9000000000000001E-2"/>
    <n v="12"/>
    <n v="3378.1478400000001"/>
    <n v="1666.8000000000002"/>
    <n v="1711.3478399999999"/>
    <n v="0.50659353025828491"/>
    <n v="532.66700000000003"/>
    <n v="1025.2280000000001"/>
    <s v="High"/>
  </r>
  <r>
    <s v="ORD-2023-868460"/>
    <x v="407"/>
    <x v="23"/>
    <s v="Q2-2023"/>
    <x v="435"/>
    <d v="2023-06-01T00:00:00"/>
    <n v="0"/>
    <n v="1"/>
    <n v="1"/>
    <x v="1"/>
    <x v="4"/>
    <x v="6"/>
    <s v="Corporate"/>
    <s v="Retail"/>
    <s v="E. Garcia"/>
    <x v="6"/>
    <x v="568"/>
    <n v="669.37"/>
    <n v="997.2"/>
    <n v="8.2000000000000003E-2"/>
    <n v="8.2000000000000003E-2"/>
    <n v="5"/>
    <n v="4577.1480000000001"/>
    <n v="3346.85"/>
    <n v="1230.2980000000002"/>
    <n v="0.26879139586484863"/>
    <n v="532.66700000000003"/>
    <n v="1025.2280000000001"/>
    <s v="High"/>
  </r>
  <r>
    <s v="ORD-2025-177994"/>
    <x v="400"/>
    <x v="3"/>
    <s v="Q1-2025"/>
    <x v="99"/>
    <d v="2025-04-04T00:00:00"/>
    <n v="11"/>
    <n v="0"/>
    <n v="0"/>
    <x v="1"/>
    <x v="4"/>
    <x v="29"/>
    <s v="Education"/>
    <s v="Marketplace"/>
    <s v="J. Njeri"/>
    <x v="3"/>
    <x v="569"/>
    <n v="23.83"/>
    <n v="47.29"/>
    <n v="6.4000000000000001E-2"/>
    <n v="6.4000000000000001E-2"/>
    <n v="19"/>
    <n v="841.00536"/>
    <n v="452.77"/>
    <n v="388.23536000000001"/>
    <n v="0.46163244429262618"/>
    <n v="532.66700000000003"/>
    <n v="1025.2280000000001"/>
    <s v="Medium"/>
  </r>
  <r>
    <s v="ORD-2024-355095"/>
    <x v="278"/>
    <x v="9"/>
    <s v="Q1-2024"/>
    <x v="436"/>
    <d v="2024-01-02T00:00:00"/>
    <n v="0"/>
    <n v="1"/>
    <n v="1"/>
    <x v="2"/>
    <x v="3"/>
    <x v="26"/>
    <s v="Education"/>
    <s v="Direct"/>
    <s v="A. Patel"/>
    <x v="4"/>
    <x v="570"/>
    <n v="444.41"/>
    <n v="754.24"/>
    <n v="0.20699999999999999"/>
    <n v="0.20699999999999999"/>
    <n v="32"/>
    <n v="19139.594240000002"/>
    <n v="14221.12"/>
    <n v="4918.4742400000014"/>
    <n v="0.25697902360546598"/>
    <n v="532.66700000000003"/>
    <n v="1025.2280000000001"/>
    <s v="High"/>
  </r>
  <r>
    <s v="ORD-2023-126505"/>
    <x v="201"/>
    <x v="4"/>
    <s v="Q4-2023"/>
    <x v="235"/>
    <d v="2024-01-01T00:00:00"/>
    <n v="13"/>
    <n v="0"/>
    <n v="0"/>
    <x v="2"/>
    <x v="3"/>
    <x v="5"/>
    <s v="Enterprise"/>
    <s v="Retail"/>
    <s v="K. Singh"/>
    <x v="5"/>
    <x v="571"/>
    <n v="856.1"/>
    <n v="901.48"/>
    <n v="5.6000000000000001E-2"/>
    <n v="5.6000000000000001E-2"/>
    <n v="17"/>
    <n v="14466.95104"/>
    <n v="14553.7"/>
    <n v="-86.748960000000807"/>
    <n v="-5.9963540182134192E-3"/>
    <n v="532.66700000000003"/>
    <n v="1025.2280000000001"/>
    <s v="High"/>
  </r>
  <r>
    <s v="ORD-2023-340056"/>
    <x v="440"/>
    <x v="12"/>
    <s v="Q2-2023"/>
    <x v="437"/>
    <d v="2023-04-26T00:00:00"/>
    <n v="0"/>
    <n v="1"/>
    <n v="1"/>
    <x v="3"/>
    <x v="7"/>
    <x v="11"/>
    <s v="Consumer"/>
    <s v="Direct"/>
    <s v="M. Rossi"/>
    <x v="0"/>
    <x v="572"/>
    <n v="81.489999999999995"/>
    <n v="113.08"/>
    <n v="0.121"/>
    <n v="0.121"/>
    <n v="5"/>
    <n v="496.98660000000001"/>
    <n v="407.45"/>
    <n v="89.536600000000021"/>
    <n v="0.18015898215364362"/>
    <n v="532.66700000000003"/>
    <n v="1025.2280000000001"/>
    <s v="Low"/>
  </r>
  <r>
    <s v="ORD-2025-281413"/>
    <x v="441"/>
    <x v="28"/>
    <s v="Q3-2025"/>
    <x v="93"/>
    <d v="2025-08-16T00:00:00"/>
    <n v="13"/>
    <n v="0"/>
    <n v="0"/>
    <x v="2"/>
    <x v="3"/>
    <x v="19"/>
    <s v="Enterprise"/>
    <s v="Distributor"/>
    <s v="O. Wang"/>
    <x v="2"/>
    <x v="573"/>
    <n v="698.66"/>
    <n v="868.62"/>
    <n v="7.1999999999999995E-2"/>
    <n v="7.1999999999999995E-2"/>
    <n v="15"/>
    <n v="12091.190399999999"/>
    <n v="10479.9"/>
    <n v="1611.2903999999999"/>
    <n v="0.13326151906432637"/>
    <n v="532.66700000000003"/>
    <n v="1025.2280000000001"/>
    <s v="High"/>
  </r>
  <r>
    <s v="ORD-2023-713614"/>
    <x v="442"/>
    <x v="25"/>
    <s v="Q3-2023"/>
    <x v="288"/>
    <d v="2023-08-19T00:00:00"/>
    <n v="17"/>
    <n v="0"/>
    <n v="0"/>
    <x v="2"/>
    <x v="3"/>
    <x v="26"/>
    <s v="Corporate"/>
    <s v="Online"/>
    <s v="F. Müller"/>
    <x v="2"/>
    <x v="574"/>
    <n v="175.38"/>
    <n v="347.9"/>
    <n v="7.1999999999999995E-2"/>
    <n v="7.1999999999999995E-2"/>
    <n v="43"/>
    <n v="13882.6016"/>
    <n v="7541.34"/>
    <n v="6341.2615999999998"/>
    <n v="0.45677761148169804"/>
    <n v="532.66700000000003"/>
    <n v="1025.2280000000001"/>
    <s v="High"/>
  </r>
  <r>
    <s v="ORD-2023-173313"/>
    <x v="250"/>
    <x v="23"/>
    <s v="Q2-2023"/>
    <x v="438"/>
    <d v="2023-07-12T00:00:00"/>
    <n v="27"/>
    <n v="0"/>
    <n v="0"/>
    <x v="3"/>
    <x v="8"/>
    <x v="31"/>
    <s v="Consumer"/>
    <s v="Direct"/>
    <s v="I. Johnson"/>
    <x v="6"/>
    <x v="575"/>
    <n v="751.28"/>
    <n v="1111.8800000000001"/>
    <n v="0.13500000000000001"/>
    <n v="0.13500000000000001"/>
    <n v="7"/>
    <n v="6732.4334000000008"/>
    <n v="5258.96"/>
    <n v="1473.4734000000008"/>
    <n v="0.21886193482433863"/>
    <n v="532.66700000000003"/>
    <n v="1025.2280000000001"/>
    <s v="High"/>
  </r>
  <r>
    <s v="ORD-2024-496601"/>
    <x v="443"/>
    <x v="18"/>
    <s v="Q4-2024"/>
    <x v="153"/>
    <d v="2024-11-24T00:00:00"/>
    <n v="13"/>
    <n v="0"/>
    <n v="0"/>
    <x v="3"/>
    <x v="8"/>
    <x v="21"/>
    <s v="Corporate"/>
    <s v="Retail"/>
    <s v="E. Garcia"/>
    <x v="2"/>
    <x v="576"/>
    <n v="164.53"/>
    <n v="327.72"/>
    <n v="6.7000000000000004E-2"/>
    <n v="6.7000000000000004E-2"/>
    <n v="14"/>
    <n v="4280.6786400000001"/>
    <n v="2303.42"/>
    <n v="1977.25864"/>
    <n v="0.46190307805960412"/>
    <n v="532.66700000000003"/>
    <n v="1025.2280000000001"/>
    <s v="High"/>
  </r>
  <r>
    <s v="ORD-2025-155182"/>
    <x v="444"/>
    <x v="13"/>
    <s v="Q3-2025"/>
    <x v="439"/>
    <d v="2025-08-03T00:00:00"/>
    <n v="23"/>
    <n v="0"/>
    <n v="0"/>
    <x v="0"/>
    <x v="0"/>
    <x v="16"/>
    <s v="Small Business"/>
    <s v="Retail"/>
    <s v="C. Otieno"/>
    <x v="3"/>
    <x v="577"/>
    <n v="389.93"/>
    <n v="486.13"/>
    <n v="0.13200000000000001"/>
    <n v="0.13200000000000001"/>
    <n v="17"/>
    <n v="7173.3342799999991"/>
    <n v="6628.81"/>
    <n v="544.52427999999873"/>
    <n v="7.5909508569562828E-2"/>
    <n v="532.66700000000003"/>
    <n v="1025.2280000000001"/>
    <s v="High"/>
  </r>
  <r>
    <s v="ORD-2023-244375"/>
    <x v="445"/>
    <x v="23"/>
    <s v="Q2-2023"/>
    <x v="440"/>
    <d v="2023-07-01T00:00:00"/>
    <n v="28"/>
    <n v="0"/>
    <n v="0"/>
    <x v="2"/>
    <x v="5"/>
    <x v="10"/>
    <s v="Small Business"/>
    <s v="Marketplace"/>
    <s v="A. Patel"/>
    <x v="0"/>
    <x v="578"/>
    <n v="860.4"/>
    <n v="2066.6"/>
    <n v="0.01"/>
    <n v="0.01"/>
    <n v="3"/>
    <n v="6137.8019999999988"/>
    <n v="2581.1999999999998"/>
    <n v="3556.601999999999"/>
    <n v="0.57945857491004105"/>
    <n v="532.66700000000003"/>
    <n v="1025.2280000000001"/>
    <s v="High"/>
  </r>
  <r>
    <s v="ORD-2023-856322"/>
    <x v="446"/>
    <x v="5"/>
    <s v="Q1-2023"/>
    <x v="441"/>
    <d v="2023-02-06T00:00:00"/>
    <n v="8"/>
    <n v="0"/>
    <n v="0"/>
    <x v="2"/>
    <x v="5"/>
    <x v="10"/>
    <s v="Corporate"/>
    <s v="Marketplace"/>
    <s v="D. Smith"/>
    <x v="5"/>
    <x v="579"/>
    <n v="41.84"/>
    <n v="86.2"/>
    <n v="0.22600000000000001"/>
    <n v="0.22600000000000001"/>
    <n v="27"/>
    <n v="1801.4076000000002"/>
    <n v="1129.68"/>
    <n v="671.72760000000017"/>
    <n v="0.37289039970742882"/>
    <n v="532.66700000000003"/>
    <n v="1025.2280000000001"/>
    <s v="High"/>
  </r>
  <r>
    <s v="ORD-2024-594527"/>
    <x v="330"/>
    <x v="29"/>
    <s v="Q3-2024"/>
    <x v="104"/>
    <d v="2024-09-09T00:00:00"/>
    <n v="3"/>
    <n v="1"/>
    <n v="1"/>
    <x v="1"/>
    <x v="2"/>
    <x v="4"/>
    <s v="Corporate"/>
    <s v="Direct"/>
    <s v="A. Patel"/>
    <x v="4"/>
    <x v="580"/>
    <n v="1368.17"/>
    <n v="2307.75"/>
    <n v="0.16300000000000001"/>
    <n v="0.16300000000000001"/>
    <n v="21"/>
    <n v="40563.321749999996"/>
    <n v="28731.57"/>
    <n v="11831.751749999996"/>
    <n v="0.29168596750831921"/>
    <n v="532.66700000000003"/>
    <n v="1025.2280000000001"/>
    <s v="High"/>
  </r>
  <r>
    <s v="ORD-2024-689872"/>
    <x v="447"/>
    <x v="21"/>
    <s v="Q3-2024"/>
    <x v="442"/>
    <d v="2024-08-09T00:00:00"/>
    <n v="6"/>
    <n v="1"/>
    <n v="1"/>
    <x v="0"/>
    <x v="0"/>
    <x v="13"/>
    <s v="Consumer"/>
    <s v="Marketplace"/>
    <s v="H. Kim"/>
    <x v="4"/>
    <x v="581"/>
    <n v="643.21"/>
    <n v="1112.81"/>
    <n v="0.14099999999999999"/>
    <n v="0.14099999999999999"/>
    <n v="4"/>
    <n v="3823.6151599999998"/>
    <n v="2572.84"/>
    <n v="1250.7751599999997"/>
    <n v="0.32711847496702562"/>
    <n v="532.66700000000003"/>
    <n v="1025.2280000000001"/>
    <s v="High"/>
  </r>
  <r>
    <s v="ORD-2025-246692"/>
    <x v="448"/>
    <x v="19"/>
    <s v="Q2-2025"/>
    <x v="82"/>
    <d v="2025-04-17T00:00:00"/>
    <n v="0"/>
    <n v="1"/>
    <n v="1"/>
    <x v="2"/>
    <x v="5"/>
    <x v="8"/>
    <s v="Corporate"/>
    <s v="Distributor"/>
    <s v="L. Okafor"/>
    <x v="3"/>
    <x v="582"/>
    <n v="719.41"/>
    <n v="1125.99"/>
    <n v="4.1000000000000002E-2"/>
    <n v="4.1000000000000002E-2"/>
    <n v="21"/>
    <n v="22676.312610000001"/>
    <n v="15107.609999999999"/>
    <n v="7568.7026100000021"/>
    <n v="0.33377131194876403"/>
    <n v="532.66700000000003"/>
    <n v="1025.2280000000001"/>
    <s v="High"/>
  </r>
  <r>
    <s v="ORD-2023-378676"/>
    <x v="449"/>
    <x v="15"/>
    <s v="Q2-2023"/>
    <x v="294"/>
    <d v="2023-05-16T00:00:00"/>
    <n v="13"/>
    <n v="0"/>
    <n v="0"/>
    <x v="2"/>
    <x v="10"/>
    <x v="39"/>
    <s v="Corporate"/>
    <s v="Marketplace"/>
    <s v="L. Okafor"/>
    <x v="3"/>
    <x v="583"/>
    <n v="64.5"/>
    <n v="123.62"/>
    <n v="0"/>
    <n v="0"/>
    <n v="3"/>
    <n v="370.86"/>
    <n v="193.5"/>
    <n v="177.36"/>
    <n v="0.47823976702798904"/>
    <n v="532.66700000000003"/>
    <n v="1025.2280000000001"/>
    <s v="Low"/>
  </r>
  <r>
    <s v="ORD-2024-243988"/>
    <x v="450"/>
    <x v="0"/>
    <s v="Q1-2024"/>
    <x v="0"/>
    <d v="2024-04-06T00:00:00"/>
    <n v="24"/>
    <n v="0"/>
    <n v="0"/>
    <x v="0"/>
    <x v="1"/>
    <x v="7"/>
    <s v="Consumer"/>
    <s v="Distributor"/>
    <s v="L. Okafor"/>
    <x v="0"/>
    <x v="584"/>
    <n v="1232.78"/>
    <n v="1731.75"/>
    <n v="9.2999999999999999E-2"/>
    <n v="9.2999999999999999E-2"/>
    <n v="16"/>
    <n v="25131.155999999999"/>
    <n v="19724.48"/>
    <n v="5406.6759999999995"/>
    <n v="0.21513837246484005"/>
    <n v="532.66700000000003"/>
    <n v="1025.2280000000001"/>
    <s v="High"/>
  </r>
  <r>
    <s v="ORD-2024-572312"/>
    <x v="248"/>
    <x v="17"/>
    <s v="Q2-2024"/>
    <x v="443"/>
    <d v="2024-06-21T00:00:00"/>
    <n v="5"/>
    <n v="1"/>
    <n v="1"/>
    <x v="1"/>
    <x v="2"/>
    <x v="27"/>
    <s v="Small Business"/>
    <s v="Distributor"/>
    <s v="F. Müller"/>
    <x v="3"/>
    <x v="585"/>
    <n v="1367.13"/>
    <n v="3062.01"/>
    <n v="0.10299999999999999"/>
    <n v="0.10299999999999999"/>
    <n v="25"/>
    <n v="68665.574250000005"/>
    <n v="34178.25"/>
    <n v="34487.324250000005"/>
    <n v="0.50225057645971705"/>
    <n v="532.66700000000003"/>
    <n v="1025.2280000000001"/>
    <s v="High"/>
  </r>
  <r>
    <s v="ORD-2025-281062"/>
    <x v="146"/>
    <x v="26"/>
    <s v="Q1-2025"/>
    <x v="444"/>
    <d v="2025-02-27T00:00:00"/>
    <n v="12"/>
    <n v="0"/>
    <n v="0"/>
    <x v="3"/>
    <x v="7"/>
    <x v="17"/>
    <s v="Non-Profit"/>
    <s v="Direct"/>
    <s v="K. Singh"/>
    <x v="6"/>
    <x v="586"/>
    <n v="1027.26"/>
    <n v="2200.41"/>
    <n v="8.7999999999999995E-2"/>
    <n v="8.7999999999999995E-2"/>
    <n v="6"/>
    <n v="12040.64352"/>
    <n v="6163.5599999999995"/>
    <n v="5877.0835200000001"/>
    <n v="0.48810377204822358"/>
    <n v="532.66700000000003"/>
    <n v="1025.2280000000001"/>
    <s v="High"/>
  </r>
  <r>
    <s v="ORD-2023-727290"/>
    <x v="451"/>
    <x v="12"/>
    <s v="Q2-2023"/>
    <x v="166"/>
    <d v="2023-04-16T00:00:00"/>
    <n v="13"/>
    <n v="0"/>
    <n v="0"/>
    <x v="3"/>
    <x v="7"/>
    <x v="11"/>
    <s v="Non-Profit"/>
    <s v="Marketplace"/>
    <s v="M. Rossi"/>
    <x v="6"/>
    <x v="587"/>
    <n v="790.54"/>
    <n v="601.49"/>
    <n v="0"/>
    <n v="0"/>
    <n v="15"/>
    <n v="9022.35"/>
    <n v="11858.099999999999"/>
    <n v="-2835.7499999999982"/>
    <n v="-0.31430281467688553"/>
    <n v="532.66700000000003"/>
    <n v="1025.2280000000001"/>
    <s v="High"/>
  </r>
  <r>
    <s v="ORD-2025-993993"/>
    <x v="387"/>
    <x v="28"/>
    <s v="Q3-2025"/>
    <x v="445"/>
    <d v="2025-09-22T00:00:00"/>
    <n v="23"/>
    <n v="0"/>
    <n v="0"/>
    <x v="3"/>
    <x v="7"/>
    <x v="11"/>
    <s v="Corporate"/>
    <s v="Direct"/>
    <s v="E. Garcia"/>
    <x v="0"/>
    <x v="588"/>
    <n v="663.9"/>
    <n v="947.77"/>
    <n v="0.17399999999999999"/>
    <n v="0.17399999999999999"/>
    <n v="15"/>
    <n v="11742.8703"/>
    <n v="9958.5"/>
    <n v="1784.3703000000005"/>
    <n v="0.1519535049280073"/>
    <n v="532.66700000000003"/>
    <n v="1025.2280000000001"/>
    <s v="High"/>
  </r>
  <r>
    <s v="ORD-2023-619493"/>
    <x v="452"/>
    <x v="2"/>
    <s v="Q1-2023"/>
    <x v="62"/>
    <d v="2023-03-02T00:00:00"/>
    <n v="3"/>
    <n v="1"/>
    <n v="1"/>
    <x v="2"/>
    <x v="10"/>
    <x v="24"/>
    <s v="Non-Profit"/>
    <s v="Online"/>
    <s v="L. Okafor"/>
    <x v="2"/>
    <x v="589"/>
    <n v="1015.91"/>
    <n v="2331.48"/>
    <n v="0.14599999999999999"/>
    <n v="0.14599999999999999"/>
    <n v="26"/>
    <n v="51768.181920000003"/>
    <n v="26413.66"/>
    <n v="25354.521920000003"/>
    <n v="0.48977037592669626"/>
    <n v="532.66700000000003"/>
    <n v="1025.2280000000001"/>
    <s v="High"/>
  </r>
  <r>
    <s v="ORD-2024-947056"/>
    <x v="453"/>
    <x v="14"/>
    <s v="Q3-2024"/>
    <x v="331"/>
    <d v="2024-08-15T00:00:00"/>
    <n v="15"/>
    <n v="0"/>
    <n v="0"/>
    <x v="1"/>
    <x v="2"/>
    <x v="27"/>
    <s v="Corporate"/>
    <s v="Marketplace"/>
    <s v="F. Müller"/>
    <x v="5"/>
    <x v="590"/>
    <n v="1252.52"/>
    <n v="1417.24"/>
    <n v="0.192"/>
    <n v="0.192"/>
    <n v="5"/>
    <n v="5725.6496000000006"/>
    <n v="6262.6"/>
    <n v="-536.95039999999972"/>
    <n v="-9.3779821943696953E-2"/>
    <n v="532.66700000000003"/>
    <n v="1025.2280000000001"/>
    <s v="High"/>
  </r>
  <r>
    <s v="ORD-2025-856556"/>
    <x v="324"/>
    <x v="16"/>
    <s v="Q2-2025"/>
    <x v="116"/>
    <d v="2025-07-12T00:00:00"/>
    <n v="27"/>
    <n v="0"/>
    <n v="0"/>
    <x v="3"/>
    <x v="7"/>
    <x v="11"/>
    <s v="Consumer"/>
    <s v="Direct"/>
    <s v="C. Otieno"/>
    <x v="6"/>
    <x v="591"/>
    <n v="318.83"/>
    <n v="699.5"/>
    <n v="0.08"/>
    <n v="0.08"/>
    <n v="13"/>
    <n v="8366.02"/>
    <n v="4144.79"/>
    <n v="4221.2300000000005"/>
    <n v="0.50456848059172699"/>
    <n v="532.66700000000003"/>
    <n v="1025.2280000000001"/>
    <s v="High"/>
  </r>
  <r>
    <s v="ORD-2024-442776"/>
    <x v="24"/>
    <x v="17"/>
    <s v="Q2-2024"/>
    <x v="446"/>
    <d v="2024-07-21T00:00:00"/>
    <n v="21"/>
    <n v="0"/>
    <n v="0"/>
    <x v="0"/>
    <x v="0"/>
    <x v="0"/>
    <s v="Small Business"/>
    <s v="Retail"/>
    <s v="K. Singh"/>
    <x v="4"/>
    <x v="592"/>
    <n v="753.43"/>
    <n v="1787.2"/>
    <n v="7.2999999999999995E-2"/>
    <n v="7.2999999999999995E-2"/>
    <n v="9"/>
    <n v="14910.609600000002"/>
    <n v="6780.87"/>
    <n v="8129.7396000000017"/>
    <n v="0.54523187301476939"/>
    <n v="532.66700000000003"/>
    <n v="1025.2280000000001"/>
    <s v="High"/>
  </r>
  <r>
    <s v="ORD-2025-705398"/>
    <x v="454"/>
    <x v="26"/>
    <s v="Q1-2025"/>
    <x v="97"/>
    <d v="2025-02-20T00:00:00"/>
    <n v="3"/>
    <n v="1"/>
    <n v="1"/>
    <x v="2"/>
    <x v="3"/>
    <x v="5"/>
    <s v="Small Business"/>
    <s v="Retail"/>
    <s v="D. Smith"/>
    <x v="0"/>
    <x v="593"/>
    <n v="1133.47"/>
    <n v="1698.75"/>
    <n v="4.2999999999999997E-2"/>
    <n v="4.2999999999999997E-2"/>
    <n v="5"/>
    <n v="8128.5187499999993"/>
    <n v="5667.35"/>
    <n v="2461.1687499999989"/>
    <n v="0.30278194904821976"/>
    <n v="532.66700000000003"/>
    <n v="1025.2280000000001"/>
    <s v="High"/>
  </r>
  <r>
    <s v="ORD-2023-689428"/>
    <x v="455"/>
    <x v="5"/>
    <s v="Q1-2023"/>
    <x v="125"/>
    <d v="2023-01-30T00:00:00"/>
    <n v="23"/>
    <n v="0"/>
    <n v="0"/>
    <x v="0"/>
    <x v="11"/>
    <x v="33"/>
    <s v="Consumer"/>
    <s v="Online"/>
    <s v="A. Patel"/>
    <x v="1"/>
    <x v="594"/>
    <n v="299.02"/>
    <n v="724.7"/>
    <n v="0.14000000000000001"/>
    <n v="0.14000000000000001"/>
    <n v="5"/>
    <n v="3116.21"/>
    <n v="1495.1"/>
    <n v="1621.1100000000001"/>
    <n v="0.52021847051386139"/>
    <n v="532.66700000000003"/>
    <n v="1025.2280000000001"/>
    <s v="High"/>
  </r>
  <r>
    <s v="ORD-2025-683247"/>
    <x v="401"/>
    <x v="3"/>
    <s v="Q1-2025"/>
    <x v="99"/>
    <d v="2025-04-04T00:00:00"/>
    <n v="25"/>
    <n v="0"/>
    <n v="0"/>
    <x v="1"/>
    <x v="2"/>
    <x v="4"/>
    <s v="Corporate"/>
    <s v="Direct"/>
    <s v="H. Kim"/>
    <x v="1"/>
    <x v="595"/>
    <n v="783.72"/>
    <n v="1355.94"/>
    <n v="0.187"/>
    <n v="0.187"/>
    <n v="4"/>
    <n v="4409.5168800000001"/>
    <n v="3134.88"/>
    <n v="1274.63688"/>
    <n v="0.28906497348525856"/>
    <n v="532.66700000000003"/>
    <n v="1025.2280000000001"/>
    <s v="High"/>
  </r>
  <r>
    <s v="ORD-2024-585443"/>
    <x v="456"/>
    <x v="21"/>
    <s v="Q3-2024"/>
    <x v="331"/>
    <d v="2024-08-20T00:00:00"/>
    <n v="3"/>
    <n v="1"/>
    <n v="1"/>
    <x v="2"/>
    <x v="5"/>
    <x v="30"/>
    <s v="Consumer"/>
    <s v="Direct"/>
    <s v="M. Rossi"/>
    <x v="5"/>
    <x v="596"/>
    <n v="165.3"/>
    <n v="275.07"/>
    <n v="0.13300000000000001"/>
    <n v="0.13300000000000001"/>
    <n v="25"/>
    <n v="5962.1422499999999"/>
    <n v="4132.5"/>
    <n v="1829.6422499999999"/>
    <n v="0.30687665159280625"/>
    <n v="532.66700000000003"/>
    <n v="1025.2280000000001"/>
    <s v="High"/>
  </r>
  <r>
    <s v="ORD-2024-907733"/>
    <x v="306"/>
    <x v="0"/>
    <s v="Q1-2024"/>
    <x v="447"/>
    <d v="2024-03-22T00:00:00"/>
    <n v="13"/>
    <n v="0"/>
    <n v="0"/>
    <x v="3"/>
    <x v="8"/>
    <x v="31"/>
    <s v="Consumer"/>
    <s v="Online"/>
    <s v="E. Garcia"/>
    <x v="4"/>
    <x v="597"/>
    <n v="985.45"/>
    <n v="1802.44"/>
    <n v="8.9999999999999993E-3"/>
    <n v="8.9999999999999993E-3"/>
    <n v="19"/>
    <n v="33938.142760000002"/>
    <n v="18723.55"/>
    <n v="15214.592760000003"/>
    <n v="0.44830363486867486"/>
    <n v="532.66700000000003"/>
    <n v="1025.2280000000001"/>
    <s v="High"/>
  </r>
  <r>
    <s v="ORD-2024-550400"/>
    <x v="395"/>
    <x v="21"/>
    <s v="Q3-2024"/>
    <x v="448"/>
    <d v="2024-09-02T00:00:00"/>
    <n v="14"/>
    <n v="0"/>
    <n v="0"/>
    <x v="2"/>
    <x v="3"/>
    <x v="5"/>
    <s v="Consumer"/>
    <s v="Distributor"/>
    <s v="C. Otieno"/>
    <x v="1"/>
    <x v="598"/>
    <n v="1337.01"/>
    <n v="1269.78"/>
    <n v="0.16"/>
    <n v="0.16"/>
    <n v="7"/>
    <n v="7466.3063999999986"/>
    <n v="9359.07"/>
    <n v="-1892.7636000000011"/>
    <n v="-0.25350735672996244"/>
    <n v="532.66700000000003"/>
    <n v="1025.2280000000001"/>
    <s v="High"/>
  </r>
  <r>
    <s v="ORD-2025-189846"/>
    <x v="457"/>
    <x v="28"/>
    <s v="Q3-2025"/>
    <x v="405"/>
    <d v="2025-08-28T00:00:00"/>
    <n v="17"/>
    <n v="0"/>
    <n v="0"/>
    <x v="3"/>
    <x v="7"/>
    <x v="28"/>
    <s v="Education"/>
    <s v="Online"/>
    <s v="F. Müller"/>
    <x v="2"/>
    <x v="599"/>
    <n v="416.16"/>
    <n v="571.9"/>
    <n v="7.0999999999999994E-2"/>
    <n v="7.0999999999999994E-2"/>
    <n v="2"/>
    <n v="1062.5902000000001"/>
    <n v="832.32"/>
    <n v="230.27020000000005"/>
    <n v="0.21670649701079497"/>
    <n v="532.66700000000003"/>
    <n v="1025.2280000000001"/>
    <s v="High"/>
  </r>
  <r>
    <s v="ORD-2025-752192"/>
    <x v="216"/>
    <x v="8"/>
    <s v="Q2-2025"/>
    <x v="449"/>
    <d v="2025-05-18T00:00:00"/>
    <n v="2"/>
    <n v="1"/>
    <n v="1"/>
    <x v="1"/>
    <x v="2"/>
    <x v="27"/>
    <s v="Enterprise"/>
    <s v="Retail"/>
    <s v="J. Njeri"/>
    <x v="1"/>
    <x v="600"/>
    <n v="1144.3800000000001"/>
    <n v="2755.04"/>
    <n v="0.15"/>
    <n v="0.15"/>
    <n v="17"/>
    <n v="39810.328000000001"/>
    <n v="19454.460000000003"/>
    <n v="20355.867999999999"/>
    <n v="0.51132128326096682"/>
    <n v="532.66700000000003"/>
    <n v="1025.2280000000001"/>
    <s v="High"/>
  </r>
  <r>
    <s v="ORD-2023-294716"/>
    <x v="458"/>
    <x v="12"/>
    <s v="Q2-2023"/>
    <x v="450"/>
    <d v="2023-04-25T00:00:00"/>
    <n v="15"/>
    <n v="0"/>
    <n v="0"/>
    <x v="3"/>
    <x v="8"/>
    <x v="21"/>
    <s v="Small Business"/>
    <s v="Retail"/>
    <s v="D. Smith"/>
    <x v="1"/>
    <x v="601"/>
    <n v="405.66"/>
    <n v="962.51"/>
    <n v="0.19"/>
    <n v="0.19"/>
    <n v="7"/>
    <n v="5457.4317000000001"/>
    <n v="2839.6200000000003"/>
    <n v="2617.8116999999997"/>
    <n v="0.47967832561239376"/>
    <n v="532.66700000000003"/>
    <n v="1025.2280000000001"/>
    <s v="High"/>
  </r>
  <r>
    <s v="ORD-2023-552115"/>
    <x v="459"/>
    <x v="27"/>
    <s v="Q3-2023"/>
    <x v="202"/>
    <d v="2023-10-02T00:00:00"/>
    <n v="15"/>
    <n v="0"/>
    <n v="0"/>
    <x v="2"/>
    <x v="5"/>
    <x v="30"/>
    <s v="Small Business"/>
    <s v="Retail"/>
    <s v="B. Chen"/>
    <x v="4"/>
    <x v="602"/>
    <n v="689.33"/>
    <n v="668.27"/>
    <n v="0.186"/>
    <n v="0.186"/>
    <n v="13"/>
    <n v="7071.6331400000008"/>
    <n v="8961.2900000000009"/>
    <n v="-1889.6568600000001"/>
    <n v="-0.26721647214861033"/>
    <n v="532.66700000000003"/>
    <n v="1025.2280000000001"/>
    <s v="High"/>
  </r>
  <r>
    <s v="ORD-2023-107265"/>
    <x v="460"/>
    <x v="12"/>
    <s v="Q2-2023"/>
    <x v="28"/>
    <d v="2023-05-14T00:00:00"/>
    <n v="22"/>
    <n v="0"/>
    <n v="0"/>
    <x v="1"/>
    <x v="2"/>
    <x v="32"/>
    <s v="Enterprise"/>
    <s v="Retail"/>
    <s v="A. Patel"/>
    <x v="6"/>
    <x v="603"/>
    <n v="1209.22"/>
    <n v="1404.33"/>
    <n v="0.10299999999999999"/>
    <n v="0.10299999999999999"/>
    <n v="11"/>
    <n v="13856.52411"/>
    <n v="13301.42"/>
    <n v="555.10411000000022"/>
    <n v="4.0060848275751328E-2"/>
    <n v="532.66700000000003"/>
    <n v="1025.2280000000001"/>
    <s v="High"/>
  </r>
  <r>
    <s v="ORD-2025-262434"/>
    <x v="111"/>
    <x v="16"/>
    <s v="Q2-2025"/>
    <x v="451"/>
    <d v="2025-06-21T00:00:00"/>
    <n v="2"/>
    <n v="1"/>
    <n v="1"/>
    <x v="0"/>
    <x v="11"/>
    <x v="20"/>
    <s v="Small Business"/>
    <m/>
    <s v="H. Kim"/>
    <x v="3"/>
    <x v="604"/>
    <n v="1466.27"/>
    <n v="3589.89"/>
    <n v="9.7000000000000003E-2"/>
    <n v="9.7000000000000003E-2"/>
    <n v="9"/>
    <n v="29175.036029999999"/>
    <n v="13196.43"/>
    <n v="15978.606029999999"/>
    <n v="0.54768076425234147"/>
    <n v="532.66700000000003"/>
    <n v="1025.2280000000001"/>
    <s v="High"/>
  </r>
  <r>
    <s v="ORD-2024-266562"/>
    <x v="461"/>
    <x v="18"/>
    <s v="Q4-2024"/>
    <x v="452"/>
    <d v="2024-12-24T00:00:00"/>
    <n v="27"/>
    <n v="0"/>
    <n v="0"/>
    <x v="0"/>
    <x v="0"/>
    <x v="13"/>
    <s v="Corporate"/>
    <s v="Distributor"/>
    <s v="B. Chen"/>
    <x v="1"/>
    <x v="605"/>
    <n v="143.33000000000001"/>
    <n v="233.51"/>
    <n v="0.16300000000000001"/>
    <n v="0.16300000000000001"/>
    <n v="14"/>
    <n v="2736.27018"/>
    <n v="2006.6200000000001"/>
    <n v="729.65017999999986"/>
    <n v="0.26665867476580835"/>
    <n v="532.66700000000003"/>
    <n v="1025.2280000000001"/>
    <s v="High"/>
  </r>
  <r>
    <s v="ORD-2024-838925"/>
    <x v="10"/>
    <x v="9"/>
    <s v="Q1-2024"/>
    <x v="242"/>
    <d v="2024-01-31T00:00:00"/>
    <n v="3"/>
    <n v="1"/>
    <n v="1"/>
    <x v="0"/>
    <x v="11"/>
    <x v="33"/>
    <s v="Enterprise"/>
    <s v="Direct"/>
    <s v="O. Wang"/>
    <x v="0"/>
    <x v="606"/>
    <n v="109.75"/>
    <n v="124.25"/>
    <n v="0.12"/>
    <n v="0.12"/>
    <n v="19"/>
    <n v="2077.46"/>
    <n v="2085.25"/>
    <n v="-7.7899999999999636"/>
    <n v="-3.7497713554051405E-3"/>
    <n v="532.66700000000003"/>
    <n v="1025.2280000000001"/>
    <s v="High"/>
  </r>
  <r>
    <s v="ORD-2023-664790"/>
    <x v="386"/>
    <x v="12"/>
    <s v="Q2-2023"/>
    <x v="453"/>
    <d v="2023-04-23T00:00:00"/>
    <n v="7"/>
    <n v="1"/>
    <n v="1"/>
    <x v="2"/>
    <x v="10"/>
    <x v="35"/>
    <s v="Corporate"/>
    <s v="Distributor"/>
    <s v="O. Wang"/>
    <x v="1"/>
    <x v="607"/>
    <n v="1099.1500000000001"/>
    <n v="1431.37"/>
    <n v="0.104"/>
    <n v="0.104"/>
    <n v="8"/>
    <n v="10260.060159999999"/>
    <n v="8793.2000000000007"/>
    <n v="1466.8601599999984"/>
    <n v="0.14296798821109433"/>
    <n v="532.66700000000003"/>
    <n v="1025.2280000000001"/>
    <s v="High"/>
  </r>
  <r>
    <s v="ORD-2024-331408"/>
    <x v="145"/>
    <x v="31"/>
    <s v="Q1-2024"/>
    <x v="454"/>
    <d v="2024-02-01T00:00:00"/>
    <n v="0"/>
    <n v="1"/>
    <n v="1"/>
    <x v="2"/>
    <x v="10"/>
    <x v="35"/>
    <s v="Consumer"/>
    <s v="Distributor"/>
    <s v="H. Kim"/>
    <x v="1"/>
    <x v="608"/>
    <n v="714.43"/>
    <n v="1595.52"/>
    <n v="0.19400000000000001"/>
    <n v="0.19400000000000001"/>
    <n v="14"/>
    <n v="18003.847679999999"/>
    <n v="10002.019999999999"/>
    <n v="8001.8276800000003"/>
    <n v="0.44445097638151093"/>
    <n v="532.66700000000003"/>
    <n v="1025.2280000000001"/>
    <s v="High"/>
  </r>
  <r>
    <s v="ORD-2024-741404"/>
    <x v="462"/>
    <x v="1"/>
    <s v="Q4-2024"/>
    <x v="49"/>
    <d v="2024-11-06T00:00:00"/>
    <n v="18"/>
    <n v="0"/>
    <n v="0"/>
    <x v="2"/>
    <x v="10"/>
    <x v="15"/>
    <s v="Education"/>
    <m/>
    <s v="C. Otieno"/>
    <x v="5"/>
    <x v="609"/>
    <n v="942.02"/>
    <n v="1028.46"/>
    <n v="0"/>
    <n v="0"/>
    <n v="9"/>
    <n v="9256.14"/>
    <n v="8478.18"/>
    <n v="777.95999999999913"/>
    <n v="8.4047994088248354E-2"/>
    <n v="532.66700000000003"/>
    <n v="1025.2280000000001"/>
    <s v="High"/>
  </r>
  <r>
    <s v="ORD-2024-341535"/>
    <x v="463"/>
    <x v="17"/>
    <s v="Q2-2024"/>
    <x v="455"/>
    <d v="2024-06-30T00:00:00"/>
    <n v="5"/>
    <n v="1"/>
    <n v="1"/>
    <x v="0"/>
    <x v="0"/>
    <x v="0"/>
    <s v="Education"/>
    <s v="Direct"/>
    <s v="M. Rossi"/>
    <x v="2"/>
    <x v="610"/>
    <n v="1323.55"/>
    <n v="3230.35"/>
    <n v="2.1999999999999999E-2"/>
    <n v="2.1999999999999999E-2"/>
    <n v="26"/>
    <n v="82141.339799999987"/>
    <n v="34412.299999999996"/>
    <n v="47729.039799999991"/>
    <n v="0.58105991351263542"/>
    <n v="532.66700000000003"/>
    <n v="1025.2280000000001"/>
    <s v="High"/>
  </r>
  <r>
    <s v="ORD-2023-451931"/>
    <x v="202"/>
    <x v="24"/>
    <s v="Q3-2023"/>
    <x v="288"/>
    <d v="2023-08-19T00:00:00"/>
    <n v="20"/>
    <n v="0"/>
    <n v="0"/>
    <x v="3"/>
    <x v="7"/>
    <x v="28"/>
    <s v="Enterprise"/>
    <s v="Marketplace"/>
    <s v="G. Dubois"/>
    <x v="2"/>
    <x v="611"/>
    <n v="1418.51"/>
    <n v="2789.61"/>
    <n v="0.17100000000000001"/>
    <n v="0.17100000000000001"/>
    <n v="8"/>
    <n v="18500.693520000001"/>
    <n v="11348.08"/>
    <n v="7152.6135200000008"/>
    <n v="0.38661326464695689"/>
    <n v="532.66700000000003"/>
    <n v="1025.2280000000001"/>
    <s v="High"/>
  </r>
  <r>
    <s v="ORD-2025-532859"/>
    <x v="417"/>
    <x v="3"/>
    <s v="Q1-2025"/>
    <x v="398"/>
    <d v="2025-03-27T00:00:00"/>
    <n v="16"/>
    <n v="0"/>
    <n v="0"/>
    <x v="1"/>
    <x v="2"/>
    <x v="27"/>
    <s v="Enterprise"/>
    <s v="Distributor"/>
    <s v="B. Chen"/>
    <x v="1"/>
    <x v="612"/>
    <n v="1317.58"/>
    <n v="1897.74"/>
    <n v="8.1000000000000003E-2"/>
    <n v="8.1000000000000003E-2"/>
    <n v="6"/>
    <n v="10464.138360000001"/>
    <n v="7905.48"/>
    <n v="2558.6583600000013"/>
    <n v="0.24451687009230266"/>
    <n v="532.66700000000003"/>
    <n v="1025.2280000000001"/>
    <s v="High"/>
  </r>
  <r>
    <s v="ORD-2023-502205"/>
    <x v="326"/>
    <x v="32"/>
    <s v="Q4-2023"/>
    <x v="456"/>
    <d v="2023-10-11T00:00:00"/>
    <n v="2"/>
    <n v="1"/>
    <n v="1"/>
    <x v="0"/>
    <x v="1"/>
    <x v="1"/>
    <s v="Education"/>
    <s v="Marketplace"/>
    <s v="K. Singh"/>
    <x v="2"/>
    <x v="613"/>
    <n v="391.16"/>
    <n v="902.47"/>
    <n v="4.0000000000000001E-3"/>
    <n v="4.0000000000000001E-3"/>
    <n v="12"/>
    <n v="10786.32144"/>
    <n v="4693.92"/>
    <n v="6092.4014399999996"/>
    <n v="0.56482661618139207"/>
    <n v="532.66700000000003"/>
    <n v="1025.2280000000001"/>
    <s v="High"/>
  </r>
  <r>
    <s v="ORD-2024-930679"/>
    <x v="55"/>
    <x v="6"/>
    <s v="Q4-2024"/>
    <x v="457"/>
    <d v="2025-01-16T00:00:00"/>
    <n v="30"/>
    <n v="0"/>
    <n v="0"/>
    <x v="3"/>
    <x v="8"/>
    <x v="31"/>
    <s v="Corporate"/>
    <s v="Retail"/>
    <s v="D. Smith"/>
    <x v="5"/>
    <x v="614"/>
    <n v="722.87"/>
    <n v="33.659999999999997"/>
    <n v="0.10199999999999999"/>
    <n v="0.10199999999999999"/>
    <n v="28"/>
    <n v="846.34703999999988"/>
    <n v="20240.36"/>
    <n v="-19394.01296"/>
    <n v="-22.914965189693348"/>
    <n v="532.66700000000003"/>
    <n v="1025.2280000000001"/>
    <s v="Medium"/>
  </r>
  <r>
    <s v="ORD-2025-150713"/>
    <x v="444"/>
    <x v="13"/>
    <s v="Q3-2025"/>
    <x v="458"/>
    <d v="2025-07-16T00:00:00"/>
    <n v="5"/>
    <n v="1"/>
    <n v="1"/>
    <x v="3"/>
    <x v="8"/>
    <x v="21"/>
    <s v="Enterprise"/>
    <s v="Online"/>
    <s v="K. Singh"/>
    <x v="1"/>
    <x v="615"/>
    <n v="930.03"/>
    <n v="1086.68"/>
    <n v="0.109"/>
    <n v="0.109"/>
    <n v="26"/>
    <n v="25174.028880000002"/>
    <n v="24180.78"/>
    <n v="993.24888000000283"/>
    <n v="3.9455300728168656E-2"/>
    <n v="532.66700000000003"/>
    <n v="1025.2280000000001"/>
    <s v="High"/>
  </r>
  <r>
    <s v="ORD-2024-756884"/>
    <x v="464"/>
    <x v="1"/>
    <s v="Q4-2024"/>
    <x v="459"/>
    <d v="2024-10-24T00:00:00"/>
    <n v="11"/>
    <n v="0"/>
    <n v="0"/>
    <x v="3"/>
    <x v="7"/>
    <x v="28"/>
    <s v="Education"/>
    <s v="Distributor"/>
    <s v="F. Müller"/>
    <x v="0"/>
    <x v="616"/>
    <n v="816.7"/>
    <n v="1010.75"/>
    <n v="4.7E-2"/>
    <n v="4.7E-2"/>
    <n v="43"/>
    <n v="41419.524249999995"/>
    <n v="35118.1"/>
    <n v="6301.4242499999964"/>
    <n v="0.15213656757537472"/>
    <n v="532.66700000000003"/>
    <n v="1025.2280000000001"/>
    <s v="High"/>
  </r>
  <r>
    <s v="ORD-2023-755337"/>
    <x v="428"/>
    <x v="27"/>
    <s v="Q3-2023"/>
    <x v="460"/>
    <d v="2023-09-14T00:00:00"/>
    <n v="6"/>
    <n v="1"/>
    <n v="1"/>
    <x v="0"/>
    <x v="0"/>
    <x v="16"/>
    <s v="Education"/>
    <s v="Direct"/>
    <s v="I. Johnson"/>
    <x v="6"/>
    <x v="617"/>
    <n v="251.03"/>
    <n v="411.48"/>
    <n v="0.16500000000000001"/>
    <n v="0.16500000000000001"/>
    <n v="3"/>
    <n v="1030.7574"/>
    <n v="753.09"/>
    <n v="277.66739999999993"/>
    <n v="0.26938191275658069"/>
    <n v="532.66700000000003"/>
    <n v="1025.2280000000001"/>
    <s v="High"/>
  </r>
  <r>
    <s v="ORD-2025-907040"/>
    <x v="448"/>
    <x v="19"/>
    <s v="Q2-2025"/>
    <x v="461"/>
    <d v="2025-05-03T00:00:00"/>
    <n v="16"/>
    <n v="0"/>
    <n v="0"/>
    <x v="2"/>
    <x v="5"/>
    <x v="30"/>
    <s v="Consumer"/>
    <s v="Marketplace"/>
    <s v="J. Njeri"/>
    <x v="2"/>
    <x v="618"/>
    <n v="168.68"/>
    <n v="413.34"/>
    <n v="0.186"/>
    <n v="0.186"/>
    <n v="7"/>
    <n v="2355.2113199999999"/>
    <n v="1180.76"/>
    <n v="1174.4513199999999"/>
    <n v="0.49866069767361682"/>
    <n v="532.66700000000003"/>
    <n v="1025.2280000000001"/>
    <s v="High"/>
  </r>
  <r>
    <s v="ORD-2024-817997"/>
    <x v="465"/>
    <x v="14"/>
    <s v="Q3-2024"/>
    <x v="462"/>
    <d v="2024-08-23T00:00:00"/>
    <n v="26"/>
    <n v="0"/>
    <n v="0"/>
    <x v="1"/>
    <x v="4"/>
    <x v="34"/>
    <s v="Corporate"/>
    <s v="Retail"/>
    <s v="J. Njeri"/>
    <x v="2"/>
    <x v="619"/>
    <n v="1339.24"/>
    <n v="1558.89"/>
    <n v="0.192"/>
    <n v="0.192"/>
    <n v="24"/>
    <n v="30229.994880000002"/>
    <n v="32141.760000000002"/>
    <n v="-1911.76512"/>
    <n v="-6.3240669659021781E-2"/>
    <n v="532.66700000000003"/>
    <n v="1025.2280000000001"/>
    <s v="High"/>
  </r>
  <r>
    <s v="ORD-2025-649633"/>
    <x v="466"/>
    <x v="13"/>
    <s v="Q3-2025"/>
    <x v="463"/>
    <d v="2025-07-31T00:00:00"/>
    <n v="12"/>
    <n v="0"/>
    <n v="0"/>
    <x v="0"/>
    <x v="0"/>
    <x v="2"/>
    <s v="Small Business"/>
    <s v="Marketplace"/>
    <s v="O. Wang"/>
    <x v="6"/>
    <x v="620"/>
    <n v="619.64"/>
    <n v="861.16"/>
    <n v="0.113"/>
    <n v="0.113"/>
    <n v="14"/>
    <n v="10693.88488"/>
    <n v="8674.9599999999991"/>
    <n v="2018.9248800000005"/>
    <n v="0.18879246435276761"/>
    <n v="532.66700000000003"/>
    <n v="1025.2280000000001"/>
    <s v="High"/>
  </r>
  <r>
    <s v="ORD-2023-885216"/>
    <x v="241"/>
    <x v="25"/>
    <s v="Q3-2023"/>
    <x v="464"/>
    <d v="2023-08-06T00:00:00"/>
    <n v="3"/>
    <n v="1"/>
    <n v="1"/>
    <x v="1"/>
    <x v="9"/>
    <x v="23"/>
    <s v="Non-Profit"/>
    <s v="Direct"/>
    <s v="J. Njeri"/>
    <x v="2"/>
    <x v="621"/>
    <n v="1021.97"/>
    <n v="2296.25"/>
    <n v="0.161"/>
    <n v="0.161"/>
    <n v="26"/>
    <n v="50090.397499999999"/>
    <n v="26571.22"/>
    <n v="23519.177499999998"/>
    <n v="0.46953465482081669"/>
    <n v="532.66700000000003"/>
    <n v="1025.2280000000001"/>
    <s v="High"/>
  </r>
  <r>
    <s v="ORD-2023-561823"/>
    <x v="112"/>
    <x v="30"/>
    <s v="Q4-2023"/>
    <x v="369"/>
    <d v="2023-12-12T00:00:00"/>
    <n v="23"/>
    <n v="0"/>
    <n v="0"/>
    <x v="1"/>
    <x v="4"/>
    <x v="18"/>
    <s v="Small Business"/>
    <s v="Direct"/>
    <s v="C. Otieno"/>
    <x v="2"/>
    <x v="622"/>
    <n v="1349.04"/>
    <n v="2636.6"/>
    <n v="0.114"/>
    <n v="0.114"/>
    <n v="14"/>
    <n v="32704.386400000003"/>
    <n v="18886.559999999998"/>
    <n v="13817.826400000005"/>
    <n v="0.42250682312143928"/>
    <n v="532.66700000000003"/>
    <n v="1025.2280000000001"/>
    <s v="High"/>
  </r>
  <r>
    <s v="ORD-2023-249805"/>
    <x v="81"/>
    <x v="4"/>
    <s v="Q4-2023"/>
    <x v="465"/>
    <d v="2024-01-16T00:00:00"/>
    <n v="25"/>
    <n v="0"/>
    <n v="0"/>
    <x v="1"/>
    <x v="4"/>
    <x v="34"/>
    <s v="Small Business"/>
    <s v="Retail"/>
    <s v="A. Patel"/>
    <x v="0"/>
    <x v="623"/>
    <n v="1346.81"/>
    <n v="978.09"/>
    <n v="0.159"/>
    <n v="0.159"/>
    <n v="17"/>
    <n v="13983.752729999998"/>
    <n v="22895.77"/>
    <n v="-8912.0172700000021"/>
    <n v="-0.6373122753293996"/>
    <n v="532.66700000000003"/>
    <n v="1025.2280000000001"/>
    <s v="High"/>
  </r>
  <r>
    <s v="ORD-2023-548934"/>
    <x v="241"/>
    <x v="25"/>
    <s v="Q3-2023"/>
    <x v="466"/>
    <d v="2023-08-30T00:00:00"/>
    <n v="27"/>
    <n v="0"/>
    <n v="0"/>
    <x v="1"/>
    <x v="9"/>
    <x v="23"/>
    <s v="Consumer"/>
    <s v="Distributor"/>
    <s v="N. Brown"/>
    <x v="5"/>
    <x v="624"/>
    <n v="226.04"/>
    <n v="545.72"/>
    <n v="0.151"/>
    <n v="0.151"/>
    <n v="11"/>
    <n v="5096.4790800000001"/>
    <n v="2486.44"/>
    <n v="2610.03908"/>
    <n v="0.51212592831834014"/>
    <n v="532.66700000000003"/>
    <n v="1025.2280000000001"/>
    <s v="High"/>
  </r>
  <r>
    <s v="ORD-2023-921939"/>
    <x v="44"/>
    <x v="23"/>
    <s v="Q2-2023"/>
    <x v="467"/>
    <d v="2023-07-18T00:00:00"/>
    <n v="25"/>
    <n v="0"/>
    <n v="0"/>
    <x v="2"/>
    <x v="3"/>
    <x v="26"/>
    <s v="Enterprise"/>
    <s v="Online"/>
    <s v="N. Brown"/>
    <x v="3"/>
    <x v="625"/>
    <n v="807.02"/>
    <n v="1435.54"/>
    <n v="0"/>
    <n v="0"/>
    <n v="23"/>
    <n v="33017.42"/>
    <n v="18561.46"/>
    <n v="14455.96"/>
    <n v="0.43782827368098415"/>
    <n v="532.66700000000003"/>
    <n v="1025.2280000000001"/>
    <s v="High"/>
  </r>
  <r>
    <s v="ORD-2023-961864"/>
    <x v="141"/>
    <x v="4"/>
    <s v="Q4-2023"/>
    <x v="436"/>
    <d v="2024-01-02T00:00:00"/>
    <n v="26"/>
    <n v="0"/>
    <n v="0"/>
    <x v="3"/>
    <x v="6"/>
    <x v="36"/>
    <s v="Enterprise"/>
    <s v="Distributor"/>
    <s v="E. Garcia"/>
    <x v="0"/>
    <x v="626"/>
    <n v="1071.99"/>
    <n v="2397.3000000000002"/>
    <n v="6.2E-2"/>
    <n v="6.2E-2"/>
    <n v="18"/>
    <n v="40476.013200000001"/>
    <n v="19295.82"/>
    <n v="21180.193200000002"/>
    <n v="0.52327765324476183"/>
    <n v="532.66700000000003"/>
    <n v="1025.2280000000001"/>
    <s v="High"/>
  </r>
  <r>
    <s v="ORD-2023-455933"/>
    <x v="112"/>
    <x v="30"/>
    <s v="Q4-2023"/>
    <x v="336"/>
    <d v="2023-12-19T00:00:00"/>
    <n v="30"/>
    <n v="0"/>
    <n v="0"/>
    <x v="1"/>
    <x v="2"/>
    <x v="32"/>
    <s v="Consumer"/>
    <s v="Retail"/>
    <s v="Unassigned"/>
    <x v="3"/>
    <x v="627"/>
    <n v="807.11"/>
    <n v="1853.86"/>
    <n v="0.13900000000000001"/>
    <n v="0.13900000000000001"/>
    <n v="8"/>
    <n v="12769.38768"/>
    <n v="6456.88"/>
    <n v="6312.5076799999997"/>
    <n v="0.49434693645388639"/>
    <n v="532.66700000000003"/>
    <n v="1025.2280000000001"/>
    <s v="High"/>
  </r>
  <r>
    <s v="ORD-2025-728935"/>
    <x v="467"/>
    <x v="26"/>
    <s v="Q1-2025"/>
    <x v="468"/>
    <d v="2025-03-10T00:00:00"/>
    <n v="10"/>
    <n v="0"/>
    <n v="0"/>
    <x v="1"/>
    <x v="2"/>
    <x v="4"/>
    <s v="Education"/>
    <s v="Distributor"/>
    <s v="N. Brown"/>
    <x v="4"/>
    <x v="628"/>
    <n v="51.86"/>
    <n v="45.98"/>
    <n v="0.17299999999999999"/>
    <n v="0.17299999999999999"/>
    <n v="7"/>
    <n v="266.17821999999995"/>
    <n v="363.02"/>
    <n v="-96.841780000000028"/>
    <n v="-0.3638230806412337"/>
    <n v="532.66700000000003"/>
    <n v="1025.2280000000001"/>
    <s v="L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s v="ORD-2024-275203"/>
    <x v="0"/>
    <x v="0"/>
    <d v="2023-01-01T00:00:00"/>
    <m/>
    <s v="Q1-2024"/>
    <d v="2024-04-06T00:00:00"/>
    <d v="2024-04-06T00:00:00"/>
    <n v="26"/>
    <n v="0"/>
    <n v="0"/>
    <x v="0"/>
    <x v="0"/>
    <s v="Kisumu"/>
    <s v="Corporate"/>
    <x v="0"/>
    <x v="0"/>
    <x v="0"/>
    <x v="0"/>
    <n v="279.24"/>
    <n v="608.9"/>
    <n v="0.112"/>
    <n v="0.112"/>
    <n v="0"/>
    <n v="9"/>
    <n v="4866.3287999999993"/>
    <n v="2513.16"/>
    <n v="2353.1687999999995"/>
    <n v="0.48356140670149533"/>
    <e v="#NUM!"/>
    <e v="#NUM!"/>
    <e v="#NUM!"/>
  </r>
  <r>
    <s v="ORD-2024-358795"/>
    <x v="1"/>
    <x v="1"/>
    <d v="2023-01-01T00:00:00"/>
    <m/>
    <s v="Q4-2024"/>
    <d v="2024-10-22T00:00:00"/>
    <d v="2024-10-26T00:00:00"/>
    <n v="3"/>
    <n v="1"/>
    <n v="1"/>
    <x v="0"/>
    <x v="1"/>
    <s v="Port Harcourt"/>
    <s v="Education"/>
    <x v="1"/>
    <x v="1"/>
    <x v="1"/>
    <x v="1"/>
    <n v="1084.3900000000001"/>
    <n v="759.33"/>
    <n v="0.23699999999999999"/>
    <n v="0.23699999999999999"/>
    <n v="1"/>
    <n v="31"/>
    <n v="17960.432489999999"/>
    <n v="33616.090000000004"/>
    <n v="-15655.657510000005"/>
    <n v="-0.87167486187856302"/>
    <e v="#NUM!"/>
    <e v="#NUM!"/>
    <e v="#NUM!"/>
  </r>
  <r>
    <s v="ORD-2023-373538"/>
    <x v="2"/>
    <x v="2"/>
    <d v="2023-01-01T00:00:00"/>
    <m/>
    <s v="Q1-2023"/>
    <d v="2023-03-25T00:00:00"/>
    <d v="2023-03-25T00:00:00"/>
    <n v="25"/>
    <n v="0"/>
    <n v="0"/>
    <x v="0"/>
    <x v="0"/>
    <s v="Nairobi"/>
    <s v="Corporate"/>
    <x v="0"/>
    <x v="2"/>
    <x v="2"/>
    <x v="2"/>
    <n v="1460.76"/>
    <n v="30.66"/>
    <n v="0.13100000000000001"/>
    <n v="0.13100000000000001"/>
    <n v="0"/>
    <n v="12"/>
    <n v="319.72248000000002"/>
    <n v="17529.12"/>
    <n v="-17209.397519999999"/>
    <n v="-53.826047890032626"/>
    <e v="#NUM!"/>
    <e v="#NUM!"/>
    <e v="#NUM!"/>
  </r>
  <r>
    <s v="ORD-2025-168148"/>
    <x v="3"/>
    <x v="3"/>
    <d v="2023-01-01T00:00:00"/>
    <m/>
    <s v="Q1-2025"/>
    <d v="2025-04-02T00:00:00"/>
    <d v="2025-04-02T00:00:00"/>
    <n v="4"/>
    <n v="1"/>
    <n v="1"/>
    <x v="0"/>
    <x v="1"/>
    <s v="Lagos"/>
    <s v="Non-Profit"/>
    <x v="2"/>
    <x v="3"/>
    <x v="3"/>
    <x v="3"/>
    <n v="259.93"/>
    <n v="255.94"/>
    <n v="7.1999999999999995E-2"/>
    <n v="7.1999999999999995E-2"/>
    <n v="0"/>
    <n v="22"/>
    <n v="5225.2710400000005"/>
    <n v="5718.46"/>
    <n v="-493.1889599999995"/>
    <n v="-9.4385335463861311E-2"/>
    <e v="#NUM!"/>
    <e v="#NUM!"/>
    <e v="#NUM!"/>
  </r>
  <r>
    <s v="ORD-2023-824839"/>
    <x v="4"/>
    <x v="4"/>
    <d v="2023-03-01T00:00:00"/>
    <m/>
    <s v="Q4-2023"/>
    <d v="2023-12-31T00:00:00"/>
    <d v="2023-12-31T00:00:00"/>
    <n v="25"/>
    <n v="0"/>
    <n v="0"/>
    <x v="1"/>
    <x v="2"/>
    <s v="Osaka"/>
    <s v="Consumer"/>
    <x v="0"/>
    <x v="4"/>
    <x v="1"/>
    <x v="4"/>
    <n v="663.03"/>
    <n v="813.51"/>
    <n v="0.10199999999999999"/>
    <n v="0.10199999999999999"/>
    <n v="0"/>
    <n v="15"/>
    <n v="10957.9797"/>
    <n v="9945.4499999999989"/>
    <n v="1012.529700000001"/>
    <n v="9.2401129379715952E-2"/>
    <e v="#NUM!"/>
    <e v="#NUM!"/>
    <e v="#NUM!"/>
  </r>
  <r>
    <s v="ORD-2023-723587"/>
    <x v="5"/>
    <x v="5"/>
    <d v="2023-01-01T00:00:00"/>
    <m/>
    <s v="Q1-2023"/>
    <d v="2023-01-05T00:00:00"/>
    <d v="2023-01-05T00:00:00"/>
    <n v="3"/>
    <n v="1"/>
    <n v="1"/>
    <x v="2"/>
    <x v="3"/>
    <s v="Toronto"/>
    <s v="Corporate"/>
    <x v="3"/>
    <x v="5"/>
    <x v="4"/>
    <x v="5"/>
    <n v="315.87"/>
    <n v="591.67999999999995"/>
    <n v="0"/>
    <n v="0"/>
    <n v="0"/>
    <n v="7"/>
    <n v="4141.7599999999993"/>
    <n v="2211.09"/>
    <n v="1930.6699999999992"/>
    <n v="0.46614724175229844"/>
    <e v="#NUM!"/>
    <e v="#NUM!"/>
    <e v="#NUM!"/>
  </r>
  <r>
    <s v="ORD-2024-336584"/>
    <x v="6"/>
    <x v="6"/>
    <d v="2023-02-01T00:00:00"/>
    <m/>
    <s v="Q4-2024"/>
    <d v="2025-01-14T00:00:00"/>
    <d v="2025-01-14T00:00:00"/>
    <n v="18"/>
    <n v="0"/>
    <n v="0"/>
    <x v="1"/>
    <x v="4"/>
    <s v="Bengaluru"/>
    <s v="Small Business"/>
    <x v="2"/>
    <x v="6"/>
    <x v="5"/>
    <x v="6"/>
    <n v="586.07000000000005"/>
    <n v="845.97"/>
    <n v="0.14699999999999999"/>
    <n v="0.14699999999999999"/>
    <n v="0"/>
    <n v="4"/>
    <n v="2886.4496399999998"/>
    <n v="2344.2800000000002"/>
    <n v="542.16963999999962"/>
    <n v="0.18783270370862928"/>
    <e v="#NUM!"/>
    <e v="#NUM!"/>
    <e v="#NUM!"/>
  </r>
  <r>
    <s v="ORD-2023-112666"/>
    <x v="7"/>
    <x v="5"/>
    <d v="2023-01-01T00:00:00"/>
    <m/>
    <s v="Q1-2023"/>
    <d v="2023-01-13T00:00:00"/>
    <d v="2023-01-18T00:00:00"/>
    <n v="3"/>
    <n v="1"/>
    <n v="1"/>
    <x v="0"/>
    <x v="1"/>
    <s v="Abuja"/>
    <s v="Education"/>
    <x v="1"/>
    <x v="7"/>
    <x v="1"/>
    <x v="7"/>
    <n v="28.38"/>
    <n v="47.22"/>
    <n v="0.19400000000000001"/>
    <n v="0.19400000000000001"/>
    <n v="0"/>
    <n v="18"/>
    <n v="685.06776000000002"/>
    <n v="510.84"/>
    <n v="174.22776000000005"/>
    <n v="0.25432193743871417"/>
    <e v="#NUM!"/>
    <e v="#NUM!"/>
    <e v="#NUM!"/>
  </r>
  <r>
    <s v="ORD-2024-589570"/>
    <x v="8"/>
    <x v="7"/>
    <d v="2023-02-01T00:00:00"/>
    <m/>
    <s v="Q2-2024"/>
    <d v="2024-05-29T00:00:00"/>
    <d v="2024-05-29T00:00:00"/>
    <n v="25"/>
    <n v="0"/>
    <n v="0"/>
    <x v="0"/>
    <x v="1"/>
    <s v="Abuja"/>
    <s v="Non-Profit"/>
    <x v="2"/>
    <x v="7"/>
    <x v="5"/>
    <x v="8"/>
    <n v="1295.3399999999999"/>
    <n v="2530.81"/>
    <n v="3.1E-2"/>
    <n v="3.1E-2"/>
    <n v="0"/>
    <n v="6"/>
    <n v="14714.12934"/>
    <n v="7772.0399999999991"/>
    <n v="6942.0893400000004"/>
    <n v="0.4717974933880798"/>
    <e v="#NUM!"/>
    <e v="#NUM!"/>
    <e v="#NUM!"/>
  </r>
  <r>
    <s v="ORD-2025-997421"/>
    <x v="9"/>
    <x v="8"/>
    <d v="2023-01-01T00:00:00"/>
    <m/>
    <s v="Q2-2025"/>
    <d v="2025-06-09T00:00:00"/>
    <d v="2025-06-09T00:00:00"/>
    <n v="19"/>
    <n v="0"/>
    <n v="0"/>
    <x v="2"/>
    <x v="5"/>
    <s v="São Paulo"/>
    <s v="Non-Profit"/>
    <x v="1"/>
    <x v="8"/>
    <x v="0"/>
    <x v="9"/>
    <n v="1331.38"/>
    <n v="2309.56"/>
    <n v="0.14899999999999999"/>
    <n v="0.14899999999999999"/>
    <n v="0"/>
    <n v="31"/>
    <n v="60928.502359999999"/>
    <n v="41272.780000000006"/>
    <n v="19655.722359999992"/>
    <n v="0.32260307735553528"/>
    <e v="#NUM!"/>
    <e v="#NUM!"/>
    <e v="#NUM!"/>
  </r>
  <r>
    <s v="ORD-2024-210687"/>
    <x v="10"/>
    <x v="9"/>
    <d v="2023-01-01T00:00:00"/>
    <m/>
    <s v="Q1-2024"/>
    <d v="2024-02-09T00:00:00"/>
    <d v="2024-02-09T00:00:00"/>
    <n v="12"/>
    <n v="0"/>
    <n v="0"/>
    <x v="3"/>
    <x v="6"/>
    <s v="Berlin"/>
    <s v="Corporate"/>
    <x v="1"/>
    <x v="3"/>
    <x v="6"/>
    <x v="10"/>
    <n v="644.16999999999996"/>
    <n v="700.12"/>
    <n v="6.0000000000000001E-3"/>
    <n v="6.0000000000000001E-3"/>
    <n v="0"/>
    <n v="23"/>
    <n v="16006.14344"/>
    <n v="14815.91"/>
    <n v="1190.23344"/>
    <n v="7.436103796405813E-2"/>
    <e v="#NUM!"/>
    <e v="#NUM!"/>
    <e v="#NUM!"/>
  </r>
  <r>
    <s v="ORD-2025-515515"/>
    <x v="11"/>
    <x v="10"/>
    <d v="2023-03-01T00:00:00"/>
    <m/>
    <s v="Q1-2025"/>
    <d v="2025-01-23T00:00:00"/>
    <d v="2025-01-23T00:00:00"/>
    <n v="20"/>
    <n v="0"/>
    <n v="0"/>
    <x v="1"/>
    <x v="2"/>
    <s v="Osaka"/>
    <s v="Corporate"/>
    <x v="3"/>
    <x v="9"/>
    <x v="3"/>
    <x v="11"/>
    <n v="908.6"/>
    <n v="691.37"/>
    <n v="0.25"/>
    <n v="0.25"/>
    <n v="1"/>
    <n v="20"/>
    <n v="10370.549999999999"/>
    <n v="18172"/>
    <n v="-7801.4500000000007"/>
    <n v="-0.75226964818645115"/>
    <e v="#NUM!"/>
    <e v="#NUM!"/>
    <e v="#NUM!"/>
  </r>
  <r>
    <s v="ORD-2025-487261"/>
    <x v="12"/>
    <x v="3"/>
    <d v="2023-01-01T00:00:00"/>
    <m/>
    <s v="Q1-2025"/>
    <d v="2025-03-31T00:00:00"/>
    <d v="2025-03-31T00:00:00"/>
    <n v="25"/>
    <n v="0"/>
    <n v="0"/>
    <x v="2"/>
    <x v="5"/>
    <s v="Brasília"/>
    <s v="Non-Profit"/>
    <x v="1"/>
    <x v="1"/>
    <x v="0"/>
    <x v="12"/>
    <n v="331.57"/>
    <n v="548.4"/>
    <n v="9.4E-2"/>
    <n v="9.4E-2"/>
    <n v="0"/>
    <n v="10"/>
    <n v="4968.5039999999999"/>
    <n v="3315.7"/>
    <n v="1652.8040000000001"/>
    <n v="0.33265626836568918"/>
    <e v="#NUM!"/>
    <e v="#NUM!"/>
    <e v="#NUM!"/>
  </r>
  <r>
    <s v="ORD-2024-890180"/>
    <x v="13"/>
    <x v="9"/>
    <d v="2023-01-01T00:00:00"/>
    <m/>
    <s v="Q1-2024"/>
    <d v="2024-02-13T00:00:00"/>
    <d v="2024-02-13T00:00:00"/>
    <n v="24"/>
    <n v="0"/>
    <n v="0"/>
    <x v="3"/>
    <x v="7"/>
    <s v="Marseille"/>
    <s v="Corporate"/>
    <x v="0"/>
    <x v="10"/>
    <x v="1"/>
    <x v="13"/>
    <n v="643.53"/>
    <n v="1439.01"/>
    <n v="0"/>
    <n v="0"/>
    <n v="0"/>
    <n v="15"/>
    <n v="21585.15"/>
    <n v="9652.9499999999989"/>
    <n v="11932.200000000003"/>
    <n v="0.55279671440782208"/>
    <e v="#NUM!"/>
    <e v="#NUM!"/>
    <e v="#NUM!"/>
  </r>
  <r>
    <s v="ORD-2025-840976"/>
    <x v="14"/>
    <x v="11"/>
    <d v="2023-01-01T00:00:00"/>
    <m/>
    <s v="Q3-2025"/>
    <d v="2025-09-30T00:00:00"/>
    <d v="2025-09-30T00:00:00"/>
    <n v="29"/>
    <n v="0"/>
    <n v="0"/>
    <x v="2"/>
    <x v="5"/>
    <s v="Brasília"/>
    <s v="Education"/>
    <x v="0"/>
    <x v="11"/>
    <x v="6"/>
    <x v="14"/>
    <n v="780.59"/>
    <n v="631.57000000000005"/>
    <n v="0"/>
    <n v="0"/>
    <n v="0"/>
    <n v="12"/>
    <n v="7578.84"/>
    <n v="9367.08"/>
    <n v="-1788.2399999999998"/>
    <n v="-0.23595167598207639"/>
    <e v="#NUM!"/>
    <e v="#NUM!"/>
    <e v="#NUM!"/>
  </r>
  <r>
    <s v="ORD-2023-937291"/>
    <x v="15"/>
    <x v="12"/>
    <d v="2023-01-01T00:00:00"/>
    <m/>
    <s v="Q2-2023"/>
    <d v="2023-04-22T00:00:00"/>
    <d v="2023-04-26T00:00:00"/>
    <n v="3"/>
    <n v="1"/>
    <n v="1"/>
    <x v="0"/>
    <x v="0"/>
    <s v="Nairobi"/>
    <s v="Small Business"/>
    <x v="4"/>
    <x v="6"/>
    <x v="4"/>
    <x v="15"/>
    <n v="756.51"/>
    <n v="850.8"/>
    <n v="7.3999999999999996E-2"/>
    <n v="7.3999999999999996E-2"/>
    <n v="0"/>
    <n v="9"/>
    <n v="7090.5672000000004"/>
    <n v="6808.59"/>
    <n v="281.97720000000027"/>
    <n v="3.9767932810791252E-2"/>
    <e v="#NUM!"/>
    <e v="#NUM!"/>
    <e v="#NUM!"/>
  </r>
  <r>
    <s v="ORD-2024-206081"/>
    <x v="16"/>
    <x v="6"/>
    <d v="2023-01-01T00:00:00"/>
    <m/>
    <s v="Q4-2024"/>
    <d v="2025-01-08T00:00:00"/>
    <d v="2025-01-08T00:00:00"/>
    <n v="29"/>
    <n v="0"/>
    <n v="0"/>
    <x v="3"/>
    <x v="7"/>
    <s v="Marseille"/>
    <s v="Small Business"/>
    <x v="0"/>
    <x v="11"/>
    <x v="1"/>
    <x v="16"/>
    <n v="891.08"/>
    <n v="1040.0999999999999"/>
    <n v="0.109"/>
    <n v="0.109"/>
    <n v="0"/>
    <n v="28"/>
    <n v="25948.414799999995"/>
    <n v="24950.240000000002"/>
    <n v="998.17479999999341"/>
    <n v="3.8467660074556598E-2"/>
    <e v="#NUM!"/>
    <e v="#NUM!"/>
    <e v="#NUM!"/>
  </r>
  <r>
    <s v="ORD-2025-233883"/>
    <x v="17"/>
    <x v="11"/>
    <d v="2023-03-01T00:00:00"/>
    <m/>
    <s v="Q3-2025"/>
    <d v="2025-09-16T00:00:00"/>
    <d v="2025-09-16T00:00:00"/>
    <n v="8"/>
    <n v="0"/>
    <n v="0"/>
    <x v="1"/>
    <x v="2"/>
    <s v="Osaka"/>
    <s v="Corporate"/>
    <x v="3"/>
    <x v="0"/>
    <x v="3"/>
    <x v="17"/>
    <n v="1225.57"/>
    <n v="2705.57"/>
    <n v="0.183"/>
    <n v="0.183"/>
    <n v="0"/>
    <n v="16"/>
    <n v="35367.211040000002"/>
    <n v="19609.12"/>
    <n v="15758.091040000003"/>
    <n v="0.44555650775453404"/>
    <e v="#NUM!"/>
    <e v="#NUM!"/>
    <e v="#NUM!"/>
  </r>
  <r>
    <s v="ORD-2025-843974"/>
    <x v="18"/>
    <x v="13"/>
    <d v="2023-01-01T00:00:00"/>
    <m/>
    <s v="Q3-2025"/>
    <d v="2025-08-05T00:00:00"/>
    <d v="2025-08-05T00:00:00"/>
    <n v="16"/>
    <n v="0"/>
    <n v="0"/>
    <x v="2"/>
    <x v="5"/>
    <s v="Brasília"/>
    <s v="Enterprise"/>
    <x v="2"/>
    <x v="3"/>
    <x v="6"/>
    <x v="18"/>
    <n v="1068.17"/>
    <n v="2375.37"/>
    <n v="0.109"/>
    <n v="0.109"/>
    <n v="0"/>
    <n v="18"/>
    <n v="38096.18406"/>
    <n v="19227.060000000001"/>
    <n v="18869.124059999998"/>
    <n v="0.49530220744108822"/>
    <e v="#NUM!"/>
    <e v="#NUM!"/>
    <e v="#NUM!"/>
  </r>
  <r>
    <s v="ORD-2025-745263"/>
    <x v="9"/>
    <x v="8"/>
    <d v="2023-01-01T00:00:00"/>
    <m/>
    <s v="Q2-2025"/>
    <d v="2025-05-19T00:00:00"/>
    <d v="2025-05-24T00:00:00"/>
    <n v="3"/>
    <n v="1"/>
    <n v="1"/>
    <x v="3"/>
    <x v="8"/>
    <s v="Birmingham"/>
    <s v="Enterprise"/>
    <x v="1"/>
    <x v="12"/>
    <x v="4"/>
    <x v="19"/>
    <n v="1015.16"/>
    <n v="2148.14"/>
    <n v="3.7999999999999999E-2"/>
    <n v="3.7999999999999999E-2"/>
    <n v="0"/>
    <n v="19"/>
    <n v="39263.702919999996"/>
    <n v="19288.04"/>
    <n v="19975.662919999995"/>
    <n v="0.50875647059322227"/>
    <e v="#NUM!"/>
    <e v="#NUM!"/>
    <e v="#NUM!"/>
  </r>
  <r>
    <s v="ORD-2024-798002"/>
    <x v="19"/>
    <x v="14"/>
    <d v="2023-01-01T00:00:00"/>
    <m/>
    <s v="Q3-2024"/>
    <d v="2024-07-24T00:00:00"/>
    <d v="2024-07-28T00:00:00"/>
    <n v="3"/>
    <n v="1"/>
    <n v="1"/>
    <x v="0"/>
    <x v="0"/>
    <s v="Mombasa"/>
    <s v="Non-Profit"/>
    <x v="4"/>
    <x v="1"/>
    <x v="4"/>
    <x v="20"/>
    <n v="1494.4"/>
    <n v="3661.07"/>
    <n v="7.1999999999999995E-2"/>
    <n v="7.1999999999999995E-2"/>
    <n v="0"/>
    <n v="7"/>
    <n v="23782.310720000001"/>
    <n v="10460.800000000001"/>
    <n v="13321.51072"/>
    <n v="0.56014366630897339"/>
    <e v="#NUM!"/>
    <e v="#NUM!"/>
    <e v="#NUM!"/>
  </r>
  <r>
    <s v="ORD-2023-867836"/>
    <x v="20"/>
    <x v="15"/>
    <d v="2023-01-01T00:00:00"/>
    <m/>
    <s v="Q2-2023"/>
    <d v="2023-05-28T00:00:00"/>
    <d v="2023-05-28T00:00:00"/>
    <n v="17"/>
    <n v="0"/>
    <n v="0"/>
    <x v="1"/>
    <x v="9"/>
    <s v="Shenzhen"/>
    <s v="Enterprise"/>
    <x v="2"/>
    <x v="6"/>
    <x v="2"/>
    <x v="21"/>
    <n v="1331.19"/>
    <n v="2903.09"/>
    <n v="0.14299999999999999"/>
    <n v="0.14299999999999999"/>
    <n v="0"/>
    <n v="8"/>
    <n v="19903.585040000002"/>
    <n v="10649.52"/>
    <n v="9254.0650400000013"/>
    <n v="0.46494463290920784"/>
    <e v="#NUM!"/>
    <e v="#NUM!"/>
    <e v="#NUM!"/>
  </r>
  <r>
    <s v="ORD-2025-580047"/>
    <x v="21"/>
    <x v="16"/>
    <d v="2023-02-01T00:00:00"/>
    <m/>
    <s v="Q2-2025"/>
    <d v="2025-06-29T00:00:00"/>
    <d v="2025-06-29T00:00:00"/>
    <n v="15"/>
    <n v="0"/>
    <n v="0"/>
    <x v="0"/>
    <x v="1"/>
    <s v="Port Harcourt"/>
    <s v="Consumer"/>
    <x v="2"/>
    <x v="12"/>
    <x v="6"/>
    <x v="22"/>
    <n v="730.99"/>
    <n v="1242.8399999999999"/>
    <n v="0.12"/>
    <n v="0.12"/>
    <n v="0"/>
    <n v="10"/>
    <n v="10936.992"/>
    <n v="7309.9"/>
    <n v="3627.0920000000006"/>
    <n v="0.33163524303574515"/>
    <e v="#NUM!"/>
    <e v="#NUM!"/>
    <e v="#NUM!"/>
  </r>
  <r>
    <s v="ORD-2024-500109"/>
    <x v="22"/>
    <x v="7"/>
    <d v="2023-01-01T00:00:00"/>
    <m/>
    <s v="Q2-2024"/>
    <d v="2024-05-23T00:00:00"/>
    <d v="2024-05-23T00:00:00"/>
    <n v="5"/>
    <n v="1"/>
    <n v="1"/>
    <x v="2"/>
    <x v="10"/>
    <s v="Chicago"/>
    <s v="Enterprise"/>
    <x v="0"/>
    <x v="10"/>
    <x v="4"/>
    <x v="23"/>
    <n v="1274.5899999999999"/>
    <n v="2553.69"/>
    <n v="0.01"/>
    <n v="0.01"/>
    <n v="0"/>
    <n v="8"/>
    <n v="20225.2248"/>
    <n v="10196.719999999999"/>
    <n v="10028.504800000001"/>
    <n v="0.49584145042481803"/>
    <e v="#NUM!"/>
    <e v="#NUM!"/>
    <e v="#NUM!"/>
  </r>
  <r>
    <s v="ORD-2023-271836"/>
    <x v="23"/>
    <x v="2"/>
    <d v="2023-01-01T00:00:00"/>
    <m/>
    <s v="Q1-2023"/>
    <d v="2023-02-12T00:00:00"/>
    <d v="2023-02-12T00:00:00"/>
    <n v="5"/>
    <n v="1"/>
    <n v="1"/>
    <x v="2"/>
    <x v="5"/>
    <s v="São Paulo"/>
    <s v="Education"/>
    <x v="1"/>
    <x v="13"/>
    <x v="0"/>
    <x v="24"/>
    <n v="948.55"/>
    <n v="2089.16"/>
    <n v="7.0000000000000001E-3"/>
    <n v="7.0000000000000001E-3"/>
    <n v="0"/>
    <n v="12"/>
    <n v="24894.430559999997"/>
    <n v="11382.599999999999"/>
    <n v="13511.830559999999"/>
    <n v="0.54276519912492427"/>
    <e v="#NUM!"/>
    <e v="#NUM!"/>
    <e v="#NUM!"/>
  </r>
  <r>
    <s v="ORD-2024-215294"/>
    <x v="24"/>
    <x v="17"/>
    <d v="2023-01-01T00:00:00"/>
    <m/>
    <s v="Q2-2024"/>
    <d v="2024-07-14T00:00:00"/>
    <d v="2024-07-14T00:00:00"/>
    <n v="14"/>
    <n v="0"/>
    <n v="0"/>
    <x v="2"/>
    <x v="5"/>
    <s v="Brasília"/>
    <s v="Education"/>
    <x v="0"/>
    <x v="0"/>
    <x v="6"/>
    <x v="25"/>
    <n v="1491.85"/>
    <n v="2583.02"/>
    <n v="0.16800000000000001"/>
    <n v="0.16800000000000001"/>
    <n v="0"/>
    <n v="4"/>
    <n v="8596.2905599999995"/>
    <n v="5967.4"/>
    <n v="2628.8905599999998"/>
    <n v="0.30581685689321325"/>
    <e v="#NUM!"/>
    <e v="#NUM!"/>
    <e v="#NUM!"/>
  </r>
  <r>
    <s v="ORD-2024-788105"/>
    <x v="25"/>
    <x v="18"/>
    <d v="2023-01-01T00:00:00"/>
    <m/>
    <s v="Q4-2024"/>
    <d v="2024-12-30T00:00:00"/>
    <d v="2024-12-30T00:00:00"/>
    <n v="30"/>
    <n v="0"/>
    <n v="0"/>
    <x v="3"/>
    <x v="7"/>
    <s v="Marseille"/>
    <s v="Consumer"/>
    <x v="2"/>
    <x v="9"/>
    <x v="1"/>
    <x v="26"/>
    <n v="117.64"/>
    <n v="175.67"/>
    <n v="0"/>
    <n v="0"/>
    <n v="0"/>
    <n v="10"/>
    <n v="1756.6999999999998"/>
    <n v="1176.4000000000001"/>
    <n v="580.29999999999973"/>
    <n v="0.33033528775545046"/>
    <e v="#NUM!"/>
    <e v="#NUM!"/>
    <e v="#NUM!"/>
  </r>
  <r>
    <s v="ORD-2024-855073"/>
    <x v="26"/>
    <x v="14"/>
    <d v="2023-01-01T00:00:00"/>
    <m/>
    <s v="Q3-2024"/>
    <d v="2024-07-19T00:00:00"/>
    <d v="2024-07-19T00:00:00"/>
    <n v="0"/>
    <n v="1"/>
    <n v="1"/>
    <x v="0"/>
    <x v="0"/>
    <s v="Kisumu"/>
    <s v="Small Business"/>
    <x v="0"/>
    <x v="8"/>
    <x v="3"/>
    <x v="27"/>
    <n v="857.24"/>
    <n v="758.23"/>
    <n v="0.125"/>
    <n v="0.125"/>
    <n v="0"/>
    <n v="6"/>
    <n v="3980.7075"/>
    <n v="5143.4400000000005"/>
    <n v="-1162.7325000000005"/>
    <n v="-0.29209192084572921"/>
    <e v="#NUM!"/>
    <e v="#NUM!"/>
    <e v="#NUM!"/>
  </r>
  <r>
    <s v="ORD-2023-897079"/>
    <x v="27"/>
    <x v="12"/>
    <d v="2023-01-01T00:00:00"/>
    <m/>
    <s v="Q2-2023"/>
    <d v="2023-05-14T00:00:00"/>
    <d v="2023-05-14T00:00:00"/>
    <n v="30"/>
    <n v="0"/>
    <n v="0"/>
    <x v="0"/>
    <x v="0"/>
    <s v="Nakuru"/>
    <s v="Consumer"/>
    <x v="2"/>
    <x v="12"/>
    <x v="3"/>
    <x v="28"/>
    <n v="209.25"/>
    <n v="434.8"/>
    <n v="0"/>
    <n v="0"/>
    <n v="0"/>
    <n v="9"/>
    <n v="3913.2000000000003"/>
    <n v="1883.25"/>
    <n v="2029.9500000000003"/>
    <n v="0.51874425022999082"/>
    <e v="#NUM!"/>
    <e v="#NUM!"/>
    <e v="#NUM!"/>
  </r>
  <r>
    <s v="ORD-2025-548982"/>
    <x v="28"/>
    <x v="19"/>
    <d v="2023-01-01T00:00:00"/>
    <m/>
    <s v="Q2-2025"/>
    <d v="2025-04-11T00:00:00"/>
    <d v="2025-04-11T00:00:00"/>
    <n v="4"/>
    <n v="1"/>
    <n v="1"/>
    <x v="3"/>
    <x v="7"/>
    <s v="Lyon"/>
    <s v="Education"/>
    <x v="0"/>
    <x v="6"/>
    <x v="2"/>
    <x v="29"/>
    <n v="754.77"/>
    <n v="1666.18"/>
    <n v="0.13900000000000001"/>
    <n v="0.13900000000000001"/>
    <n v="0"/>
    <n v="14"/>
    <n v="20084.133720000002"/>
    <n v="10566.779999999999"/>
    <n v="9517.3537200000028"/>
    <n v="0.47387424584424653"/>
    <e v="#NUM!"/>
    <e v="#NUM!"/>
    <e v="#NUM!"/>
  </r>
  <r>
    <s v="ORD-2024-170313"/>
    <x v="6"/>
    <x v="6"/>
    <d v="2023-02-01T00:00:00"/>
    <m/>
    <s v="Q4-2024"/>
    <d v="2025-01-15T00:00:00"/>
    <d v="2025-01-15T00:00:00"/>
    <n v="19"/>
    <n v="0"/>
    <n v="0"/>
    <x v="1"/>
    <x v="4"/>
    <s v="Delhi"/>
    <s v="Non-Profit"/>
    <x v="3"/>
    <x v="3"/>
    <x v="0"/>
    <x v="30"/>
    <n v="495.59"/>
    <n v="631.78"/>
    <n v="8.6999999999999994E-2"/>
    <n v="8.6999999999999994E-2"/>
    <n v="0"/>
    <n v="17"/>
    <n v="9805.8573800000013"/>
    <n v="8425.0299999999988"/>
    <n v="1380.8273800000024"/>
    <n v="0.14081658813601899"/>
    <e v="#NUM!"/>
    <e v="#NUM!"/>
    <e v="#NUM!"/>
  </r>
  <r>
    <s v="ORD-2023-562894"/>
    <x v="29"/>
    <x v="2"/>
    <d v="2023-02-01T00:00:00"/>
    <m/>
    <s v="Q1-2023"/>
    <d v="2023-03-25T00:00:00"/>
    <d v="2023-03-25T00:00:00"/>
    <n v="30"/>
    <n v="0"/>
    <n v="0"/>
    <x v="2"/>
    <x v="3"/>
    <s v="Montreal"/>
    <s v="Enterprise"/>
    <x v="1"/>
    <x v="14"/>
    <x v="3"/>
    <x v="31"/>
    <n v="1242.6600000000001"/>
    <n v="1794.07"/>
    <n v="8.8999999999999996E-2"/>
    <n v="8.8999999999999996E-2"/>
    <n v="0"/>
    <n v="16"/>
    <n v="26150.364320000001"/>
    <n v="19882.560000000001"/>
    <n v="6267.8043199999993"/>
    <n v="0.23968325042440553"/>
    <e v="#NUM!"/>
    <e v="#NUM!"/>
    <e v="#NUM!"/>
  </r>
  <r>
    <s v="ORD-2025-474710"/>
    <x v="30"/>
    <x v="13"/>
    <d v="2023-01-01T00:00:00"/>
    <m/>
    <s v="Q3-2025"/>
    <d v="2025-08-06T00:00:00"/>
    <d v="2025-08-06T00:00:00"/>
    <n v="13"/>
    <n v="0"/>
    <n v="0"/>
    <x v="0"/>
    <x v="11"/>
    <s v="Johannesburg"/>
    <s v="Education"/>
    <x v="2"/>
    <x v="14"/>
    <x v="2"/>
    <x v="32"/>
    <n v="1463.9"/>
    <n v="2633.02"/>
    <n v="8.4000000000000005E-2"/>
    <n v="8.4000000000000005E-2"/>
    <n v="0"/>
    <n v="4"/>
    <n v="9647.3852800000004"/>
    <n v="5855.6"/>
    <n v="3791.7852800000001"/>
    <n v="0.39303761277791527"/>
    <e v="#NUM!"/>
    <e v="#NUM!"/>
    <e v="#NUM!"/>
  </r>
  <r>
    <s v="ORD-2024-629525"/>
    <x v="31"/>
    <x v="20"/>
    <d v="2023-01-01T00:00:00"/>
    <m/>
    <s v="Q2-2024"/>
    <d v="2024-05-08T00:00:00"/>
    <d v="2024-05-08T00:00:00"/>
    <n v="20"/>
    <n v="0"/>
    <n v="0"/>
    <x v="3"/>
    <x v="8"/>
    <s v="London"/>
    <s v="Non-Profit"/>
    <x v="2"/>
    <x v="14"/>
    <x v="4"/>
    <x v="33"/>
    <n v="645.33000000000004"/>
    <n v="1321.85"/>
    <n v="0"/>
    <n v="0"/>
    <n v="0"/>
    <n v="10"/>
    <n v="13218.5"/>
    <n v="6453.3"/>
    <n v="6765.2"/>
    <n v="0.51179785906116426"/>
    <e v="#NUM!"/>
    <e v="#NUM!"/>
    <e v="#NUM!"/>
  </r>
  <r>
    <s v="ORD-2024-167215"/>
    <x v="32"/>
    <x v="21"/>
    <d v="2023-01-01T00:00:00"/>
    <m/>
    <s v="Q3-2024"/>
    <d v="2024-08-21T00:00:00"/>
    <d v="2024-08-26T00:00:00"/>
    <n v="3"/>
    <n v="1"/>
    <n v="1"/>
    <x v="0"/>
    <x v="11"/>
    <s v="Johannesburg"/>
    <s v="Education"/>
    <x v="0"/>
    <x v="6"/>
    <x v="0"/>
    <x v="34"/>
    <n v="1432.52"/>
    <n v="3036.87"/>
    <n v="0"/>
    <n v="0"/>
    <n v="0"/>
    <n v="9"/>
    <n v="27331.829999999998"/>
    <n v="12892.68"/>
    <n v="14439.149999999998"/>
    <n v="0.52829064135112791"/>
    <e v="#NUM!"/>
    <e v="#NUM!"/>
    <e v="#NUM!"/>
  </r>
  <r>
    <s v="ORD-2023-864121"/>
    <x v="33"/>
    <x v="22"/>
    <d v="2023-02-01T00:00:00"/>
    <m/>
    <s v="Q1-2023"/>
    <d v="2023-04-22T00:00:00"/>
    <d v="2023-04-22T00:00:00"/>
    <n v="26"/>
    <n v="0"/>
    <n v="0"/>
    <x v="1"/>
    <x v="4"/>
    <s v="Delhi"/>
    <s v="Non-Profit"/>
    <x v="2"/>
    <x v="1"/>
    <x v="1"/>
    <x v="35"/>
    <n v="178.53"/>
    <n v="199.37"/>
    <n v="0.10100000000000001"/>
    <n v="0.10100000000000001"/>
    <n v="0"/>
    <n v="37"/>
    <n v="6631.6443100000006"/>
    <n v="6605.61"/>
    <n v="26.034310000000914"/>
    <n v="3.9257699573457538E-3"/>
    <e v="#NUM!"/>
    <e v="#NUM!"/>
    <e v="#NUM!"/>
  </r>
  <r>
    <s v="ORD-2024-692673"/>
    <x v="34"/>
    <x v="0"/>
    <d v="2023-01-01T00:00:00"/>
    <m/>
    <s v="Q1-2024"/>
    <d v="2024-03-25T00:00:00"/>
    <d v="2024-03-25T00:00:00"/>
    <n v="18"/>
    <n v="0"/>
    <n v="0"/>
    <x v="3"/>
    <x v="6"/>
    <s v="Munich"/>
    <s v="Corporate"/>
    <x v="1"/>
    <x v="5"/>
    <x v="0"/>
    <x v="36"/>
    <n v="712.84"/>
    <n v="927.51"/>
    <n v="0.24299999999999999"/>
    <n v="0.24299999999999999"/>
    <n v="1"/>
    <n v="27"/>
    <n v="18957.37689"/>
    <n v="19246.68"/>
    <n v="-289.30311000000074"/>
    <n v="-1.5260714163076427E-2"/>
    <e v="#NUM!"/>
    <e v="#NUM!"/>
    <e v="#NUM!"/>
  </r>
  <r>
    <s v="ORD-2025-718992"/>
    <x v="35"/>
    <x v="16"/>
    <d v="2023-01-01T00:00:00"/>
    <m/>
    <s v="Q2-2025"/>
    <d v="2025-07-10T00:00:00"/>
    <d v="2025-07-10T00:00:00"/>
    <n v="16"/>
    <n v="0"/>
    <n v="0"/>
    <x v="1"/>
    <x v="9"/>
    <s v="Shanghai"/>
    <s v="Enterprise"/>
    <x v="4"/>
    <x v="13"/>
    <x v="0"/>
    <x v="37"/>
    <n v="757.19"/>
    <n v="1735.41"/>
    <n v="0.13600000000000001"/>
    <n v="0.13600000000000001"/>
    <n v="0"/>
    <n v="8"/>
    <n v="11995.153920000001"/>
    <n v="6057.52"/>
    <n v="5937.6339200000002"/>
    <n v="0.4950027285685718"/>
    <e v="#NUM!"/>
    <e v="#NUM!"/>
    <e v="#NUM!"/>
  </r>
  <r>
    <s v="ORD-2024-599522"/>
    <x v="36"/>
    <x v="20"/>
    <d v="2023-02-01T00:00:00"/>
    <m/>
    <s v="Q2-2024"/>
    <d v="2024-05-06T00:00:00"/>
    <d v="2024-05-06T00:00:00"/>
    <n v="17"/>
    <n v="0"/>
    <n v="0"/>
    <x v="0"/>
    <x v="1"/>
    <s v="Port Harcourt"/>
    <s v="Non-Profit"/>
    <x v="1"/>
    <x v="8"/>
    <x v="1"/>
    <x v="38"/>
    <n v="865.33"/>
    <n v="1395.64"/>
    <n v="0.17499999999999999"/>
    <n v="0.17499999999999999"/>
    <n v="0"/>
    <n v="13"/>
    <n v="14968.239"/>
    <n v="11249.29"/>
    <n v="3718.9489999999987"/>
    <n v="0.24845601409758347"/>
    <e v="#NUM!"/>
    <e v="#NUM!"/>
    <e v="#NUM!"/>
  </r>
  <r>
    <s v="ORD-2023-651638"/>
    <x v="37"/>
    <x v="23"/>
    <d v="2023-01-01T00:00:00"/>
    <m/>
    <s v="Q2-2023"/>
    <d v="2023-06-24T00:00:00"/>
    <d v="2023-06-24T00:00:00"/>
    <n v="7"/>
    <n v="1"/>
    <n v="1"/>
    <x v="2"/>
    <x v="10"/>
    <s v="San Francisco"/>
    <s v="Corporate"/>
    <x v="0"/>
    <x v="2"/>
    <x v="1"/>
    <x v="39"/>
    <n v="313.99"/>
    <n v="454.42"/>
    <n v="0.129"/>
    <n v="0.129"/>
    <n v="0"/>
    <n v="9"/>
    <n v="3562.1983800000003"/>
    <n v="2825.91"/>
    <n v="736.28838000000042"/>
    <n v="0.20669493988147858"/>
    <e v="#NUM!"/>
    <e v="#NUM!"/>
    <e v="#NUM!"/>
  </r>
  <r>
    <s v="ORD-2024-635626"/>
    <x v="38"/>
    <x v="21"/>
    <d v="2023-01-01T00:00:00"/>
    <m/>
    <s v="Q3-2024"/>
    <d v="2024-09-19T00:00:00"/>
    <d v="2024-09-19T00:00:00"/>
    <n v="23"/>
    <n v="0"/>
    <n v="0"/>
    <x v="3"/>
    <x v="6"/>
    <s v="Berlin"/>
    <s v="Small Business"/>
    <x v="4"/>
    <x v="14"/>
    <x v="5"/>
    <x v="40"/>
    <n v="1024.01"/>
    <n v="1580.97"/>
    <n v="3.6999999999999998E-2"/>
    <n v="3.6999999999999998E-2"/>
    <n v="0"/>
    <n v="27"/>
    <n v="41106.800970000004"/>
    <n v="27648.27"/>
    <n v="13458.530970000003"/>
    <n v="0.3274039976942531"/>
    <e v="#NUM!"/>
    <e v="#NUM!"/>
    <e v="#NUM!"/>
  </r>
  <r>
    <s v="ORD-2024-296582"/>
    <x v="39"/>
    <x v="9"/>
    <d v="2023-01-01T00:00:00"/>
    <m/>
    <s v="Q1-2024"/>
    <d v="2024-02-02T00:00:00"/>
    <d v="2024-02-02T00:00:00"/>
    <n v="22"/>
    <n v="0"/>
    <n v="0"/>
    <x v="0"/>
    <x v="11"/>
    <s v="Durban"/>
    <s v="Consumer"/>
    <x v="1"/>
    <x v="11"/>
    <x v="2"/>
    <x v="41"/>
    <n v="1206.2"/>
    <n v="1759.79"/>
    <n v="0"/>
    <n v="0"/>
    <n v="0"/>
    <n v="6"/>
    <n v="10558.74"/>
    <n v="7237.2000000000007"/>
    <n v="3321.5399999999991"/>
    <n v="0.31457730751964713"/>
    <e v="#NUM!"/>
    <e v="#NUM!"/>
    <e v="#NUM!"/>
  </r>
  <r>
    <s v="ORD-2024-998320"/>
    <x v="40"/>
    <x v="1"/>
    <d v="2023-01-01T00:00:00"/>
    <m/>
    <s v="Q4-2024"/>
    <d v="2024-11-14T00:00:00"/>
    <d v="2024-11-14T00:00:00"/>
    <n v="20"/>
    <n v="0"/>
    <n v="0"/>
    <x v="0"/>
    <x v="0"/>
    <s v="Mombasa"/>
    <s v="Corporate"/>
    <x v="4"/>
    <x v="10"/>
    <x v="1"/>
    <x v="42"/>
    <n v="1396.48"/>
    <n v="3204.5"/>
    <n v="0.3"/>
    <n v="0.318"/>
    <n v="1"/>
    <n v="14"/>
    <n v="31404.1"/>
    <n v="19550.72"/>
    <n v="11853.379999999997"/>
    <n v="0.3774468938769141"/>
    <e v="#NUM!"/>
    <e v="#NUM!"/>
    <e v="#NUM!"/>
  </r>
  <r>
    <s v="ORD-2025-820255"/>
    <x v="41"/>
    <x v="8"/>
    <d v="2023-01-01T00:00:00"/>
    <m/>
    <s v="Q2-2025"/>
    <d v="2025-06-20T00:00:00"/>
    <d v="2025-06-20T00:00:00"/>
    <n v="22"/>
    <n v="0"/>
    <n v="0"/>
    <x v="3"/>
    <x v="6"/>
    <s v="Berlin"/>
    <s v="Corporate"/>
    <x v="4"/>
    <x v="8"/>
    <x v="1"/>
    <x v="43"/>
    <n v="483.47"/>
    <n v="1135.43"/>
    <n v="0.14599999999999999"/>
    <n v="0.14599999999999999"/>
    <n v="0"/>
    <n v="11"/>
    <n v="10666.229420000001"/>
    <n v="5318.17"/>
    <n v="5348.0594200000014"/>
    <n v="0.50140112399719983"/>
    <e v="#NUM!"/>
    <e v="#NUM!"/>
    <e v="#NUM!"/>
  </r>
  <r>
    <s v="ORD-2024-389336"/>
    <x v="42"/>
    <x v="7"/>
    <d v="2023-03-01T00:00:00"/>
    <m/>
    <s v="Q2-2024"/>
    <d v="2024-06-02T00:00:00"/>
    <d v="2024-06-02T00:00:00"/>
    <n v="13"/>
    <n v="0"/>
    <n v="0"/>
    <x v="2"/>
    <x v="3"/>
    <s v="Vancouver"/>
    <s v="Enterprise"/>
    <x v="2"/>
    <x v="11"/>
    <x v="0"/>
    <x v="44"/>
    <n v="675.43"/>
    <n v="996.36"/>
    <n v="0.182"/>
    <n v="0.182"/>
    <n v="0"/>
    <n v="22"/>
    <n v="17930.494560000003"/>
    <n v="14859.46"/>
    <n v="3071.0345600000037"/>
    <n v="0.17127439233332575"/>
    <e v="#NUM!"/>
    <e v="#NUM!"/>
    <e v="#NUM!"/>
  </r>
  <r>
    <s v="ORD-2023-308124"/>
    <x v="43"/>
    <x v="12"/>
    <d v="2023-02-01T00:00:00"/>
    <m/>
    <s v="Q2-2023"/>
    <d v="2023-04-30T00:00:00"/>
    <d v="2023-04-30T00:00:00"/>
    <n v="11"/>
    <n v="0"/>
    <n v="0"/>
    <x v="1"/>
    <x v="4"/>
    <s v="Delhi"/>
    <s v="Small Business"/>
    <x v="0"/>
    <x v="8"/>
    <x v="2"/>
    <x v="45"/>
    <n v="826.55"/>
    <n v="1397.05"/>
    <n v="0.16900000000000001"/>
    <n v="0.16900000000000001"/>
    <n v="0"/>
    <n v="28"/>
    <n v="32506.559399999998"/>
    <n v="23143.399999999998"/>
    <n v="9363.1594000000005"/>
    <n v="0.28803907804527601"/>
    <e v="#NUM!"/>
    <e v="#NUM!"/>
    <e v="#NUM!"/>
  </r>
  <r>
    <s v="ORD-2023-128295"/>
    <x v="44"/>
    <x v="23"/>
    <d v="2023-02-01T00:00:00"/>
    <m/>
    <s v="Q2-2023"/>
    <d v="2023-07-03T00:00:00"/>
    <d v="2023-07-03T00:00:00"/>
    <n v="10"/>
    <n v="0"/>
    <n v="0"/>
    <x v="0"/>
    <x v="1"/>
    <s v="Abuja"/>
    <s v="Consumer"/>
    <x v="1"/>
    <x v="1"/>
    <x v="1"/>
    <x v="46"/>
    <n v="337.75"/>
    <n v="548.89"/>
    <n v="0"/>
    <n v="0"/>
    <n v="0"/>
    <n v="13"/>
    <n v="7135.57"/>
    <n v="4390.75"/>
    <n v="2744.8199999999997"/>
    <n v="0.38466723751571352"/>
    <e v="#NUM!"/>
    <e v="#NUM!"/>
    <e v="#NUM!"/>
  </r>
  <r>
    <s v="ORD-2024-548345"/>
    <x v="45"/>
    <x v="7"/>
    <d v="2023-01-01T00:00:00"/>
    <m/>
    <s v="Q2-2024"/>
    <d v="2024-05-28T00:00:00"/>
    <d v="2024-05-28T00:00:00"/>
    <n v="14"/>
    <n v="0"/>
    <n v="0"/>
    <x v="3"/>
    <x v="8"/>
    <s v="Birmingham"/>
    <s v="Consumer"/>
    <x v="0"/>
    <x v="5"/>
    <x v="2"/>
    <x v="47"/>
    <n v="1421.14"/>
    <n v="3524"/>
    <n v="0"/>
    <n v="0"/>
    <n v="0"/>
    <n v="31"/>
    <n v="109244"/>
    <n v="44055.340000000004"/>
    <n v="65188.659999999996"/>
    <n v="0.59672531214528945"/>
    <e v="#NUM!"/>
    <e v="#NUM!"/>
    <e v="#NUM!"/>
  </r>
  <r>
    <s v="ORD-2024-966651"/>
    <x v="46"/>
    <x v="1"/>
    <d v="2023-02-01T00:00:00"/>
    <m/>
    <s v="Q4-2024"/>
    <d v="2024-11-08T00:00:00"/>
    <d v="2024-11-08T00:00:00"/>
    <n v="25"/>
    <n v="0"/>
    <n v="0"/>
    <x v="0"/>
    <x v="1"/>
    <s v="Lagos"/>
    <s v="Enterprise"/>
    <x v="1"/>
    <x v="7"/>
    <x v="2"/>
    <x v="48"/>
    <n v="859.35"/>
    <n v="1825.61"/>
    <n v="0.187"/>
    <n v="0.187"/>
    <n v="0"/>
    <n v="24"/>
    <n v="35621.302319999995"/>
    <n v="20624.400000000001"/>
    <n v="14996.902319999994"/>
    <n v="0.42100937762681989"/>
    <e v="#NUM!"/>
    <e v="#NUM!"/>
    <e v="#NUM!"/>
  </r>
  <r>
    <s v="ORD-2023-292714"/>
    <x v="47"/>
    <x v="24"/>
    <d v="2023-01-01T00:00:00"/>
    <m/>
    <s v="Q3-2023"/>
    <d v="2023-08-01T00:00:00"/>
    <d v="2023-08-01T00:00:00"/>
    <n v="22"/>
    <n v="0"/>
    <n v="0"/>
    <x v="3"/>
    <x v="7"/>
    <s v="Marseille"/>
    <s v="Consumer"/>
    <x v="2"/>
    <x v="5"/>
    <x v="1"/>
    <x v="49"/>
    <n v="1303.56"/>
    <n v="1791.37"/>
    <n v="0.126"/>
    <n v="0.126"/>
    <n v="0"/>
    <n v="22"/>
    <n v="34444.462359999998"/>
    <n v="28678.32"/>
    <n v="5766.142359999998"/>
    <n v="0.16740404596055358"/>
    <e v="#NUM!"/>
    <e v="#NUM!"/>
    <e v="#NUM!"/>
  </r>
  <r>
    <s v="ORD-2024-468501"/>
    <x v="48"/>
    <x v="18"/>
    <d v="2023-03-01T00:00:00"/>
    <m/>
    <s v="Q4-2024"/>
    <d v="2024-11-22T00:00:00"/>
    <d v="2024-11-22T00:00:00"/>
    <n v="16"/>
    <n v="0"/>
    <n v="0"/>
    <x v="2"/>
    <x v="3"/>
    <s v="Toronto"/>
    <s v="Non-Profit"/>
    <x v="3"/>
    <x v="14"/>
    <x v="6"/>
    <x v="50"/>
    <n v="1454.11"/>
    <n v="2629.75"/>
    <n v="0.29199999999999998"/>
    <n v="0.29199999999999998"/>
    <n v="1"/>
    <n v="8"/>
    <n v="14894.903999999999"/>
    <n v="11632.88"/>
    <n v="3262.0239999999994"/>
    <n v="0.21900268709351867"/>
    <e v="#NUM!"/>
    <e v="#NUM!"/>
    <e v="#NUM!"/>
  </r>
  <r>
    <s v="ORD-2024-260775"/>
    <x v="49"/>
    <x v="1"/>
    <d v="2023-02-01T00:00:00"/>
    <m/>
    <s v="Q4-2024"/>
    <d v="2024-11-06T00:00:00"/>
    <d v="2024-11-06T00:00:00"/>
    <n v="20"/>
    <n v="0"/>
    <n v="0"/>
    <x v="1"/>
    <x v="4"/>
    <s v="Bengaluru"/>
    <s v="Enterprise"/>
    <x v="3"/>
    <x v="7"/>
    <x v="5"/>
    <x v="51"/>
    <n v="72.94"/>
    <n v="106.3"/>
    <n v="0.29499999999999998"/>
    <n v="0.29499999999999998"/>
    <n v="1"/>
    <n v="8"/>
    <n v="599.53200000000004"/>
    <n v="583.52"/>
    <n v="16.012000000000057"/>
    <n v="2.6707498515508857E-2"/>
    <e v="#NUM!"/>
    <e v="#NUM!"/>
    <e v="#NUM!"/>
  </r>
  <r>
    <s v="ORD-2023-419187"/>
    <x v="50"/>
    <x v="22"/>
    <d v="2023-01-01T00:00:00"/>
    <m/>
    <s v="Q1-2023"/>
    <d v="2023-04-05T00:00:00"/>
    <d v="2023-04-05T00:00:00"/>
    <n v="5"/>
    <n v="1"/>
    <n v="1"/>
    <x v="0"/>
    <x v="0"/>
    <s v="Nakuru"/>
    <s v="Education"/>
    <x v="2"/>
    <x v="5"/>
    <x v="4"/>
    <x v="52"/>
    <n v="533.26"/>
    <n v="385.72"/>
    <n v="0"/>
    <n v="0"/>
    <n v="0"/>
    <n v="15"/>
    <n v="5785.8"/>
    <n v="7998.9"/>
    <n v="-2213.0999999999995"/>
    <n v="-0.38250544436378708"/>
    <e v="#NUM!"/>
    <e v="#NUM!"/>
    <e v="#NUM!"/>
  </r>
  <r>
    <s v="ORD-2025-578007"/>
    <x v="51"/>
    <x v="10"/>
    <d v="2023-01-01T00:00:00"/>
    <m/>
    <s v="Q1-2025"/>
    <d v="2025-02-16T00:00:00"/>
    <d v="2025-02-16T00:00:00"/>
    <n v="26"/>
    <n v="0"/>
    <n v="0"/>
    <x v="3"/>
    <x v="7"/>
    <s v="Lyon"/>
    <s v="Corporate"/>
    <x v="3"/>
    <x v="7"/>
    <x v="4"/>
    <x v="53"/>
    <n v="204.11"/>
    <n v="236.87"/>
    <n v="0.182"/>
    <n v="0.182"/>
    <n v="0"/>
    <n v="13"/>
    <n v="2518.8755800000004"/>
    <n v="2653.4300000000003"/>
    <n v="-134.55441999999994"/>
    <n v="-5.3418446337075494E-2"/>
    <e v="#NUM!"/>
    <e v="#NUM!"/>
    <e v="#NUM!"/>
  </r>
  <r>
    <s v="ORD-2023-235230"/>
    <x v="52"/>
    <x v="25"/>
    <d v="2023-01-01T00:00:00"/>
    <m/>
    <s v="Q3-2023"/>
    <d v="2023-09-01T00:00:00"/>
    <d v="2023-09-01T00:00:00"/>
    <n v="2"/>
    <n v="1"/>
    <n v="1"/>
    <x v="3"/>
    <x v="6"/>
    <s v="Munich"/>
    <s v="Corporate"/>
    <x v="4"/>
    <x v="13"/>
    <x v="2"/>
    <x v="54"/>
    <n v="44.42"/>
    <n v="41.9"/>
    <n v="0.14399999999999999"/>
    <n v="0.14399999999999999"/>
    <n v="0"/>
    <n v="6"/>
    <n v="215.19839999999996"/>
    <n v="266.52"/>
    <n v="-51.321600000000018"/>
    <n v="-0.23848504449847224"/>
    <e v="#NUM!"/>
    <e v="#NUM!"/>
    <e v="#NUM!"/>
  </r>
  <r>
    <s v="ORD-2025-765220"/>
    <x v="53"/>
    <x v="19"/>
    <d v="2023-01-01T00:00:00"/>
    <m/>
    <s v="Q2-2025"/>
    <d v="2025-04-30T00:00:00"/>
    <d v="2025-04-30T00:00:00"/>
    <n v="24"/>
    <n v="0"/>
    <n v="0"/>
    <x v="2"/>
    <x v="5"/>
    <s v="Brasília"/>
    <s v="Education"/>
    <x v="1"/>
    <x v="11"/>
    <x v="5"/>
    <x v="55"/>
    <n v="855.78"/>
    <n v="977.38"/>
    <n v="0.14699999999999999"/>
    <n v="0.14699999999999999"/>
    <n v="0"/>
    <n v="38"/>
    <n v="31680.795320000001"/>
    <n v="32519.64"/>
    <n v="-838.84467999999833"/>
    <n v="-2.6478018355506307E-2"/>
    <e v="#NUM!"/>
    <e v="#NUM!"/>
    <e v="#NUM!"/>
  </r>
  <r>
    <s v="ORD-2025-931538"/>
    <x v="54"/>
    <x v="26"/>
    <d v="2023-01-01T00:00:00"/>
    <m/>
    <s v="Q1-2025"/>
    <d v="2025-03-01T00:00:00"/>
    <d v="2025-03-01T00:00:00"/>
    <n v="20"/>
    <n v="0"/>
    <n v="0"/>
    <x v="2"/>
    <x v="5"/>
    <s v="São Paulo"/>
    <s v="Corporate"/>
    <x v="3"/>
    <x v="5"/>
    <x v="4"/>
    <x v="56"/>
    <n v="1154.6400000000001"/>
    <n v="2794.13"/>
    <n v="3.5000000000000003E-2"/>
    <n v="3.5000000000000003E-2"/>
    <n v="0"/>
    <n v="11"/>
    <n v="29659.68995"/>
    <n v="12701.04"/>
    <n v="16958.649949999999"/>
    <n v="0.57177435025749479"/>
    <e v="#NUM!"/>
    <e v="#NUM!"/>
    <e v="#NUM!"/>
  </r>
  <r>
    <s v="ORD-2024-289089"/>
    <x v="55"/>
    <x v="6"/>
    <d v="2023-01-01T00:00:00"/>
    <m/>
    <s v="Q4-2024"/>
    <d v="2024-12-18T00:00:00"/>
    <d v="2024-12-18T00:00:00"/>
    <n v="1"/>
    <n v="1"/>
    <n v="1"/>
    <x v="3"/>
    <x v="6"/>
    <s v="Munich"/>
    <s v="Education"/>
    <x v="0"/>
    <x v="4"/>
    <x v="6"/>
    <x v="57"/>
    <n v="346.82"/>
    <n v="701.95"/>
    <n v="0.14699999999999999"/>
    <n v="0.14699999999999999"/>
    <n v="0"/>
    <n v="8"/>
    <n v="4790.1068000000005"/>
    <n v="2774.56"/>
    <n v="2015.5468000000005"/>
    <n v="0.42077283120284509"/>
    <e v="#NUM!"/>
    <e v="#NUM!"/>
    <e v="#NUM!"/>
  </r>
  <r>
    <s v="ORD-2025-639542"/>
    <x v="56"/>
    <x v="16"/>
    <d v="2023-01-01T00:00:00"/>
    <m/>
    <s v="Q2-2025"/>
    <d v="2025-06-18T00:00:00"/>
    <d v="2025-06-18T00:00:00"/>
    <n v="9"/>
    <n v="0"/>
    <n v="0"/>
    <x v="3"/>
    <x v="7"/>
    <s v="Marseille"/>
    <s v="Small Business"/>
    <x v="2"/>
    <x v="10"/>
    <x v="6"/>
    <x v="58"/>
    <n v="1225.5"/>
    <n v="5.27"/>
    <n v="7.4999999999999997E-2"/>
    <n v="7.4999999999999997E-2"/>
    <n v="0"/>
    <n v="56"/>
    <n v="272.98599999999999"/>
    <n v="68628"/>
    <n v="-68355.013999999996"/>
    <n v="-250.39750756449047"/>
    <e v="#NUM!"/>
    <e v="#NUM!"/>
    <e v="#NUM!"/>
  </r>
  <r>
    <s v="ORD-2025-762301"/>
    <x v="57"/>
    <x v="8"/>
    <d v="2023-01-01T00:00:00"/>
    <m/>
    <s v="Q2-2025"/>
    <d v="2025-05-13T00:00:00"/>
    <d v="2025-05-13T00:00:00"/>
    <n v="11"/>
    <n v="0"/>
    <n v="0"/>
    <x v="0"/>
    <x v="0"/>
    <s v="Nakuru"/>
    <s v="Small Business"/>
    <x v="1"/>
    <x v="8"/>
    <x v="6"/>
    <x v="59"/>
    <n v="1057.5999999999999"/>
    <n v="1437.06"/>
    <n v="0.20499999999999999"/>
    <n v="0.20499999999999999"/>
    <n v="1"/>
    <n v="4"/>
    <n v="4569.8508000000002"/>
    <n v="4230.3999999999996"/>
    <n v="339.45080000000053"/>
    <n v="7.4280499485891424E-2"/>
    <e v="#NUM!"/>
    <e v="#NUM!"/>
    <e v="#NUM!"/>
  </r>
  <r>
    <s v="ORD-2024-906395"/>
    <x v="58"/>
    <x v="0"/>
    <d v="2023-01-01T00:00:00"/>
    <m/>
    <s v="Q1-2024"/>
    <d v="2024-04-09T00:00:00"/>
    <d v="2024-04-09T00:00:00"/>
    <n v="30"/>
    <n v="0"/>
    <n v="0"/>
    <x v="3"/>
    <x v="7"/>
    <s v="Lyon"/>
    <s v="Corporate"/>
    <x v="4"/>
    <x v="2"/>
    <x v="0"/>
    <x v="60"/>
    <n v="1176.56"/>
    <n v="1911.89"/>
    <n v="0.11899999999999999"/>
    <n v="0.11899999999999999"/>
    <n v="0"/>
    <n v="20"/>
    <n v="33687.501800000005"/>
    <n v="23531.199999999997"/>
    <n v="10156.301800000008"/>
    <n v="0.30148575160892477"/>
    <e v="#NUM!"/>
    <e v="#NUM!"/>
    <e v="#NUM!"/>
  </r>
  <r>
    <s v="ORD-2025-779574"/>
    <x v="59"/>
    <x v="11"/>
    <d v="2023-03-01T00:00:00"/>
    <m/>
    <s v="Q3-2025"/>
    <d v="2025-09-12T00:00:00"/>
    <d v="2025-09-12T00:00:00"/>
    <n v="2"/>
    <n v="1"/>
    <n v="1"/>
    <x v="1"/>
    <x v="2"/>
    <s v="Tokyo"/>
    <s v="Consumer"/>
    <x v="1"/>
    <x v="7"/>
    <x v="0"/>
    <x v="61"/>
    <n v="1470.15"/>
    <n v="2593.7800000000002"/>
    <n v="0.11"/>
    <n v="0.11"/>
    <n v="0"/>
    <n v="12"/>
    <n v="27701.570400000001"/>
    <n v="17641.800000000003"/>
    <n v="10059.770399999998"/>
    <n v="0.36314801849645306"/>
    <e v="#NUM!"/>
    <e v="#NUM!"/>
    <e v="#NUM!"/>
  </r>
  <r>
    <s v="ORD-2025-526650"/>
    <x v="60"/>
    <x v="19"/>
    <d v="2023-01-01T00:00:00"/>
    <m/>
    <s v="Q2-2025"/>
    <d v="2025-05-25T00:00:00"/>
    <d v="2025-05-25T00:00:00"/>
    <n v="28"/>
    <n v="0"/>
    <n v="0"/>
    <x v="3"/>
    <x v="7"/>
    <s v="Paris"/>
    <s v="Small Business"/>
    <x v="2"/>
    <x v="2"/>
    <x v="3"/>
    <x v="62"/>
    <n v="603.45000000000005"/>
    <n v="1244.08"/>
    <n v="0.2"/>
    <n v="0.2"/>
    <n v="0"/>
    <n v="11"/>
    <n v="10947.904"/>
    <n v="6637.9500000000007"/>
    <n v="4309.9539999999997"/>
    <n v="0.39367846119220623"/>
    <e v="#NUM!"/>
    <e v="#NUM!"/>
    <e v="#NUM!"/>
  </r>
  <r>
    <s v="ORD-2024-247979"/>
    <x v="61"/>
    <x v="18"/>
    <d v="2023-02-01T00:00:00"/>
    <m/>
    <s v="Q4-2024"/>
    <d v="2024-11-18T00:00:00"/>
    <d v="2024-11-18T00:00:00"/>
    <n v="16"/>
    <n v="0"/>
    <n v="0"/>
    <x v="1"/>
    <x v="4"/>
    <s v="Mumbai"/>
    <s v="Small Business"/>
    <x v="3"/>
    <x v="7"/>
    <x v="5"/>
    <x v="63"/>
    <n v="1233.58"/>
    <n v="1912.51"/>
    <n v="0.255"/>
    <n v="0.255"/>
    <n v="1"/>
    <n v="51"/>
    <n v="72665.817450000002"/>
    <n v="62912.579999999994"/>
    <n v="9753.2374500000078"/>
    <n v="0.134220432553601"/>
    <e v="#NUM!"/>
    <e v="#NUM!"/>
    <e v="#NUM!"/>
  </r>
  <r>
    <s v="ORD-2023-480975"/>
    <x v="62"/>
    <x v="2"/>
    <d v="2023-01-01T00:00:00"/>
    <m/>
    <s v="Q1-2023"/>
    <d v="2023-02-26T00:00:00"/>
    <d v="2023-02-26T00:00:00"/>
    <n v="11"/>
    <n v="0"/>
    <n v="0"/>
    <x v="0"/>
    <x v="11"/>
    <s v="Johannesburg"/>
    <s v="Non-Profit"/>
    <x v="0"/>
    <x v="11"/>
    <x v="4"/>
    <x v="64"/>
    <n v="498.5"/>
    <n v="755.87"/>
    <n v="0.13"/>
    <n v="0.13"/>
    <n v="0"/>
    <n v="40"/>
    <n v="26304.275999999998"/>
    <n v="19940"/>
    <n v="6364.275999999998"/>
    <n v="0.24194834330357537"/>
    <e v="#NUM!"/>
    <e v="#NUM!"/>
    <e v="#NUM!"/>
  </r>
  <r>
    <s v="ORD-2023-239789"/>
    <x v="63"/>
    <x v="4"/>
    <d v="2023-01-01T00:00:00"/>
    <m/>
    <s v="Q4-2023"/>
    <d v="2023-12-26T00:00:00"/>
    <d v="2023-12-26T00:00:00"/>
    <n v="23"/>
    <n v="0"/>
    <n v="0"/>
    <x v="2"/>
    <x v="5"/>
    <s v="Rio de Janeiro"/>
    <s v="Education"/>
    <x v="0"/>
    <x v="7"/>
    <x v="3"/>
    <x v="65"/>
    <n v="1303.1099999999999"/>
    <n v="1145.67"/>
    <n v="0.184"/>
    <n v="0.184"/>
    <n v="0"/>
    <n v="13"/>
    <n v="12153.267360000002"/>
    <n v="16940.43"/>
    <n v="-4787.1626399999986"/>
    <n v="-0.39389922875851208"/>
    <e v="#NUM!"/>
    <e v="#NUM!"/>
    <e v="#NUM!"/>
  </r>
  <r>
    <s v="ORD-2023-548874"/>
    <x v="64"/>
    <x v="22"/>
    <d v="2023-01-01T00:00:00"/>
    <m/>
    <s v="Q1-2023"/>
    <d v="2023-04-09T00:00:00"/>
    <d v="2023-04-09T00:00:00"/>
    <n v="21"/>
    <n v="0"/>
    <n v="0"/>
    <x v="3"/>
    <x v="8"/>
    <s v="Manchester"/>
    <s v="Consumer"/>
    <x v="0"/>
    <x v="4"/>
    <x v="6"/>
    <x v="66"/>
    <n v="1082.17"/>
    <n v="1234.0999999999999"/>
    <n v="0.189"/>
    <n v="0.189"/>
    <n v="0"/>
    <n v="16"/>
    <n v="16013.681599999998"/>
    <n v="17314.72"/>
    <n v="-1301.0384000000031"/>
    <n v="-8.124542703534228E-2"/>
    <e v="#NUM!"/>
    <e v="#NUM!"/>
    <e v="#NUM!"/>
  </r>
  <r>
    <s v="ORD-2024-347736"/>
    <x v="65"/>
    <x v="7"/>
    <d v="2023-03-01T00:00:00"/>
    <m/>
    <s v="Q2-2024"/>
    <d v="2024-06-06T00:00:00"/>
    <d v="2024-06-06T00:00:00"/>
    <n v="15"/>
    <n v="0"/>
    <n v="0"/>
    <x v="1"/>
    <x v="2"/>
    <s v="Nagoya"/>
    <s v="Corporate"/>
    <x v="3"/>
    <x v="0"/>
    <x v="5"/>
    <x v="67"/>
    <n v="673.88"/>
    <n v="1228.01"/>
    <n v="0.105"/>
    <n v="0.105"/>
    <n v="0"/>
    <n v="13"/>
    <n v="14287.896349999999"/>
    <n v="8760.44"/>
    <n v="5527.4563499999986"/>
    <n v="0.38686285332689996"/>
    <e v="#NUM!"/>
    <e v="#NUM!"/>
    <e v="#NUM!"/>
  </r>
  <r>
    <s v="ORD-2023-749324"/>
    <x v="66"/>
    <x v="25"/>
    <d v="2023-01-01T00:00:00"/>
    <m/>
    <s v="Q3-2023"/>
    <d v="2023-09-07T00:00:00"/>
    <d v="2023-09-07T00:00:00"/>
    <n v="19"/>
    <n v="0"/>
    <n v="0"/>
    <x v="0"/>
    <x v="11"/>
    <s v="Johannesburg"/>
    <s v="Enterprise"/>
    <x v="0"/>
    <x v="14"/>
    <x v="5"/>
    <x v="68"/>
    <n v="494.61"/>
    <n v="605.23"/>
    <n v="0.20399999999999999"/>
    <n v="0.20399999999999999"/>
    <n v="1"/>
    <n v="18"/>
    <n v="8671.7354400000004"/>
    <n v="8902.98"/>
    <n v="-231.24455999999918"/>
    <n v="-2.6666468505639647E-2"/>
    <e v="#NUM!"/>
    <e v="#NUM!"/>
    <e v="#NUM!"/>
  </r>
  <r>
    <s v="ORD-2023-809913"/>
    <x v="67"/>
    <x v="12"/>
    <d v="2023-01-01T00:00:00"/>
    <m/>
    <s v="Q2-2023"/>
    <d v="2023-05-10T00:00:00"/>
    <d v="2023-05-10T00:00:00"/>
    <n v="19"/>
    <n v="0"/>
    <n v="0"/>
    <x v="1"/>
    <x v="9"/>
    <s v="Shanghai"/>
    <s v="Corporate"/>
    <x v="0"/>
    <x v="8"/>
    <x v="0"/>
    <x v="69"/>
    <n v="882.33"/>
    <n v="1880.15"/>
    <n v="0.05"/>
    <n v="0.05"/>
    <n v="0"/>
    <n v="5"/>
    <n v="8930.7124999999996"/>
    <n v="4411.6500000000005"/>
    <n v="4519.0624999999991"/>
    <n v="0.50601365792482955"/>
    <e v="#NUM!"/>
    <e v="#NUM!"/>
    <e v="#NUM!"/>
  </r>
  <r>
    <s v="ORD-2024-287210"/>
    <x v="68"/>
    <x v="0"/>
    <d v="2023-01-01T00:00:00"/>
    <m/>
    <s v="Q1-2024"/>
    <d v="2024-03-21T00:00:00"/>
    <d v="2024-03-21T00:00:00"/>
    <n v="3"/>
    <n v="1"/>
    <n v="1"/>
    <x v="3"/>
    <x v="6"/>
    <s v="Munich"/>
    <s v="Small Business"/>
    <x v="1"/>
    <x v="12"/>
    <x v="6"/>
    <x v="70"/>
    <n v="910.63"/>
    <n v="1269.4000000000001"/>
    <n v="6.8000000000000005E-2"/>
    <n v="6.8000000000000005E-2"/>
    <n v="0"/>
    <n v="9"/>
    <n v="10647.727199999999"/>
    <n v="8195.67"/>
    <n v="2452.0571999999993"/>
    <n v="0.23028925834989455"/>
    <e v="#NUM!"/>
    <e v="#NUM!"/>
    <e v="#NUM!"/>
  </r>
  <r>
    <s v="ORD-2025-640677"/>
    <x v="69"/>
    <x v="19"/>
    <d v="2023-01-01T00:00:00"/>
    <m/>
    <s v="Q2-2025"/>
    <d v="2025-05-06T00:00:00"/>
    <d v="2025-05-06T00:00:00"/>
    <n v="27"/>
    <n v="0"/>
    <n v="0"/>
    <x v="2"/>
    <x v="5"/>
    <s v="Brasília"/>
    <s v="Enterprise"/>
    <x v="2"/>
    <x v="9"/>
    <x v="4"/>
    <x v="71"/>
    <n v="264.19"/>
    <n v="620.92999999999995"/>
    <n v="0.14199999999999999"/>
    <n v="0.14199999999999999"/>
    <n v="0"/>
    <n v="12"/>
    <n v="6393.0952799999995"/>
    <n v="3170.2799999999997"/>
    <n v="3222.8152799999998"/>
    <n v="0.50410875152794532"/>
    <e v="#NUM!"/>
    <e v="#NUM!"/>
    <e v="#NUM!"/>
  </r>
  <r>
    <s v="ORD-2024-939873"/>
    <x v="70"/>
    <x v="20"/>
    <d v="2023-01-01T00:00:00"/>
    <m/>
    <s v="Q2-2024"/>
    <d v="2024-05-07T00:00:00"/>
    <d v="2024-05-07T00:00:00"/>
    <n v="25"/>
    <n v="0"/>
    <n v="0"/>
    <x v="0"/>
    <x v="11"/>
    <s v="Johannesburg"/>
    <s v="Education"/>
    <x v="3"/>
    <x v="8"/>
    <x v="4"/>
    <x v="72"/>
    <n v="1376.51"/>
    <n v="1455.91"/>
    <n v="0.185"/>
    <n v="0.185"/>
    <n v="0"/>
    <n v="17"/>
    <n v="20171.63305"/>
    <n v="23400.67"/>
    <n v="-3229.0369499999979"/>
    <n v="-0.1600781127634085"/>
    <e v="#NUM!"/>
    <e v="#NUM!"/>
    <e v="#NUM!"/>
  </r>
  <r>
    <s v="ORD-2024-800947"/>
    <x v="71"/>
    <x v="6"/>
    <d v="2023-01-01T00:00:00"/>
    <m/>
    <s v="Q4-2024"/>
    <d v="2024-12-20T00:00:00"/>
    <d v="2024-12-20T00:00:00"/>
    <n v="5"/>
    <n v="1"/>
    <n v="1"/>
    <x v="1"/>
    <x v="9"/>
    <s v="Shenzhen"/>
    <s v="Small Business"/>
    <x v="4"/>
    <x v="1"/>
    <x v="2"/>
    <x v="73"/>
    <n v="717.55"/>
    <n v="546.42999999999995"/>
    <n v="4.7E-2"/>
    <n v="4.7E-2"/>
    <n v="0"/>
    <n v="18"/>
    <n v="9373.460219999999"/>
    <n v="12915.9"/>
    <n v="-3542.4397800000006"/>
    <n v="-0.37792231437026369"/>
    <e v="#NUM!"/>
    <e v="#NUM!"/>
    <e v="#NUM!"/>
  </r>
  <r>
    <s v="ORD-2023-382272"/>
    <x v="72"/>
    <x v="15"/>
    <d v="2023-01-01T00:00:00"/>
    <m/>
    <s v="Q2-2023"/>
    <d v="2023-05-18T00:00:00"/>
    <d v="2023-05-23T00:00:00"/>
    <n v="3"/>
    <n v="1"/>
    <n v="1"/>
    <x v="0"/>
    <x v="11"/>
    <s v="Durban"/>
    <s v="Corporate"/>
    <x v="3"/>
    <x v="8"/>
    <x v="0"/>
    <x v="74"/>
    <n v="917.88"/>
    <n v="1347.92"/>
    <n v="0.3"/>
    <n v="0.34300000000000003"/>
    <n v="1"/>
    <n v="5"/>
    <n v="4717.72"/>
    <n v="4589.3999999999996"/>
    <n v="128.32000000000062"/>
    <n v="2.7199579457873848E-2"/>
    <e v="#NUM!"/>
    <e v="#NUM!"/>
    <e v="#NUM!"/>
  </r>
  <r>
    <s v="ORD-2023-722117"/>
    <x v="73"/>
    <x v="27"/>
    <d v="2023-02-01T00:00:00"/>
    <m/>
    <s v="Q3-2023"/>
    <d v="2023-10-08T00:00:00"/>
    <d v="2023-10-08T00:00:00"/>
    <n v="20"/>
    <n v="0"/>
    <n v="0"/>
    <x v="1"/>
    <x v="4"/>
    <s v="Delhi"/>
    <s v="Small Business"/>
    <x v="4"/>
    <x v="5"/>
    <x v="0"/>
    <x v="75"/>
    <n v="825.64"/>
    <n v="1108.43"/>
    <n v="0.114"/>
    <n v="0.114"/>
    <n v="0"/>
    <n v="7"/>
    <n v="6874.4828600000001"/>
    <n v="5779.48"/>
    <n v="1095.0028600000005"/>
    <n v="0.15928512475773349"/>
    <e v="#NUM!"/>
    <e v="#NUM!"/>
    <e v="#NUM!"/>
  </r>
  <r>
    <s v="ORD-2024-446699"/>
    <x v="74"/>
    <x v="21"/>
    <d v="2023-01-01T00:00:00"/>
    <m/>
    <s v="Q3-2024"/>
    <d v="2024-09-25T00:00:00"/>
    <d v="2024-09-25T00:00:00"/>
    <n v="28"/>
    <n v="0"/>
    <n v="0"/>
    <x v="2"/>
    <x v="5"/>
    <s v="Rio de Janeiro"/>
    <s v="Non-Profit"/>
    <x v="1"/>
    <x v="15"/>
    <x v="6"/>
    <x v="76"/>
    <n v="1394.65"/>
    <n v="3144.1"/>
    <n v="0.13400000000000001"/>
    <n v="0.13400000000000001"/>
    <n v="0"/>
    <n v="13"/>
    <n v="35396.277799999996"/>
    <n v="18130.45"/>
    <n v="17265.827799999995"/>
    <n v="0.4877865378263021"/>
    <e v="#NUM!"/>
    <e v="#NUM!"/>
    <e v="#NUM!"/>
  </r>
  <r>
    <s v="ORD-2024-451005"/>
    <x v="24"/>
    <x v="17"/>
    <d v="2023-01-01T00:00:00"/>
    <m/>
    <s v="Q2-2024"/>
    <d v="2024-06-28T00:00:00"/>
    <d v="2024-07-03T00:00:00"/>
    <n v="3"/>
    <n v="1"/>
    <n v="1"/>
    <x v="2"/>
    <x v="5"/>
    <s v="Rio de Janeiro"/>
    <s v="Small Business"/>
    <x v="4"/>
    <x v="4"/>
    <x v="6"/>
    <x v="77"/>
    <n v="1112.98"/>
    <n v="2095.73"/>
    <n v="7.1999999999999995E-2"/>
    <n v="7.1999999999999995E-2"/>
    <n v="0"/>
    <n v="17"/>
    <n v="33062.236480000007"/>
    <n v="18920.66"/>
    <n v="14141.576480000007"/>
    <n v="0.42772594916724777"/>
    <e v="#NUM!"/>
    <e v="#NUM!"/>
    <e v="#NUM!"/>
  </r>
  <r>
    <s v="ORD-2023-290279"/>
    <x v="75"/>
    <x v="23"/>
    <d v="2023-01-01T00:00:00"/>
    <m/>
    <s v="Q2-2023"/>
    <d v="2023-06-16T00:00:00"/>
    <d v="2023-06-16T00:00:00"/>
    <n v="2"/>
    <n v="1"/>
    <n v="1"/>
    <x v="3"/>
    <x v="8"/>
    <s v="Manchester"/>
    <s v="Non-Profit"/>
    <x v="4"/>
    <x v="11"/>
    <x v="0"/>
    <x v="78"/>
    <n v="357.36"/>
    <n v="703.62"/>
    <n v="0.25700000000000001"/>
    <n v="0.25700000000000001"/>
    <n v="1"/>
    <n v="20"/>
    <n v="10455.7932"/>
    <n v="7147.2000000000007"/>
    <n v="3308.5931999999993"/>
    <n v="0.31643636563125593"/>
    <e v="#NUM!"/>
    <e v="#NUM!"/>
    <e v="#NUM!"/>
  </r>
  <r>
    <s v="ORD-2024-192263"/>
    <x v="76"/>
    <x v="18"/>
    <d v="2023-01-01T00:00:00"/>
    <m/>
    <s v="Q4-2024"/>
    <d v="2024-12-21T00:00:00"/>
    <d v="2024-12-21T00:00:00"/>
    <n v="30"/>
    <n v="0"/>
    <n v="0"/>
    <x v="3"/>
    <x v="7"/>
    <s v="Marseille"/>
    <s v="Small Business"/>
    <x v="4"/>
    <x v="2"/>
    <x v="5"/>
    <x v="79"/>
    <n v="1122.68"/>
    <n v="1997.19"/>
    <n v="0.186"/>
    <n v="0.186"/>
    <n v="0"/>
    <n v="3"/>
    <n v="4877.1379800000004"/>
    <n v="3368.04"/>
    <n v="1509.0979800000005"/>
    <n v="0.30942285951073306"/>
    <e v="#NUM!"/>
    <e v="#NUM!"/>
    <e v="#NUM!"/>
  </r>
  <r>
    <s v="ORD-2023-159379"/>
    <x v="77"/>
    <x v="2"/>
    <d v="2023-01-01T00:00:00"/>
    <m/>
    <s v="Q1-2023"/>
    <d v="2023-02-11T00:00:00"/>
    <d v="2023-02-11T00:00:00"/>
    <n v="3"/>
    <n v="1"/>
    <n v="1"/>
    <x v="0"/>
    <x v="11"/>
    <s v="Cape Town"/>
    <s v="Corporate"/>
    <x v="4"/>
    <x v="12"/>
    <x v="2"/>
    <x v="80"/>
    <n v="1410.05"/>
    <n v="2763.95"/>
    <n v="0.161"/>
    <n v="0.161"/>
    <n v="0"/>
    <n v="26"/>
    <n v="60292.805299999993"/>
    <n v="36661.299999999996"/>
    <n v="23631.505299999997"/>
    <n v="0.39194569206750779"/>
    <e v="#NUM!"/>
    <e v="#NUM!"/>
    <e v="#NUM!"/>
  </r>
  <r>
    <s v="ORD-2023-343322"/>
    <x v="66"/>
    <x v="25"/>
    <d v="2023-03-01T00:00:00"/>
    <m/>
    <s v="Q3-2023"/>
    <d v="2023-09-12T00:00:00"/>
    <d v="2023-09-12T00:00:00"/>
    <n v="24"/>
    <n v="0"/>
    <n v="0"/>
    <x v="2"/>
    <x v="3"/>
    <s v="Vancouver"/>
    <s v="Enterprise"/>
    <x v="0"/>
    <x v="2"/>
    <x v="1"/>
    <x v="81"/>
    <n v="1183.95"/>
    <n v="1503.53"/>
    <n v="0.24099999999999999"/>
    <n v="0.24099999999999999"/>
    <n v="1"/>
    <n v="16"/>
    <n v="18258.868320000001"/>
    <n v="18943.2"/>
    <n v="-684.33167999999932"/>
    <n v="-3.7479413729623705E-2"/>
    <e v="#NUM!"/>
    <e v="#NUM!"/>
    <e v="#NUM!"/>
  </r>
  <r>
    <s v="ORD-2025-114382"/>
    <x v="78"/>
    <x v="8"/>
    <d v="2023-01-01T00:00:00"/>
    <m/>
    <s v="Q2-2025"/>
    <d v="2025-05-24T00:00:00"/>
    <d v="2025-05-24T00:00:00"/>
    <n v="10"/>
    <n v="0"/>
    <n v="0"/>
    <x v="3"/>
    <x v="7"/>
    <s v="Paris"/>
    <s v="Small Business"/>
    <x v="2"/>
    <x v="11"/>
    <x v="0"/>
    <x v="82"/>
    <n v="170.39"/>
    <n v="388.04"/>
    <n v="8.4000000000000005E-2"/>
    <n v="8.4000000000000005E-2"/>
    <n v="0"/>
    <n v="15"/>
    <n v="5331.6696000000002"/>
    <n v="2555.85"/>
    <n v="2775.8196000000003"/>
    <n v="0.52062858508711796"/>
    <e v="#NUM!"/>
    <e v="#NUM!"/>
    <e v="#NUM!"/>
  </r>
  <r>
    <s v="ORD-2025-488349"/>
    <x v="79"/>
    <x v="19"/>
    <d v="2023-01-01T00:00:00"/>
    <m/>
    <s v="Q2-2025"/>
    <d v="2025-04-22T00:00:00"/>
    <d v="2025-04-26T00:00:00"/>
    <n v="3"/>
    <n v="1"/>
    <n v="1"/>
    <x v="2"/>
    <x v="10"/>
    <s v="San Francisco"/>
    <s v="Non-Profit"/>
    <x v="3"/>
    <x v="14"/>
    <x v="5"/>
    <x v="83"/>
    <n v="23.24"/>
    <n v="44.57"/>
    <n v="0.215"/>
    <n v="0.215"/>
    <n v="1"/>
    <n v="15"/>
    <n v="524.81174999999996"/>
    <n v="348.59999999999997"/>
    <n v="176.21174999999999"/>
    <n v="0.33576182316802167"/>
    <e v="#NUM!"/>
    <e v="#NUM!"/>
    <e v="#NUM!"/>
  </r>
  <r>
    <s v="ORD-2025-330203"/>
    <x v="80"/>
    <x v="3"/>
    <d v="2023-01-01T00:00:00"/>
    <m/>
    <s v="Q1-2025"/>
    <d v="2025-04-17T00:00:00"/>
    <d v="2025-04-17T00:00:00"/>
    <n v="23"/>
    <n v="0"/>
    <n v="0"/>
    <x v="3"/>
    <x v="8"/>
    <s v="London"/>
    <s v="Consumer"/>
    <x v="0"/>
    <x v="10"/>
    <x v="2"/>
    <x v="84"/>
    <n v="1421.19"/>
    <n v="1808.26"/>
    <n v="0.104"/>
    <n v="0.104"/>
    <n v="0"/>
    <n v="13"/>
    <n v="21062.61248"/>
    <n v="18475.47"/>
    <n v="2587.1424799999986"/>
    <n v="0.12283103449093123"/>
    <e v="#NUM!"/>
    <e v="#NUM!"/>
    <e v="#NUM!"/>
  </r>
  <r>
    <s v="ORD-2023-841426"/>
    <x v="81"/>
    <x v="4"/>
    <d v="2023-01-01T00:00:00"/>
    <m/>
    <s v="Q4-2023"/>
    <d v="2023-12-23T00:00:00"/>
    <d v="2023-12-23T00:00:00"/>
    <n v="1"/>
    <n v="1"/>
    <n v="1"/>
    <x v="0"/>
    <x v="11"/>
    <s v="Cape Town"/>
    <s v="Non-Profit"/>
    <x v="2"/>
    <x v="14"/>
    <x v="0"/>
    <x v="85"/>
    <n v="1186.18"/>
    <n v="1285.0899999999999"/>
    <n v="7.0000000000000007E-2"/>
    <n v="7.0000000000000007E-2"/>
    <n v="0"/>
    <n v="11"/>
    <n v="13146.470699999998"/>
    <n v="13047.980000000001"/>
    <n v="98.49069999999665"/>
    <n v="7.4917977796121861E-3"/>
    <e v="#NUM!"/>
    <e v="#NUM!"/>
    <e v="#NUM!"/>
  </r>
  <r>
    <s v="ORD-2024-594592"/>
    <x v="82"/>
    <x v="20"/>
    <d v="2023-01-01T00:00:00"/>
    <m/>
    <s v="Q2-2024"/>
    <d v="2024-04-25T00:00:00"/>
    <d v="2024-04-25T00:00:00"/>
    <n v="19"/>
    <n v="0"/>
    <n v="0"/>
    <x v="1"/>
    <x v="9"/>
    <s v="Shanghai"/>
    <s v="Corporate"/>
    <x v="0"/>
    <x v="11"/>
    <x v="0"/>
    <x v="86"/>
    <n v="1366.48"/>
    <n v="1678.14"/>
    <n v="0.154"/>
    <n v="0.154"/>
    <n v="0"/>
    <n v="10"/>
    <n v="14197.064400000001"/>
    <n v="13664.8"/>
    <n v="532.26440000000184"/>
    <n v="3.7491159087790132E-2"/>
    <e v="#NUM!"/>
    <e v="#NUM!"/>
    <e v="#NUM!"/>
  </r>
  <r>
    <s v="ORD-2025-863978"/>
    <x v="83"/>
    <x v="28"/>
    <d v="2023-01-01T00:00:00"/>
    <m/>
    <s v="Q3-2025"/>
    <d v="2025-08-19T00:00:00"/>
    <d v="2025-08-19T00:00:00"/>
    <n v="12"/>
    <n v="0"/>
    <n v="0"/>
    <x v="0"/>
    <x v="0"/>
    <s v="Nakuru"/>
    <s v="Corporate"/>
    <x v="5"/>
    <x v="12"/>
    <x v="0"/>
    <x v="87"/>
    <n v="601.51"/>
    <n v="679.35"/>
    <n v="0.188"/>
    <n v="0.188"/>
    <n v="0"/>
    <n v="3"/>
    <n v="1654.8966000000003"/>
    <n v="1804.53"/>
    <n v="-149.63339999999971"/>
    <n v="-9.0418579626062243E-2"/>
    <e v="#NUM!"/>
    <e v="#NUM!"/>
    <e v="#NUM!"/>
  </r>
  <r>
    <s v="ORD-2024-604471"/>
    <x v="84"/>
    <x v="9"/>
    <d v="2023-02-01T00:00:00"/>
    <m/>
    <s v="Q1-2024"/>
    <d v="2024-01-25T00:00:00"/>
    <d v="2024-01-25T00:00:00"/>
    <n v="4"/>
    <n v="1"/>
    <n v="1"/>
    <x v="1"/>
    <x v="4"/>
    <s v="Delhi"/>
    <s v="Consumer"/>
    <x v="4"/>
    <x v="0"/>
    <x v="5"/>
    <x v="88"/>
    <n v="523.70000000000005"/>
    <n v="1109.92"/>
    <n v="0.03"/>
    <n v="0.03"/>
    <n v="0"/>
    <n v="11"/>
    <n v="11842.8464"/>
    <n v="5760.7000000000007"/>
    <n v="6082.1463999999996"/>
    <n v="0.51357133197302973"/>
    <e v="#NUM!"/>
    <e v="#NUM!"/>
    <e v="#NUM!"/>
  </r>
  <r>
    <s v="ORD-2023-258768"/>
    <x v="85"/>
    <x v="23"/>
    <d v="2023-03-01T00:00:00"/>
    <m/>
    <s v="Q2-2023"/>
    <d v="2023-07-02T00:00:00"/>
    <d v="2023-07-02T00:00:00"/>
    <n v="3"/>
    <n v="1"/>
    <n v="1"/>
    <x v="1"/>
    <x v="2"/>
    <s v="Nagoya"/>
    <s v="Education"/>
    <x v="2"/>
    <x v="9"/>
    <x v="5"/>
    <x v="89"/>
    <n v="55.65"/>
    <n v="83.57"/>
    <n v="6.6000000000000003E-2"/>
    <n v="6.6000000000000003E-2"/>
    <n v="0"/>
    <n v="8"/>
    <n v="624.43503999999996"/>
    <n v="445.2"/>
    <n v="179.23503999999997"/>
    <n v="0.2870355257449998"/>
    <e v="#NUM!"/>
    <e v="#NUM!"/>
    <e v="#NUM!"/>
  </r>
  <r>
    <s v="ORD-2025-626047"/>
    <x v="86"/>
    <x v="19"/>
    <d v="2023-03-01T00:00:00"/>
    <m/>
    <s v="Q2-2025"/>
    <d v="2025-05-15T00:00:00"/>
    <d v="2025-05-15T00:00:00"/>
    <n v="17"/>
    <n v="0"/>
    <n v="0"/>
    <x v="1"/>
    <x v="2"/>
    <s v="Nagoya"/>
    <s v="Education"/>
    <x v="4"/>
    <x v="13"/>
    <x v="2"/>
    <x v="90"/>
    <n v="691.19"/>
    <n v="1284.3"/>
    <n v="7.3999999999999996E-2"/>
    <n v="7.3999999999999996E-2"/>
    <n v="0"/>
    <n v="7"/>
    <n v="8324.8326000000015"/>
    <n v="4838.33"/>
    <n v="3486.5026000000016"/>
    <n v="0.41880753253825198"/>
    <e v="#NUM!"/>
    <e v="#NUM!"/>
    <e v="#NUM!"/>
  </r>
  <r>
    <s v="ORD-2025-526752"/>
    <x v="56"/>
    <x v="16"/>
    <d v="2023-02-01T00:00:00"/>
    <m/>
    <s v="Q2-2025"/>
    <d v="2025-06-25T00:00:00"/>
    <d v="2025-06-25T00:00:00"/>
    <n v="16"/>
    <n v="0"/>
    <n v="0"/>
    <x v="1"/>
    <x v="4"/>
    <s v="Hyderabad"/>
    <s v="Enterprise"/>
    <x v="3"/>
    <x v="12"/>
    <x v="3"/>
    <x v="91"/>
    <n v="527.33000000000004"/>
    <n v="911.72"/>
    <n v="0.14399999999999999"/>
    <n v="0.14399999999999999"/>
    <n v="0"/>
    <n v="25"/>
    <n v="19510.808000000001"/>
    <n v="13183.250000000002"/>
    <n v="6327.5579999999991"/>
    <n v="0.32431040272652978"/>
    <e v="#NUM!"/>
    <e v="#NUM!"/>
    <e v="#NUM!"/>
  </r>
  <r>
    <s v="ORD-2023-374486"/>
    <x v="87"/>
    <x v="23"/>
    <d v="2023-01-01T00:00:00"/>
    <m/>
    <s v="Q2-2023"/>
    <d v="2023-06-23T00:00:00"/>
    <d v="2023-06-27T00:00:00"/>
    <n v="3"/>
    <n v="1"/>
    <n v="1"/>
    <x v="2"/>
    <x v="5"/>
    <s v="Rio de Janeiro"/>
    <s v="Non-Profit"/>
    <x v="0"/>
    <x v="6"/>
    <x v="1"/>
    <x v="92"/>
    <n v="804.01"/>
    <n v="1405.07"/>
    <n v="9.6000000000000002E-2"/>
    <n v="9.6000000000000002E-2"/>
    <n v="0"/>
    <n v="8"/>
    <n v="10161.46624"/>
    <n v="6432.08"/>
    <n v="3729.3862399999998"/>
    <n v="0.36701260939287439"/>
    <e v="#NUM!"/>
    <e v="#NUM!"/>
    <e v="#NUM!"/>
  </r>
  <r>
    <s v="ORD-2024-997336"/>
    <x v="88"/>
    <x v="1"/>
    <d v="2023-02-01T00:00:00"/>
    <m/>
    <s v="Q4-2024"/>
    <d v="2024-11-02T00:00:00"/>
    <d v="2024-11-02T00:00:00"/>
    <n v="29"/>
    <n v="0"/>
    <n v="0"/>
    <x v="0"/>
    <x v="1"/>
    <s v="Abuja"/>
    <s v="Corporate"/>
    <x v="3"/>
    <x v="9"/>
    <x v="6"/>
    <x v="93"/>
    <n v="412.09"/>
    <n v="968.94"/>
    <n v="9.9000000000000005E-2"/>
    <n v="9.9000000000000005E-2"/>
    <n v="0"/>
    <n v="23"/>
    <n v="20079.343620000003"/>
    <n v="9478.07"/>
    <n v="10601.273620000004"/>
    <n v="0.52796913189137418"/>
    <e v="#NUM!"/>
    <e v="#NUM!"/>
    <e v="#NUM!"/>
  </r>
  <r>
    <s v="ORD-2025-725646"/>
    <x v="59"/>
    <x v="11"/>
    <d v="2023-01-01T00:00:00"/>
    <m/>
    <s v="Q3-2025"/>
    <d v="2025-09-30T00:00:00"/>
    <d v="2025-09-30T00:00:00"/>
    <n v="20"/>
    <n v="0"/>
    <n v="0"/>
    <x v="0"/>
    <x v="0"/>
    <s v="Mombasa"/>
    <s v="Corporate"/>
    <x v="4"/>
    <x v="4"/>
    <x v="3"/>
    <x v="94"/>
    <n v="1009.48"/>
    <n v="1088.81"/>
    <n v="0.16"/>
    <n v="0.16"/>
    <n v="0"/>
    <n v="6"/>
    <n v="5487.6023999999998"/>
    <n v="6056.88"/>
    <n v="-569.27760000000035"/>
    <n v="-0.10373885688219693"/>
    <e v="#NUM!"/>
    <e v="#NUM!"/>
    <e v="#NUM!"/>
  </r>
  <r>
    <s v="ORD-2023-868734"/>
    <x v="89"/>
    <x v="12"/>
    <d v="2023-01-01T00:00:00"/>
    <m/>
    <s v="Q2-2023"/>
    <d v="2023-04-27T00:00:00"/>
    <d v="2023-04-27T00:00:00"/>
    <n v="21"/>
    <n v="0"/>
    <n v="0"/>
    <x v="3"/>
    <x v="8"/>
    <s v="Manchester"/>
    <s v="Enterprise"/>
    <x v="3"/>
    <x v="2"/>
    <x v="1"/>
    <x v="95"/>
    <n v="1084.79"/>
    <n v="2484.9899999999998"/>
    <n v="3.4000000000000002E-2"/>
    <n v="3.4000000000000002E-2"/>
    <n v="0"/>
    <n v="18"/>
    <n v="43209.006119999991"/>
    <n v="19526.22"/>
    <n v="23682.78611999999"/>
    <n v="0.54809837685755114"/>
    <e v="#NUM!"/>
    <e v="#NUM!"/>
    <e v="#NUM!"/>
  </r>
  <r>
    <s v="ORD-2025-262491"/>
    <x v="90"/>
    <x v="28"/>
    <d v="2023-02-01T00:00:00"/>
    <m/>
    <s v="Q3-2025"/>
    <d v="2025-08-16T00:00:00"/>
    <d v="2025-08-16T00:00:00"/>
    <n v="15"/>
    <n v="0"/>
    <n v="0"/>
    <x v="1"/>
    <x v="4"/>
    <s v="Delhi"/>
    <s v="Enterprise"/>
    <x v="4"/>
    <x v="7"/>
    <x v="5"/>
    <x v="96"/>
    <n v="24.44"/>
    <n v="28.69"/>
    <n v="0.14599999999999999"/>
    <n v="0.14599999999999999"/>
    <n v="0"/>
    <n v="6"/>
    <n v="147.00756000000001"/>
    <n v="146.64000000000001"/>
    <n v="0.36755999999999744"/>
    <n v="2.5002795774584476E-3"/>
    <e v="#NUM!"/>
    <e v="#NUM!"/>
    <e v="#NUM!"/>
  </r>
  <r>
    <s v="ORD-2024-638884"/>
    <x v="91"/>
    <x v="7"/>
    <d v="2023-02-01T00:00:00"/>
    <m/>
    <s v="Q2-2024"/>
    <d v="2024-05-26T00:00:00"/>
    <d v="2024-05-31T00:00:00"/>
    <n v="3"/>
    <n v="1"/>
    <n v="1"/>
    <x v="0"/>
    <x v="1"/>
    <s v="Abuja"/>
    <s v="Enterprise"/>
    <x v="1"/>
    <x v="9"/>
    <x v="6"/>
    <x v="97"/>
    <n v="1227.08"/>
    <n v="1896.62"/>
    <n v="0"/>
    <n v="0"/>
    <n v="0"/>
    <n v="18"/>
    <n v="34139.159999999996"/>
    <n v="22087.439999999999"/>
    <n v="12051.719999999998"/>
    <n v="0.353017473189147"/>
    <e v="#NUM!"/>
    <e v="#NUM!"/>
    <e v="#NUM!"/>
  </r>
  <r>
    <s v="ORD-2025-541501"/>
    <x v="92"/>
    <x v="13"/>
    <d v="2023-01-01T00:00:00"/>
    <m/>
    <s v="Q3-2025"/>
    <d v="2025-08-18T00:00:00"/>
    <d v="2025-08-18T00:00:00"/>
    <n v="27"/>
    <n v="0"/>
    <n v="0"/>
    <x v="1"/>
    <x v="9"/>
    <s v="Shenzhen"/>
    <s v="Non-Profit"/>
    <x v="2"/>
    <x v="12"/>
    <x v="2"/>
    <x v="98"/>
    <n v="547.32000000000005"/>
    <n v="419.17"/>
    <n v="9.1999999999999998E-2"/>
    <n v="9.1999999999999998E-2"/>
    <n v="0"/>
    <n v="14"/>
    <n v="5328.4890400000004"/>
    <n v="7662.4800000000005"/>
    <n v="-2333.9909600000001"/>
    <n v="-0.43802116181137907"/>
    <e v="#NUM!"/>
    <e v="#NUM!"/>
    <e v="#NUM!"/>
  </r>
  <r>
    <s v="ORD-2023-422918"/>
    <x v="2"/>
    <x v="2"/>
    <d v="2023-01-01T00:00:00"/>
    <m/>
    <s v="Q1-2023"/>
    <d v="2023-03-20T00:00:00"/>
    <d v="2023-03-20T00:00:00"/>
    <n v="20"/>
    <n v="0"/>
    <n v="0"/>
    <x v="3"/>
    <x v="6"/>
    <s v="Berlin"/>
    <s v="Small Business"/>
    <x v="4"/>
    <x v="10"/>
    <x v="4"/>
    <x v="99"/>
    <n v="1200.78"/>
    <n v="2001.17"/>
    <n v="0.29199999999999998"/>
    <n v="0.29199999999999998"/>
    <n v="1"/>
    <n v="18"/>
    <n v="25502.910479999999"/>
    <n v="21614.04"/>
    <n v="3888.8704799999978"/>
    <n v="0.15248732034132906"/>
    <e v="#NUM!"/>
    <e v="#NUM!"/>
    <e v="#NUM!"/>
  </r>
  <r>
    <s v="ORD-2025-328504"/>
    <x v="93"/>
    <x v="10"/>
    <d v="2023-01-01T00:00:00"/>
    <m/>
    <s v="Q1-2025"/>
    <d v="2025-02-15T00:00:00"/>
    <d v="2025-02-15T00:00:00"/>
    <n v="19"/>
    <n v="0"/>
    <n v="0"/>
    <x v="1"/>
    <x v="9"/>
    <s v="Shenzhen"/>
    <s v="Non-Profit"/>
    <x v="4"/>
    <x v="4"/>
    <x v="3"/>
    <x v="100"/>
    <n v="1253.22"/>
    <n v="3104.71"/>
    <n v="0"/>
    <n v="0"/>
    <n v="0"/>
    <n v="17"/>
    <n v="52780.07"/>
    <n v="21304.74"/>
    <n v="31475.329999999998"/>
    <n v="0.59634877331538205"/>
    <e v="#NUM!"/>
    <e v="#NUM!"/>
    <e v="#NUM!"/>
  </r>
  <r>
    <s v="ORD-2024-851883"/>
    <x v="94"/>
    <x v="9"/>
    <d v="2023-02-01T00:00:00"/>
    <m/>
    <s v="Q1-2024"/>
    <d v="2024-01-22T00:00:00"/>
    <d v="2024-01-22T00:00:00"/>
    <n v="9"/>
    <n v="0"/>
    <n v="0"/>
    <x v="1"/>
    <x v="4"/>
    <s v="Mumbai"/>
    <s v="Enterprise"/>
    <x v="2"/>
    <x v="1"/>
    <x v="0"/>
    <x v="101"/>
    <n v="313.60000000000002"/>
    <n v="334.28"/>
    <n v="0.14000000000000001"/>
    <n v="0.14000000000000001"/>
    <n v="0"/>
    <n v="22"/>
    <n v="6324.5775999999996"/>
    <n v="6899.2000000000007"/>
    <n v="-574.62240000000111"/>
    <n v="-9.0855458868905517E-2"/>
    <e v="#NUM!"/>
    <e v="#NUM!"/>
    <e v="#NUM!"/>
  </r>
  <r>
    <s v="ORD-2025-662997"/>
    <x v="95"/>
    <x v="3"/>
    <d v="2023-01-01T00:00:00"/>
    <m/>
    <s v="Q1-2025"/>
    <d v="2025-04-04T00:00:00"/>
    <d v="2025-04-04T00:00:00"/>
    <n v="4"/>
    <n v="1"/>
    <n v="1"/>
    <x v="0"/>
    <x v="0"/>
    <s v="Nakuru"/>
    <s v="Corporate"/>
    <x v="4"/>
    <x v="0"/>
    <x v="4"/>
    <x v="102"/>
    <n v="862.08"/>
    <n v="1952.83"/>
    <n v="0"/>
    <n v="0"/>
    <n v="0"/>
    <n v="7"/>
    <n v="13669.81"/>
    <n v="6034.56"/>
    <n v="7635.2499999999991"/>
    <n v="0.5585483631447693"/>
    <e v="#NUM!"/>
    <e v="#NUM!"/>
    <e v="#NUM!"/>
  </r>
  <r>
    <s v="ORD-2024-478165"/>
    <x v="96"/>
    <x v="6"/>
    <d v="2023-03-01T00:00:00"/>
    <m/>
    <s v="Q4-2024"/>
    <d v="2024-12-28T00:00:00"/>
    <d v="2024-12-28T00:00:00"/>
    <n v="23"/>
    <n v="0"/>
    <n v="0"/>
    <x v="2"/>
    <x v="3"/>
    <s v="Vancouver"/>
    <s v="Corporate"/>
    <x v="4"/>
    <x v="9"/>
    <x v="6"/>
    <x v="103"/>
    <n v="107.03"/>
    <n v="242.29"/>
    <n v="0.18"/>
    <n v="0.18"/>
    <n v="0"/>
    <n v="30"/>
    <n v="5960.3340000000007"/>
    <n v="3210.9"/>
    <n v="2749.4340000000007"/>
    <n v="0.46128857879440988"/>
    <e v="#NUM!"/>
    <e v="#NUM!"/>
    <e v="#NUM!"/>
  </r>
  <r>
    <s v="ORD-2024-771210"/>
    <x v="97"/>
    <x v="29"/>
    <d v="2023-01-01T00:00:00"/>
    <m/>
    <s v="Q3-2024"/>
    <d v="2024-10-05T00:00:00"/>
    <d v="2024-10-05T00:00:00"/>
    <n v="21"/>
    <n v="0"/>
    <n v="0"/>
    <x v="1"/>
    <x v="9"/>
    <s v="Shanghai"/>
    <s v="Small Business"/>
    <x v="1"/>
    <x v="10"/>
    <x v="4"/>
    <x v="104"/>
    <n v="1405.56"/>
    <n v="2968.87"/>
    <n v="0.16900000000000001"/>
    <n v="0.16900000000000001"/>
    <n v="0"/>
    <n v="5"/>
    <n v="12335.654849999999"/>
    <n v="7027.7999999999993"/>
    <n v="5307.8548499999997"/>
    <n v="0.4302856163327235"/>
    <e v="#NUM!"/>
    <e v="#NUM!"/>
    <e v="#NUM!"/>
  </r>
  <r>
    <s v="ORD-2024-155337"/>
    <x v="98"/>
    <x v="7"/>
    <d v="2023-01-01T00:00:00"/>
    <m/>
    <s v="Q2-2024"/>
    <d v="2024-05-27T00:00:00"/>
    <d v="2024-05-27T00:00:00"/>
    <n v="6"/>
    <n v="1"/>
    <n v="1"/>
    <x v="0"/>
    <x v="11"/>
    <s v="Johannesburg"/>
    <s v="Non-Profit"/>
    <x v="1"/>
    <x v="12"/>
    <x v="0"/>
    <x v="105"/>
    <n v="1157.51"/>
    <n v="1394.3"/>
    <n v="0.27800000000000002"/>
    <n v="0.27800000000000002"/>
    <n v="1"/>
    <n v="12"/>
    <n v="12080.215199999999"/>
    <n v="13890.119999999999"/>
    <n v="-1809.9048000000003"/>
    <n v="-0.14982388724333326"/>
    <e v="#NUM!"/>
    <e v="#NUM!"/>
    <e v="#NUM!"/>
  </r>
  <r>
    <s v="ORD-2023-251563"/>
    <x v="20"/>
    <x v="15"/>
    <d v="2023-01-01T00:00:00"/>
    <m/>
    <s v="Q2-2023"/>
    <d v="2023-06-07T00:00:00"/>
    <d v="2023-06-07T00:00:00"/>
    <n v="27"/>
    <n v="0"/>
    <n v="0"/>
    <x v="0"/>
    <x v="0"/>
    <s v="Mombasa"/>
    <s v="Corporate"/>
    <x v="1"/>
    <x v="1"/>
    <x v="3"/>
    <x v="106"/>
    <n v="12.85"/>
    <n v="15.41"/>
    <n v="0.13700000000000001"/>
    <n v="0.13700000000000001"/>
    <n v="0"/>
    <n v="39"/>
    <n v="518.65436999999997"/>
    <n v="501.15"/>
    <n v="17.504369999999994"/>
    <n v="3.3749585489851353E-2"/>
    <e v="#NUM!"/>
    <e v="#NUM!"/>
    <e v="#NUM!"/>
  </r>
  <r>
    <s v="ORD-2024-286833"/>
    <x v="99"/>
    <x v="21"/>
    <d v="2023-01-01T00:00:00"/>
    <m/>
    <s v="Q3-2024"/>
    <d v="2024-09-04T00:00:00"/>
    <d v="2024-09-04T00:00:00"/>
    <n v="21"/>
    <n v="0"/>
    <n v="0"/>
    <x v="3"/>
    <x v="8"/>
    <s v="Manchester"/>
    <s v="Non-Profit"/>
    <x v="1"/>
    <x v="1"/>
    <x v="3"/>
    <x v="107"/>
    <n v="1138.8"/>
    <n v="2250.81"/>
    <n v="0.123"/>
    <n v="0.123"/>
    <n v="0"/>
    <n v="12"/>
    <n v="23687.524440000001"/>
    <n v="13665.599999999999"/>
    <n v="10021.924440000003"/>
    <n v="0.42308872188756258"/>
    <e v="#NUM!"/>
    <e v="#NUM!"/>
    <e v="#NUM!"/>
  </r>
  <r>
    <s v="ORD-2024-792558"/>
    <x v="100"/>
    <x v="1"/>
    <d v="2023-03-01T00:00:00"/>
    <m/>
    <s v="Q4-2024"/>
    <d v="2024-11-08T00:00:00"/>
    <d v="2024-11-08T00:00:00"/>
    <n v="23"/>
    <n v="0"/>
    <n v="0"/>
    <x v="1"/>
    <x v="2"/>
    <s v="Osaka"/>
    <s v="Small Business"/>
    <x v="0"/>
    <x v="1"/>
    <x v="2"/>
    <x v="108"/>
    <n v="82.14"/>
    <n v="166.04"/>
    <n v="0"/>
    <n v="0"/>
    <n v="0"/>
    <n v="10"/>
    <n v="1660.3999999999999"/>
    <n v="821.4"/>
    <n v="838.99999999999989"/>
    <n v="0.50529992772825827"/>
    <e v="#NUM!"/>
    <e v="#NUM!"/>
    <e v="#NUM!"/>
  </r>
  <r>
    <s v="ORD-2024-166150"/>
    <x v="101"/>
    <x v="17"/>
    <d v="2023-01-01T00:00:00"/>
    <m/>
    <s v="Q2-2024"/>
    <d v="2024-06-08T00:00:00"/>
    <d v="2024-06-08T00:00:00"/>
    <n v="6"/>
    <n v="1"/>
    <n v="1"/>
    <x v="0"/>
    <x v="0"/>
    <s v="Kisumu"/>
    <s v="Consumer"/>
    <x v="2"/>
    <x v="8"/>
    <x v="6"/>
    <x v="109"/>
    <n v="292.94"/>
    <n v="356.55"/>
    <n v="0.22900000000000001"/>
    <n v="0.22900000000000001"/>
    <n v="1"/>
    <n v="2"/>
    <n v="549.80010000000004"/>
    <n v="585.88"/>
    <n v="-36.079899999999952"/>
    <n v="-6.5623669402751925E-2"/>
    <e v="#NUM!"/>
    <e v="#NUM!"/>
    <e v="#NUM!"/>
  </r>
  <r>
    <s v="ORD-2024-909942"/>
    <x v="102"/>
    <x v="17"/>
    <d v="2023-01-01T00:00:00"/>
    <m/>
    <s v="Q2-2024"/>
    <d v="2024-07-07T00:00:00"/>
    <d v="2024-07-07T00:00:00"/>
    <n v="28"/>
    <n v="0"/>
    <n v="0"/>
    <x v="1"/>
    <x v="9"/>
    <s v="Shenzhen"/>
    <s v="Corporate"/>
    <x v="1"/>
    <x v="1"/>
    <x v="0"/>
    <x v="110"/>
    <n v="550.22"/>
    <n v="1025.05"/>
    <n v="0"/>
    <n v="0"/>
    <n v="0"/>
    <n v="27"/>
    <n v="27676.35"/>
    <n v="14855.94"/>
    <n v="12820.409999999998"/>
    <n v="0.46322618408858102"/>
    <e v="#NUM!"/>
    <e v="#NUM!"/>
    <e v="#NUM!"/>
  </r>
  <r>
    <s v="ORD-2024-223618"/>
    <x v="103"/>
    <x v="17"/>
    <d v="2023-01-01T00:00:00"/>
    <m/>
    <s v="Q2-2024"/>
    <d v="2024-06-11T00:00:00"/>
    <d v="2024-06-11T00:00:00"/>
    <n v="1"/>
    <n v="1"/>
    <n v="1"/>
    <x v="3"/>
    <x v="8"/>
    <s v="Birmingham"/>
    <s v="Small Business"/>
    <x v="2"/>
    <x v="12"/>
    <x v="4"/>
    <x v="111"/>
    <n v="1187.1300000000001"/>
    <n v="1795.17"/>
    <n v="1.2E-2"/>
    <n v="1.2E-2"/>
    <n v="0"/>
    <n v="17"/>
    <n v="30151.675319999998"/>
    <n v="20181.210000000003"/>
    <n v="9970.4653199999957"/>
    <n v="0.33067699271046663"/>
    <e v="#NUM!"/>
    <e v="#NUM!"/>
    <e v="#NUM!"/>
  </r>
  <r>
    <s v="ORD-2024-919471"/>
    <x v="104"/>
    <x v="17"/>
    <d v="2023-01-01T00:00:00"/>
    <m/>
    <s v="Q2-2024"/>
    <d v="2024-07-26T00:00:00"/>
    <d v="2024-07-26T00:00:00"/>
    <n v="27"/>
    <n v="0"/>
    <n v="0"/>
    <x v="0"/>
    <x v="11"/>
    <s v="Durban"/>
    <s v="Enterprise"/>
    <x v="3"/>
    <x v="5"/>
    <x v="2"/>
    <x v="112"/>
    <n v="5.36"/>
    <n v="4.37"/>
    <n v="0.11799999999999999"/>
    <n v="0.11799999999999999"/>
    <n v="0"/>
    <n v="9"/>
    <n v="34.689059999999998"/>
    <n v="48.24"/>
    <n v="-13.550940000000004"/>
    <n v="-0.39064016148030545"/>
    <e v="#NUM!"/>
    <e v="#NUM!"/>
    <e v="#NUM!"/>
  </r>
  <r>
    <s v="ORD-2025-649239"/>
    <x v="105"/>
    <x v="10"/>
    <d v="2023-01-01T00:00:00"/>
    <m/>
    <s v="Q1-2025"/>
    <d v="2025-01-24T00:00:00"/>
    <d v="2025-01-24T00:00:00"/>
    <n v="7"/>
    <n v="1"/>
    <n v="1"/>
    <x v="2"/>
    <x v="10"/>
    <s v="Austin"/>
    <s v="Enterprise"/>
    <x v="1"/>
    <x v="3"/>
    <x v="6"/>
    <x v="113"/>
    <n v="142.09"/>
    <n v="218.5"/>
    <n v="0.11899999999999999"/>
    <n v="0.11899999999999999"/>
    <n v="0"/>
    <n v="11"/>
    <n v="2117.4834999999998"/>
    <n v="1562.99"/>
    <n v="554.49349999999981"/>
    <n v="0.26186437816398561"/>
    <e v="#NUM!"/>
    <e v="#NUM!"/>
    <e v="#NUM!"/>
  </r>
  <r>
    <s v="ORD-2023-975863"/>
    <x v="106"/>
    <x v="30"/>
    <d v="2023-03-01T00:00:00"/>
    <m/>
    <s v="Q4-2023"/>
    <d v="2023-12-05T00:00:00"/>
    <d v="2023-12-05T00:00:00"/>
    <n v="15"/>
    <n v="0"/>
    <n v="0"/>
    <x v="1"/>
    <x v="2"/>
    <s v="Tokyo"/>
    <s v="Enterprise"/>
    <x v="0"/>
    <x v="4"/>
    <x v="2"/>
    <x v="114"/>
    <n v="354.24"/>
    <n v="249.87"/>
    <n v="0"/>
    <n v="0"/>
    <n v="0"/>
    <n v="6"/>
    <n v="1499.22"/>
    <n v="2125.44"/>
    <n v="-626.22"/>
    <n v="-0.41769720254532355"/>
    <e v="#NUM!"/>
    <e v="#NUM!"/>
    <e v="#NUM!"/>
  </r>
  <r>
    <s v="ORD-2023-869884"/>
    <x v="107"/>
    <x v="22"/>
    <d v="2023-01-01T00:00:00"/>
    <m/>
    <s v="Q1-2023"/>
    <d v="2023-03-05T00:00:00"/>
    <d v="2023-03-05T00:00:00"/>
    <n v="3"/>
    <n v="1"/>
    <n v="1"/>
    <x v="2"/>
    <x v="5"/>
    <s v="Brasília"/>
    <s v="Enterprise"/>
    <x v="4"/>
    <x v="3"/>
    <x v="5"/>
    <x v="115"/>
    <n v="1473.58"/>
    <n v="3436.52"/>
    <n v="0.108"/>
    <n v="0.108"/>
    <n v="0"/>
    <n v="8"/>
    <n v="24523.006720000001"/>
    <n v="11788.64"/>
    <n v="12734.366720000002"/>
    <n v="0.51928243813652564"/>
    <e v="#NUM!"/>
    <e v="#NUM!"/>
    <e v="#NUM!"/>
  </r>
  <r>
    <s v="ORD-2025-698069"/>
    <x v="108"/>
    <x v="16"/>
    <d v="2023-03-01T00:00:00"/>
    <m/>
    <s v="Q2-2025"/>
    <d v="2025-06-10T00:00:00"/>
    <d v="2025-06-10T00:00:00"/>
    <n v="7"/>
    <n v="1"/>
    <n v="1"/>
    <x v="2"/>
    <x v="3"/>
    <s v="Toronto"/>
    <s v="Consumer"/>
    <x v="3"/>
    <x v="7"/>
    <x v="1"/>
    <x v="116"/>
    <n v="75.180000000000007"/>
    <n v="53.45"/>
    <n v="0.157"/>
    <n v="0.157"/>
    <n v="0"/>
    <n v="17"/>
    <n v="765.99195000000009"/>
    <n v="1278.0600000000002"/>
    <n v="-512.06805000000008"/>
    <n v="-0.66850317421743144"/>
    <e v="#NUM!"/>
    <e v="#NUM!"/>
    <e v="#NUM!"/>
  </r>
  <r>
    <s v="ORD-2024-474999"/>
    <x v="6"/>
    <x v="6"/>
    <d v="2023-01-01T00:00:00"/>
    <m/>
    <s v="Q4-2024"/>
    <d v="2025-01-02T00:00:00"/>
    <d v="2025-01-02T00:00:00"/>
    <n v="6"/>
    <n v="1"/>
    <n v="1"/>
    <x v="3"/>
    <x v="6"/>
    <s v="Frankfurt"/>
    <s v="Education"/>
    <x v="4"/>
    <x v="9"/>
    <x v="4"/>
    <x v="117"/>
    <n v="1391.99"/>
    <n v="3469.7"/>
    <n v="0.184"/>
    <n v="0.184"/>
    <n v="0"/>
    <n v="23"/>
    <n v="65119.329599999997"/>
    <n v="32015.77"/>
    <n v="33103.559599999993"/>
    <n v="0.50835227886006973"/>
    <e v="#NUM!"/>
    <e v="#NUM!"/>
    <e v="#NUM!"/>
  </r>
  <r>
    <s v="ORD-2023-427304"/>
    <x v="109"/>
    <x v="23"/>
    <d v="2023-01-01T00:00:00"/>
    <m/>
    <s v="Q2-2023"/>
    <d v="2023-06-19T00:00:00"/>
    <d v="2023-06-19T00:00:00"/>
    <n v="10"/>
    <n v="0"/>
    <n v="0"/>
    <x v="1"/>
    <x v="9"/>
    <s v="Beijing"/>
    <s v="Enterprise"/>
    <x v="0"/>
    <x v="9"/>
    <x v="5"/>
    <x v="118"/>
    <n v="339.61"/>
    <n v="621.02"/>
    <n v="7.0999999999999994E-2"/>
    <n v="7.0999999999999994E-2"/>
    <n v="0"/>
    <n v="10"/>
    <n v="5769.2758000000003"/>
    <n v="3396.1000000000004"/>
    <n v="2373.1758"/>
    <n v="0.41134726129750981"/>
    <e v="#NUM!"/>
    <e v="#NUM!"/>
    <e v="#NUM!"/>
  </r>
  <r>
    <s v="ORD-2025-956101"/>
    <x v="110"/>
    <x v="13"/>
    <d v="2023-03-01T00:00:00"/>
    <m/>
    <s v="Q3-2025"/>
    <d v="2025-07-18T00:00:00"/>
    <d v="2025-07-18T00:00:00"/>
    <n v="9"/>
    <n v="0"/>
    <n v="0"/>
    <x v="2"/>
    <x v="3"/>
    <s v="Vancouver"/>
    <s v="Education"/>
    <x v="3"/>
    <x v="2"/>
    <x v="4"/>
    <x v="119"/>
    <n v="57.96"/>
    <n v="88.51"/>
    <n v="4.2999999999999997E-2"/>
    <n v="4.2999999999999997E-2"/>
    <n v="0"/>
    <n v="7"/>
    <n v="592.92849000000001"/>
    <n v="405.72"/>
    <n v="187.20848999999998"/>
    <n v="0.3157353595877978"/>
    <e v="#NUM!"/>
    <e v="#NUM!"/>
    <e v="#NUM!"/>
  </r>
  <r>
    <s v="ORD-2025-184082"/>
    <x v="111"/>
    <x v="16"/>
    <d v="2023-01-01T00:00:00"/>
    <m/>
    <s v="Q2-2025"/>
    <d v="2025-07-12T00:00:00"/>
    <d v="2025-07-12T00:00:00"/>
    <n v="23"/>
    <n v="0"/>
    <n v="0"/>
    <x v="3"/>
    <x v="8"/>
    <m/>
    <s v="Non-Profit"/>
    <x v="4"/>
    <x v="15"/>
    <x v="2"/>
    <x v="120"/>
    <n v="801.24"/>
    <n v="1959.09"/>
    <n v="0.123"/>
    <n v="0.123"/>
    <n v="0"/>
    <n v="23"/>
    <n v="39516.804389999998"/>
    <n v="18428.52"/>
    <n v="21088.284389999997"/>
    <n v="0.53365358650651762"/>
    <e v="#NUM!"/>
    <e v="#NUM!"/>
    <e v="#NUM!"/>
  </r>
  <r>
    <s v="ORD-2023-576840"/>
    <x v="112"/>
    <x v="30"/>
    <d v="2023-01-01T00:00:00"/>
    <m/>
    <s v="Q4-2023"/>
    <d v="2023-12-13T00:00:00"/>
    <d v="2023-12-13T00:00:00"/>
    <n v="24"/>
    <n v="0"/>
    <n v="0"/>
    <x v="3"/>
    <x v="7"/>
    <s v="Lyon"/>
    <s v="Non-Profit"/>
    <x v="4"/>
    <x v="10"/>
    <x v="5"/>
    <x v="121"/>
    <n v="1297.42"/>
    <n v="2742.97"/>
    <n v="6.9000000000000006E-2"/>
    <n v="6.9000000000000006E-2"/>
    <n v="0"/>
    <n v="9"/>
    <n v="22983.34563"/>
    <n v="11676.78"/>
    <n v="11306.565629999999"/>
    <n v="0.49194602961727291"/>
    <e v="#NUM!"/>
    <e v="#NUM!"/>
    <e v="#NUM!"/>
  </r>
  <r>
    <s v="ORD-2023-178249"/>
    <x v="113"/>
    <x v="4"/>
    <d v="2023-01-01T00:00:00"/>
    <m/>
    <s v="Q4-2023"/>
    <d v="2024-01-20T00:00:00"/>
    <d v="2024-01-20T00:00:00"/>
    <n v="22"/>
    <n v="0"/>
    <n v="0"/>
    <x v="0"/>
    <x v="0"/>
    <s v="Kisumu"/>
    <s v="Corporate"/>
    <x v="4"/>
    <x v="4"/>
    <x v="3"/>
    <x v="122"/>
    <n v="1395.49"/>
    <n v="1679.42"/>
    <n v="0.20300000000000001"/>
    <n v="0.20300000000000001"/>
    <n v="1"/>
    <n v="12"/>
    <n v="16061.972879999999"/>
    <n v="16745.88"/>
    <n v="-683.90712000000167"/>
    <n v="-4.2579272490964493E-2"/>
    <e v="#NUM!"/>
    <e v="#NUM!"/>
    <e v="#NUM!"/>
  </r>
  <r>
    <s v="ORD-2024-588972"/>
    <x v="61"/>
    <x v="18"/>
    <d v="2023-01-01T00:00:00"/>
    <m/>
    <s v="Q4-2024"/>
    <d v="2024-11-29T00:00:00"/>
    <d v="2024-11-29T00:00:00"/>
    <n v="27"/>
    <n v="0"/>
    <n v="0"/>
    <x v="2"/>
    <x v="5"/>
    <s v="Brasília"/>
    <s v="Small Business"/>
    <x v="4"/>
    <x v="2"/>
    <x v="2"/>
    <x v="123"/>
    <n v="1363.51"/>
    <n v="1433.9"/>
    <n v="5.7000000000000002E-2"/>
    <n v="5.7000000000000002E-2"/>
    <n v="0"/>
    <n v="8"/>
    <n v="10817.3416"/>
    <n v="10908.08"/>
    <n v="-90.738400000000183"/>
    <n v="-8.3882346842037592E-3"/>
    <e v="#NUM!"/>
    <e v="#NUM!"/>
    <e v="#NUM!"/>
  </r>
  <r>
    <s v="ORD-2023-603238"/>
    <x v="114"/>
    <x v="25"/>
    <d v="2023-03-01T00:00:00"/>
    <m/>
    <s v="Q3-2023"/>
    <d v="2023-09-04T00:00:00"/>
    <d v="2023-09-04T00:00:00"/>
    <n v="14"/>
    <n v="0"/>
    <n v="0"/>
    <x v="2"/>
    <x v="3"/>
    <s v="Montreal"/>
    <s v="Education"/>
    <x v="3"/>
    <x v="9"/>
    <x v="0"/>
    <x v="124"/>
    <n v="178.19"/>
    <n v="284.43"/>
    <n v="8.8999999999999996E-2"/>
    <n v="8.8999999999999996E-2"/>
    <n v="0"/>
    <n v="8"/>
    <n v="2072.9258400000003"/>
    <n v="1425.52"/>
    <n v="647.40584000000035"/>
    <n v="0.31231500302972742"/>
    <e v="#NUM!"/>
    <e v="#NUM!"/>
    <e v="#NUM!"/>
  </r>
  <r>
    <s v="ORD-2023-883066"/>
    <x v="115"/>
    <x v="25"/>
    <d v="2023-01-01T00:00:00"/>
    <m/>
    <s v="Q3-2023"/>
    <d v="2023-09-06T00:00:00"/>
    <d v="2023-09-06T00:00:00"/>
    <n v="25"/>
    <n v="0"/>
    <n v="0"/>
    <x v="1"/>
    <x v="9"/>
    <s v="Shanghai"/>
    <s v="Small Business"/>
    <x v="0"/>
    <x v="5"/>
    <x v="0"/>
    <x v="125"/>
    <n v="950.77"/>
    <n v="694.78"/>
    <n v="8.4000000000000005E-2"/>
    <n v="8.4000000000000005E-2"/>
    <n v="0"/>
    <n v="14"/>
    <n v="8909.8587200000002"/>
    <n v="13310.779999999999"/>
    <n v="-4400.9212799999987"/>
    <n v="-0.49393839097821279"/>
    <e v="#NUM!"/>
    <e v="#NUM!"/>
    <e v="#NUM!"/>
  </r>
  <r>
    <s v="ORD-2024-584090"/>
    <x v="116"/>
    <x v="17"/>
    <d v="2023-01-01T00:00:00"/>
    <m/>
    <s v="Q2-2024"/>
    <d v="2024-06-26T00:00:00"/>
    <d v="2024-06-26T00:00:00"/>
    <n v="19"/>
    <n v="0"/>
    <n v="0"/>
    <x v="3"/>
    <x v="6"/>
    <s v="Berlin"/>
    <s v="Non-Profit"/>
    <x v="2"/>
    <x v="12"/>
    <x v="0"/>
    <x v="126"/>
    <n v="1064.32"/>
    <n v="1848.39"/>
    <n v="7.2999999999999995E-2"/>
    <n v="7.2999999999999995E-2"/>
    <n v="0"/>
    <n v="38"/>
    <n v="65111.38614000001"/>
    <n v="40444.159999999996"/>
    <n v="24667.226140000013"/>
    <n v="0.3788465827921631"/>
    <e v="#NUM!"/>
    <e v="#NUM!"/>
    <e v="#NUM!"/>
  </r>
  <r>
    <s v="ORD-2025-537785"/>
    <x v="117"/>
    <x v="28"/>
    <d v="2023-01-01T00:00:00"/>
    <m/>
    <s v="Q3-2025"/>
    <d v="2025-08-14T00:00:00"/>
    <d v="2025-08-14T00:00:00"/>
    <n v="9"/>
    <n v="0"/>
    <n v="0"/>
    <x v="3"/>
    <x v="8"/>
    <s v="London"/>
    <s v="Non-Profit"/>
    <x v="4"/>
    <x v="6"/>
    <x v="0"/>
    <x v="127"/>
    <n v="41.76"/>
    <n v="45.19"/>
    <n v="0.17899999999999999"/>
    <n v="0.17899999999999999"/>
    <n v="0"/>
    <n v="23"/>
    <n v="853.32276999999988"/>
    <n v="960.4799999999999"/>
    <n v="-107.15723000000003"/>
    <n v="-0.12557643340514638"/>
    <e v="#NUM!"/>
    <e v="#NUM!"/>
    <e v="#NUM!"/>
  </r>
  <r>
    <s v="ORD-2024-605518"/>
    <x v="118"/>
    <x v="7"/>
    <d v="2023-01-01T00:00:00"/>
    <m/>
    <s v="Q2-2024"/>
    <d v="2024-06-13T00:00:00"/>
    <d v="2024-06-13T00:00:00"/>
    <n v="14"/>
    <n v="0"/>
    <n v="0"/>
    <x v="2"/>
    <x v="10"/>
    <s v="San Francisco"/>
    <s v="Small Business"/>
    <x v="0"/>
    <x v="9"/>
    <x v="3"/>
    <x v="128"/>
    <n v="157.78"/>
    <n v="361.1"/>
    <n v="0.187"/>
    <n v="0.187"/>
    <n v="0"/>
    <n v="9"/>
    <n v="2642.1686999999997"/>
    <n v="1420.02"/>
    <n v="1222.1486999999997"/>
    <n v="0.46255513510549112"/>
    <e v="#NUM!"/>
    <e v="#NUM!"/>
    <e v="#NUM!"/>
  </r>
  <r>
    <s v="ORD-2023-521818"/>
    <x v="119"/>
    <x v="5"/>
    <d v="2023-01-01T00:00:00"/>
    <m/>
    <s v="Q1-2023"/>
    <d v="2023-01-30T00:00:00"/>
    <d v="2023-01-30T00:00:00"/>
    <n v="8"/>
    <n v="0"/>
    <n v="0"/>
    <x v="2"/>
    <x v="10"/>
    <s v="San Francisco"/>
    <s v="Small Business"/>
    <x v="1"/>
    <x v="8"/>
    <x v="2"/>
    <x v="129"/>
    <n v="413.52"/>
    <n v="1004.34"/>
    <n v="0.111"/>
    <n v="0.111"/>
    <n v="0"/>
    <n v="18"/>
    <n v="16071.44868"/>
    <n v="7443.36"/>
    <n v="8628.0886800000007"/>
    <n v="0.53685817948304593"/>
    <e v="#NUM!"/>
    <e v="#NUM!"/>
    <e v="#NUM!"/>
  </r>
  <r>
    <s v="ORD-2025-650719"/>
    <x v="120"/>
    <x v="26"/>
    <d v="2023-01-01T00:00:00"/>
    <m/>
    <s v="Q1-2025"/>
    <d v="2025-02-28T00:00:00"/>
    <d v="2025-02-28T00:00:00"/>
    <n v="16"/>
    <n v="0"/>
    <n v="0"/>
    <x v="2"/>
    <x v="5"/>
    <s v="São Paulo"/>
    <s v="Non-Profit"/>
    <x v="4"/>
    <x v="5"/>
    <x v="5"/>
    <x v="130"/>
    <n v="414.95"/>
    <n v="1027.73"/>
    <n v="6.3E-2"/>
    <n v="6.3E-2"/>
    <n v="0"/>
    <n v="8"/>
    <n v="7703.8640800000003"/>
    <n v="3319.6"/>
    <n v="4384.2640800000008"/>
    <n v="0.56909935513815568"/>
    <e v="#NUM!"/>
    <e v="#NUM!"/>
    <e v="#NUM!"/>
  </r>
  <r>
    <s v="ORD-2025-501927"/>
    <x v="121"/>
    <x v="3"/>
    <d v="2023-02-01T00:00:00"/>
    <m/>
    <s v="Q1-2025"/>
    <d v="2025-03-24T00:00:00"/>
    <d v="2025-03-24T00:00:00"/>
    <n v="21"/>
    <n v="0"/>
    <n v="0"/>
    <x v="0"/>
    <x v="1"/>
    <s v="Abuja"/>
    <s v="Enterprise"/>
    <x v="4"/>
    <x v="10"/>
    <x v="6"/>
    <x v="131"/>
    <n v="555.95000000000005"/>
    <n v="468.09"/>
    <n v="0.14199999999999999"/>
    <n v="0.14199999999999999"/>
    <n v="0"/>
    <n v="11"/>
    <n v="4417.8334199999999"/>
    <n v="6115.4500000000007"/>
    <n v="-1697.6165800000008"/>
    <n v="-0.38426450674095375"/>
    <e v="#NUM!"/>
    <e v="#NUM!"/>
    <e v="#NUM!"/>
  </r>
  <r>
    <s v="ORD-2023-430904"/>
    <x v="122"/>
    <x v="5"/>
    <d v="2023-01-01T00:00:00"/>
    <m/>
    <s v="Q1-2023"/>
    <d v="2023-01-31T00:00:00"/>
    <d v="2023-01-31T00:00:00"/>
    <n v="4"/>
    <n v="1"/>
    <n v="1"/>
    <x v="3"/>
    <x v="8"/>
    <s v="Manchester"/>
    <s v="Enterprise"/>
    <x v="1"/>
    <x v="13"/>
    <x v="4"/>
    <x v="132"/>
    <n v="941.2"/>
    <n v="668.02"/>
    <n v="0.22"/>
    <n v="0.22"/>
    <n v="1"/>
    <n v="16"/>
    <n v="8336.8896000000004"/>
    <n v="15059.2"/>
    <n v="-6722.3104000000003"/>
    <n v="-0.80633314371825193"/>
    <e v="#NUM!"/>
    <e v="#NUM!"/>
    <e v="#NUM!"/>
  </r>
  <r>
    <s v="ORD-2025-354346"/>
    <x v="123"/>
    <x v="10"/>
    <d v="2023-01-01T00:00:00"/>
    <m/>
    <s v="Q1-2025"/>
    <d v="2025-01-15T00:00:00"/>
    <d v="2025-01-15T00:00:00"/>
    <n v="6"/>
    <n v="1"/>
    <n v="1"/>
    <x v="1"/>
    <x v="9"/>
    <s v="Beijing"/>
    <s v="Education"/>
    <x v="1"/>
    <x v="0"/>
    <x v="3"/>
    <x v="133"/>
    <n v="304.77999999999997"/>
    <n v="537.27"/>
    <n v="0.187"/>
    <n v="0.187"/>
    <n v="0"/>
    <n v="8"/>
    <n v="3494.4040799999998"/>
    <n v="2438.2399999999998"/>
    <n v="1056.16408"/>
    <n v="0.3022444044307549"/>
    <e v="#NUM!"/>
    <e v="#NUM!"/>
    <e v="#NUM!"/>
  </r>
  <r>
    <s v="ORD-2024-164288"/>
    <x v="124"/>
    <x v="6"/>
    <d v="2023-01-01T00:00:00"/>
    <m/>
    <s v="Q4-2024"/>
    <d v="2024-12-26T00:00:00"/>
    <d v="2024-12-26T00:00:00"/>
    <n v="5"/>
    <n v="1"/>
    <n v="1"/>
    <x v="2"/>
    <x v="10"/>
    <s v="San Francisco"/>
    <s v="Consumer"/>
    <x v="2"/>
    <x v="12"/>
    <x v="1"/>
    <x v="134"/>
    <n v="699.57"/>
    <n v="572.71"/>
    <n v="0.192"/>
    <n v="0.192"/>
    <n v="0"/>
    <n v="26"/>
    <n v="12031.491680000001"/>
    <n v="18188.82"/>
    <n v="-6157.3283199999987"/>
    <n v="-0.51176765805651114"/>
    <e v="#NUM!"/>
    <e v="#NUM!"/>
    <e v="#NUM!"/>
  </r>
  <r>
    <s v="ORD-2023-867285"/>
    <x v="125"/>
    <x v="12"/>
    <d v="2023-01-01T00:00:00"/>
    <m/>
    <s v="Q2-2023"/>
    <d v="2023-04-17T00:00:00"/>
    <d v="2023-04-17T00:00:00"/>
    <n v="5"/>
    <n v="1"/>
    <n v="1"/>
    <x v="3"/>
    <x v="7"/>
    <s v="Lyon"/>
    <s v="Enterprise"/>
    <x v="4"/>
    <x v="6"/>
    <x v="5"/>
    <x v="135"/>
    <n v="1087.81"/>
    <n v="2323.87"/>
    <n v="9.4E-2"/>
    <n v="9.4E-2"/>
    <n v="0"/>
    <n v="13"/>
    <n v="27370.540859999997"/>
    <n v="14141.529999999999"/>
    <n v="13229.010859999999"/>
    <n v="0.48333026839572651"/>
    <e v="#NUM!"/>
    <e v="#NUM!"/>
    <e v="#NUM!"/>
  </r>
  <r>
    <s v="ORD-2024-836421"/>
    <x v="126"/>
    <x v="6"/>
    <d v="2023-01-01T00:00:00"/>
    <m/>
    <s v="Q4-2024"/>
    <d v="2025-01-12T00:00:00"/>
    <d v="2025-01-12T00:00:00"/>
    <n v="29"/>
    <n v="0"/>
    <n v="0"/>
    <x v="1"/>
    <x v="9"/>
    <s v="Shenzhen"/>
    <s v="Education"/>
    <x v="1"/>
    <x v="1"/>
    <x v="0"/>
    <x v="136"/>
    <n v="1412.15"/>
    <n v="1631.04"/>
    <n v="8.9999999999999993E-3"/>
    <n v="8.9999999999999993E-3"/>
    <n v="0"/>
    <n v="6"/>
    <n v="9698.1638399999993"/>
    <n v="8472.9000000000015"/>
    <n v="1225.2638399999978"/>
    <n v="0.12633977526203535"/>
    <e v="#NUM!"/>
    <e v="#NUM!"/>
    <e v="#NUM!"/>
  </r>
  <r>
    <s v="ORD-2023-613287"/>
    <x v="50"/>
    <x v="22"/>
    <d v="2023-01-01T00:00:00"/>
    <m/>
    <s v="Q1-2023"/>
    <d v="2023-04-12T00:00:00"/>
    <d v="2023-04-12T00:00:00"/>
    <n v="12"/>
    <n v="0"/>
    <n v="0"/>
    <x v="0"/>
    <x v="0"/>
    <s v="Mombasa"/>
    <s v="Small Business"/>
    <x v="1"/>
    <x v="0"/>
    <x v="3"/>
    <x v="137"/>
    <n v="304.22000000000003"/>
    <n v="393.31"/>
    <n v="0.26500000000000001"/>
    <n v="0.26500000000000001"/>
    <n v="1"/>
    <n v="15"/>
    <n v="4336.2427499999994"/>
    <n v="4563.3"/>
    <n v="-227.05725000000075"/>
    <n v="-5.2362670424759034E-2"/>
    <e v="#NUM!"/>
    <e v="#NUM!"/>
    <e v="#NUM!"/>
  </r>
  <r>
    <s v="ORD-2024-783321"/>
    <x v="127"/>
    <x v="18"/>
    <d v="2023-01-01T00:00:00"/>
    <m/>
    <s v="Q4-2024"/>
    <d v="2024-12-15T00:00:00"/>
    <d v="2024-12-15T00:00:00"/>
    <n v="25"/>
    <n v="0"/>
    <n v="0"/>
    <x v="3"/>
    <x v="7"/>
    <s v="Paris"/>
    <s v="Corporate"/>
    <x v="1"/>
    <x v="3"/>
    <x v="1"/>
    <x v="138"/>
    <n v="1203.58"/>
    <n v="1856.16"/>
    <n v="0.129"/>
    <n v="0.129"/>
    <n v="0"/>
    <n v="22"/>
    <n v="35567.737920000007"/>
    <n v="26478.76"/>
    <n v="9088.9779200000085"/>
    <n v="0.25553994860295032"/>
    <e v="#NUM!"/>
    <e v="#NUM!"/>
    <e v="#NUM!"/>
  </r>
  <r>
    <s v="ORD-2024-232632"/>
    <x v="128"/>
    <x v="31"/>
    <d v="2023-01-01T00:00:00"/>
    <m/>
    <s v="Q1-2024"/>
    <d v="2024-02-14T00:00:00"/>
    <d v="2024-02-14T00:00:00"/>
    <n v="0"/>
    <n v="1"/>
    <n v="1"/>
    <x v="1"/>
    <x v="9"/>
    <s v="Beijing"/>
    <s v="Corporate"/>
    <x v="3"/>
    <x v="4"/>
    <x v="6"/>
    <x v="139"/>
    <n v="65.930000000000007"/>
    <n v="84.9"/>
    <n v="0.25900000000000001"/>
    <n v="0.25900000000000001"/>
    <n v="1"/>
    <n v="23"/>
    <n v="1446.9507000000001"/>
    <n v="1516.39"/>
    <n v="-69.439300000000003"/>
    <n v="-4.7990093926489688E-2"/>
    <e v="#NUM!"/>
    <e v="#NUM!"/>
    <e v="#NUM!"/>
  </r>
  <r>
    <s v="ORD-2023-906481"/>
    <x v="129"/>
    <x v="15"/>
    <d v="2023-02-01T00:00:00"/>
    <m/>
    <s v="Q2-2023"/>
    <d v="2023-05-18T00:00:00"/>
    <d v="2023-05-18T00:00:00"/>
    <n v="16"/>
    <n v="0"/>
    <n v="0"/>
    <x v="1"/>
    <x v="4"/>
    <s v="Delhi"/>
    <s v="Small Business"/>
    <x v="2"/>
    <x v="11"/>
    <x v="5"/>
    <x v="140"/>
    <n v="1463.92"/>
    <n v="2252.2399999999998"/>
    <n v="0.11799999999999999"/>
    <n v="0.11799999999999999"/>
    <n v="0"/>
    <n v="44"/>
    <n v="87404.929919999995"/>
    <n v="64412.480000000003"/>
    <n v="22992.449919999992"/>
    <n v="0.26305667130040061"/>
    <e v="#NUM!"/>
    <e v="#NUM!"/>
    <e v="#NUM!"/>
  </r>
  <r>
    <s v="ORD-2024-902741"/>
    <x v="130"/>
    <x v="6"/>
    <d v="2023-01-01T00:00:00"/>
    <m/>
    <s v="Q4-2024"/>
    <d v="2025-01-11T00:00:00"/>
    <d v="2025-01-11T00:00:00"/>
    <n v="19"/>
    <n v="0"/>
    <n v="0"/>
    <x v="3"/>
    <x v="6"/>
    <s v="Berlin"/>
    <s v="Education"/>
    <x v="0"/>
    <x v="11"/>
    <x v="3"/>
    <x v="141"/>
    <n v="501.81"/>
    <n v="921.62"/>
    <n v="0.01"/>
    <n v="0.01"/>
    <n v="0"/>
    <n v="9"/>
    <n v="8211.6342000000004"/>
    <n v="4516.29"/>
    <n v="3695.3442000000005"/>
    <n v="0.45001325071202031"/>
    <e v="#NUM!"/>
    <e v="#NUM!"/>
    <e v="#NUM!"/>
  </r>
  <r>
    <s v="ORD-2023-912395"/>
    <x v="131"/>
    <x v="24"/>
    <d v="2023-01-01T00:00:00"/>
    <m/>
    <s v="Q3-2023"/>
    <d v="2023-08-25T00:00:00"/>
    <d v="2023-08-25T00:00:00"/>
    <n v="30"/>
    <n v="0"/>
    <n v="0"/>
    <x v="2"/>
    <x v="10"/>
    <s v="New York"/>
    <s v="Consumer"/>
    <x v="0"/>
    <x v="12"/>
    <x v="6"/>
    <x v="142"/>
    <n v="1261.48"/>
    <n v="1643.18"/>
    <n v="0.151"/>
    <n v="0.151"/>
    <n v="0"/>
    <n v="23"/>
    <n v="32086.37586"/>
    <n v="29014.04"/>
    <n v="3072.3358599999992"/>
    <n v="9.5752037357079045E-2"/>
    <e v="#NUM!"/>
    <e v="#NUM!"/>
    <e v="#NUM!"/>
  </r>
  <r>
    <s v="ORD-2024-389102"/>
    <x v="132"/>
    <x v="17"/>
    <d v="2023-03-01T00:00:00"/>
    <m/>
    <s v="Q2-2024"/>
    <d v="2024-07-06T00:00:00"/>
    <d v="2024-07-06T00:00:00"/>
    <n v="21"/>
    <n v="0"/>
    <n v="0"/>
    <x v="2"/>
    <x v="3"/>
    <s v="Toronto"/>
    <s v="Enterprise"/>
    <x v="3"/>
    <x v="4"/>
    <x v="1"/>
    <x v="143"/>
    <n v="817.23"/>
    <n v="1467.17"/>
    <n v="0.245"/>
    <n v="0.245"/>
    <n v="1"/>
    <n v="9"/>
    <n v="9969.4201499999999"/>
    <n v="7355.07"/>
    <n v="2614.3501500000002"/>
    <n v="0.26223693160328893"/>
    <e v="#NUM!"/>
    <e v="#NUM!"/>
    <e v="#NUM!"/>
  </r>
  <r>
    <s v="ORD-2023-309373"/>
    <x v="133"/>
    <x v="24"/>
    <d v="2023-01-01T00:00:00"/>
    <m/>
    <s v="Q3-2023"/>
    <d v="2023-07-14T00:00:00"/>
    <d v="2023-07-14T00:00:00"/>
    <n v="9"/>
    <n v="0"/>
    <n v="0"/>
    <x v="2"/>
    <x v="5"/>
    <s v="Brasília"/>
    <s v="Enterprise"/>
    <x v="4"/>
    <x v="5"/>
    <x v="2"/>
    <x v="144"/>
    <n v="578.85"/>
    <n v="998.76"/>
    <n v="8.2000000000000003E-2"/>
    <n v="8.2000000000000003E-2"/>
    <n v="0"/>
    <n v="28"/>
    <n v="25672.127039999999"/>
    <n v="16207.800000000001"/>
    <n v="9464.3270399999983"/>
    <n v="0.36866158480960831"/>
    <e v="#NUM!"/>
    <e v="#NUM!"/>
    <e v="#NUM!"/>
  </r>
  <r>
    <s v="ORD-2023-825495"/>
    <x v="134"/>
    <x v="30"/>
    <d v="2023-01-01T00:00:00"/>
    <m/>
    <s v="Q4-2023"/>
    <d v="2023-11-29T00:00:00"/>
    <d v="2023-12-03T00:00:00"/>
    <n v="3"/>
    <n v="1"/>
    <n v="1"/>
    <x v="0"/>
    <x v="11"/>
    <s v="Durban"/>
    <s v="Small Business"/>
    <x v="2"/>
    <x v="6"/>
    <x v="4"/>
    <x v="145"/>
    <n v="275.56"/>
    <n v="630.72"/>
    <n v="0.107"/>
    <n v="0.107"/>
    <n v="0"/>
    <n v="23"/>
    <n v="12954.358080000002"/>
    <n v="6337.88"/>
    <n v="6616.4780800000017"/>
    <n v="0.5107530638831933"/>
    <e v="#NUM!"/>
    <e v="#NUM!"/>
    <e v="#NUM!"/>
  </r>
  <r>
    <s v="ORD-2025-244832"/>
    <x v="135"/>
    <x v="11"/>
    <d v="2023-01-01T00:00:00"/>
    <m/>
    <s v="Q3-2025"/>
    <d v="2025-09-28T00:00:00"/>
    <d v="2025-09-28T00:00:00"/>
    <n v="17"/>
    <n v="0"/>
    <n v="0"/>
    <x v="0"/>
    <x v="0"/>
    <s v="Nairobi"/>
    <s v="Non-Profit"/>
    <x v="3"/>
    <x v="1"/>
    <x v="4"/>
    <x v="146"/>
    <n v="891.46"/>
    <n v="728.61"/>
    <n v="0.185"/>
    <n v="0.185"/>
    <n v="0"/>
    <n v="6"/>
    <n v="3562.9028999999996"/>
    <n v="5348.76"/>
    <n v="-1785.8571000000006"/>
    <n v="-0.50123653383874167"/>
    <e v="#NUM!"/>
    <e v="#NUM!"/>
    <e v="#NUM!"/>
  </r>
  <r>
    <s v="ORD-2024-211453"/>
    <x v="136"/>
    <x v="20"/>
    <d v="2023-01-01T00:00:00"/>
    <m/>
    <s v="Q2-2024"/>
    <d v="2024-04-24T00:00:00"/>
    <d v="2024-04-24T00:00:00"/>
    <n v="20"/>
    <n v="0"/>
    <n v="0"/>
    <x v="3"/>
    <x v="6"/>
    <s v="Frankfurt"/>
    <s v="Non-Profit"/>
    <x v="4"/>
    <x v="7"/>
    <x v="6"/>
    <x v="147"/>
    <n v="683.42"/>
    <n v="951.51"/>
    <n v="0"/>
    <n v="0"/>
    <n v="0"/>
    <n v="14"/>
    <n v="13321.14"/>
    <n v="9567.8799999999992"/>
    <n v="3753.26"/>
    <n v="0.28175216235247136"/>
    <e v="#NUM!"/>
    <e v="#NUM!"/>
    <e v="#NUM!"/>
  </r>
  <r>
    <s v="ORD-2023-192324"/>
    <x v="137"/>
    <x v="27"/>
    <d v="2023-01-01T00:00:00"/>
    <m/>
    <s v="Q3-2023"/>
    <d v="2023-09-16T00:00:00"/>
    <d v="2023-09-16T00:00:00"/>
    <n v="2"/>
    <n v="1"/>
    <n v="1"/>
    <x v="3"/>
    <x v="7"/>
    <s v="Lyon"/>
    <s v="Non-Profit"/>
    <x v="4"/>
    <x v="5"/>
    <x v="1"/>
    <x v="148"/>
    <n v="376.83"/>
    <n v="732.88"/>
    <n v="0.188"/>
    <n v="0.188"/>
    <n v="0"/>
    <n v="25"/>
    <n v="14877.464000000002"/>
    <n v="9420.75"/>
    <n v="5456.7140000000018"/>
    <n v="0.36677716040852132"/>
    <e v="#NUM!"/>
    <e v="#NUM!"/>
    <e v="#NUM!"/>
  </r>
  <r>
    <s v="ORD-2024-438404"/>
    <x v="138"/>
    <x v="29"/>
    <d v="2023-03-01T00:00:00"/>
    <m/>
    <s v="Q3-2024"/>
    <d v="2024-10-18T00:00:00"/>
    <d v="2024-10-18T00:00:00"/>
    <n v="25"/>
    <n v="0"/>
    <n v="0"/>
    <x v="2"/>
    <x v="3"/>
    <s v="Vancouver"/>
    <s v="Small Business"/>
    <x v="1"/>
    <x v="13"/>
    <x v="3"/>
    <x v="149"/>
    <n v="1297"/>
    <n v="2411.52"/>
    <n v="2.1000000000000001E-2"/>
    <n v="2.1000000000000001E-2"/>
    <n v="0"/>
    <n v="18"/>
    <n v="42495.805439999996"/>
    <n v="23346"/>
    <n v="19149.805439999996"/>
    <n v="0.45062813239385913"/>
    <e v="#NUM!"/>
    <e v="#NUM!"/>
    <e v="#NUM!"/>
  </r>
  <r>
    <s v="ORD-2025-246470"/>
    <x v="139"/>
    <x v="19"/>
    <d v="2023-03-01T00:00:00"/>
    <m/>
    <s v="Q2-2025"/>
    <d v="2025-05-16T00:00:00"/>
    <d v="2025-05-16T00:00:00"/>
    <n v="30"/>
    <n v="0"/>
    <n v="0"/>
    <x v="2"/>
    <x v="3"/>
    <s v="Montreal"/>
    <s v="Enterprise"/>
    <x v="3"/>
    <x v="11"/>
    <x v="1"/>
    <x v="150"/>
    <n v="763.32"/>
    <n v="568.29"/>
    <n v="0.13100000000000001"/>
    <n v="0.13100000000000001"/>
    <n v="0"/>
    <n v="16"/>
    <n v="7901.5041599999995"/>
    <n v="12213.12"/>
    <n v="-4311.6158400000013"/>
    <n v="-0.54567026134426555"/>
    <e v="#NUM!"/>
    <e v="#NUM!"/>
    <e v="#NUM!"/>
  </r>
  <r>
    <s v="ORD-2023-497686"/>
    <x v="140"/>
    <x v="24"/>
    <d v="2023-01-01T00:00:00"/>
    <m/>
    <s v="Q3-2023"/>
    <d v="2023-07-23T00:00:00"/>
    <d v="2023-07-23T00:00:00"/>
    <n v="20"/>
    <n v="0"/>
    <n v="0"/>
    <x v="0"/>
    <x v="11"/>
    <s v="Johannesburg"/>
    <s v="Small Business"/>
    <x v="3"/>
    <x v="9"/>
    <x v="4"/>
    <x v="151"/>
    <n v="1001.96"/>
    <n v="1254.95"/>
    <n v="4.4999999999999998E-2"/>
    <n v="4.4999999999999998E-2"/>
    <n v="0"/>
    <n v="18"/>
    <n v="21572.590500000002"/>
    <n v="18035.28"/>
    <n v="3537.3105000000032"/>
    <n v="0.16397244920585699"/>
    <e v="#NUM!"/>
    <e v="#NUM!"/>
    <e v="#NUM!"/>
  </r>
  <r>
    <s v="ORD-2023-596758"/>
    <x v="141"/>
    <x v="4"/>
    <d v="2023-03-01T00:00:00"/>
    <m/>
    <s v="Q4-2023"/>
    <d v="2023-12-05T00:00:00"/>
    <d v="2023-12-10T00:00:00"/>
    <n v="3"/>
    <n v="1"/>
    <n v="1"/>
    <x v="1"/>
    <x v="2"/>
    <s v="Tokyo"/>
    <s v="Non-Profit"/>
    <x v="2"/>
    <x v="10"/>
    <x v="1"/>
    <x v="152"/>
    <n v="1097.5899999999999"/>
    <n v="845.55"/>
    <n v="0.184"/>
    <n v="0.184"/>
    <n v="0"/>
    <n v="6"/>
    <n v="4139.8127999999997"/>
    <n v="6585.5399999999991"/>
    <n v="-2445.7271999999994"/>
    <n v="-0.59078207594314402"/>
    <e v="#NUM!"/>
    <e v="#NUM!"/>
    <e v="#NUM!"/>
  </r>
  <r>
    <s v="ORD-2024-201376"/>
    <x v="142"/>
    <x v="31"/>
    <d v="2023-01-01T00:00:00"/>
    <m/>
    <s v="Q1-2024"/>
    <d v="2024-03-04T00:00:00"/>
    <d v="2024-03-04T00:00:00"/>
    <n v="15"/>
    <n v="0"/>
    <n v="0"/>
    <x v="0"/>
    <x v="0"/>
    <s v="Kisumu"/>
    <s v="Education"/>
    <x v="4"/>
    <x v="11"/>
    <x v="1"/>
    <x v="153"/>
    <n v="928.68"/>
    <n v="2145.17"/>
    <n v="0.13600000000000001"/>
    <n v="0.13600000000000001"/>
    <n v="0"/>
    <n v="16"/>
    <n v="29654.83008"/>
    <n v="14858.88"/>
    <n v="14795.950080000001"/>
    <n v="0.49893896003062177"/>
    <e v="#NUM!"/>
    <e v="#NUM!"/>
    <e v="#NUM!"/>
  </r>
  <r>
    <s v="ORD-2023-842488"/>
    <x v="143"/>
    <x v="32"/>
    <d v="2023-01-01T00:00:00"/>
    <m/>
    <s v="Q4-2023"/>
    <d v="2023-11-02T00:00:00"/>
    <d v="2023-11-02T00:00:00"/>
    <n v="2"/>
    <n v="1"/>
    <n v="1"/>
    <x v="0"/>
    <x v="0"/>
    <s v="Kisumu"/>
    <s v="Education"/>
    <x v="0"/>
    <x v="7"/>
    <x v="6"/>
    <x v="154"/>
    <n v="867.89"/>
    <n v="1349.94"/>
    <n v="0.184"/>
    <n v="0.184"/>
    <n v="0"/>
    <n v="10"/>
    <n v="11015.510400000003"/>
    <n v="8678.9"/>
    <n v="2336.6104000000032"/>
    <n v="0.21212003031652557"/>
    <e v="#NUM!"/>
    <e v="#NUM!"/>
    <e v="#NUM!"/>
  </r>
  <r>
    <s v="ORD-2024-136321"/>
    <x v="144"/>
    <x v="21"/>
    <d v="2023-03-01T00:00:00"/>
    <m/>
    <s v="Q3-2024"/>
    <d v="2024-08-17T00:00:00"/>
    <d v="2024-08-17T00:00:00"/>
    <n v="10"/>
    <n v="0"/>
    <n v="0"/>
    <x v="1"/>
    <x v="2"/>
    <s v="Osaka"/>
    <s v="Consumer"/>
    <x v="1"/>
    <x v="11"/>
    <x v="2"/>
    <x v="155"/>
    <n v="436.58"/>
    <n v="527.48"/>
    <n v="0.111"/>
    <n v="0.111"/>
    <n v="0"/>
    <n v="19"/>
    <n v="8909.6646800000017"/>
    <n v="8295.02"/>
    <n v="614.64468000000124"/>
    <n v="6.8986286473802644E-2"/>
    <e v="#NUM!"/>
    <e v="#NUM!"/>
    <e v="#NUM!"/>
  </r>
  <r>
    <s v="ORD-2024-764468"/>
    <x v="145"/>
    <x v="31"/>
    <d v="2023-01-01T00:00:00"/>
    <m/>
    <s v="Q1-2024"/>
    <d v="2024-02-21T00:00:00"/>
    <d v="2024-02-21T00:00:00"/>
    <n v="20"/>
    <n v="0"/>
    <n v="0"/>
    <x v="3"/>
    <x v="7"/>
    <s v="Paris"/>
    <s v="Small Business"/>
    <x v="2"/>
    <x v="8"/>
    <x v="2"/>
    <x v="156"/>
    <n v="656.2"/>
    <n v="1467.17"/>
    <n v="1.7999999999999999E-2"/>
    <n v="1.7999999999999999E-2"/>
    <n v="0"/>
    <n v="5"/>
    <n v="7203.8047000000006"/>
    <n v="3281"/>
    <n v="3922.8047000000006"/>
    <n v="0.54454623124360946"/>
    <e v="#NUM!"/>
    <e v="#NUM!"/>
    <e v="#NUM!"/>
  </r>
  <r>
    <s v="ORD-2024-553449"/>
    <x v="38"/>
    <x v="21"/>
    <d v="2023-02-01T00:00:00"/>
    <m/>
    <s v="Q3-2024"/>
    <d v="2024-09-18T00:00:00"/>
    <d v="2024-09-18T00:00:00"/>
    <n v="22"/>
    <n v="0"/>
    <n v="0"/>
    <x v="1"/>
    <x v="4"/>
    <s v="Delhi"/>
    <s v="Consumer"/>
    <x v="4"/>
    <x v="5"/>
    <x v="0"/>
    <x v="157"/>
    <n v="896.75"/>
    <n v="1651.14"/>
    <n v="2.5000000000000001E-2"/>
    <n v="2.5000000000000001E-2"/>
    <n v="0"/>
    <n v="15"/>
    <n v="24147.922500000001"/>
    <n v="13451.25"/>
    <n v="10696.672500000001"/>
    <n v="0.44296450346815552"/>
    <e v="#NUM!"/>
    <e v="#NUM!"/>
    <e v="#NUM!"/>
  </r>
  <r>
    <s v="ORD-2025-766923"/>
    <x v="146"/>
    <x v="26"/>
    <d v="2023-01-01T00:00:00"/>
    <m/>
    <s v="Q1-2025"/>
    <d v="2025-02-15T00:00:00"/>
    <d v="2025-02-15T00:00:00"/>
    <n v="0"/>
    <n v="1"/>
    <n v="1"/>
    <x v="3"/>
    <x v="6"/>
    <s v="Frankfurt"/>
    <s v="Small Business"/>
    <x v="2"/>
    <x v="4"/>
    <x v="6"/>
    <x v="158"/>
    <n v="815.83"/>
    <n v="1982.18"/>
    <n v="0.127"/>
    <n v="0.127"/>
    <n v="0"/>
    <n v="6"/>
    <n v="10382.65884"/>
    <n v="4894.9800000000005"/>
    <n v="5487.6788399999996"/>
    <n v="0.52854272923408507"/>
    <e v="#NUM!"/>
    <e v="#NUM!"/>
    <e v="#NUM!"/>
  </r>
  <r>
    <s v="ORD-2025-418232"/>
    <x v="90"/>
    <x v="28"/>
    <d v="2023-01-01T00:00:00"/>
    <m/>
    <s v="Q3-2025"/>
    <d v="2025-08-21T00:00:00"/>
    <d v="2025-08-21T00:00:00"/>
    <n v="20"/>
    <n v="0"/>
    <n v="0"/>
    <x v="1"/>
    <x v="9"/>
    <s v="Shanghai"/>
    <s v="Corporate"/>
    <x v="4"/>
    <x v="2"/>
    <x v="3"/>
    <x v="159"/>
    <n v="1220.4100000000001"/>
    <n v="2552.2199999999998"/>
    <n v="0.18099999999999999"/>
    <n v="0.18099999999999999"/>
    <n v="0"/>
    <n v="14"/>
    <n v="29263.754519999995"/>
    <n v="17085.740000000002"/>
    <n v="12178.014519999993"/>
    <n v="0.41614668793360271"/>
    <e v="#NUM!"/>
    <e v="#NUM!"/>
    <e v="#NUM!"/>
  </r>
  <r>
    <s v="ORD-2023-848013"/>
    <x v="147"/>
    <x v="2"/>
    <d v="2023-02-01T00:00:00"/>
    <m/>
    <s v="Q1-2023"/>
    <d v="2023-03-04T00:00:00"/>
    <d v="2023-03-04T00:00:00"/>
    <n v="12"/>
    <n v="0"/>
    <n v="0"/>
    <x v="1"/>
    <x v="4"/>
    <s v="Delhi"/>
    <s v="Consumer"/>
    <x v="3"/>
    <x v="12"/>
    <x v="5"/>
    <x v="160"/>
    <n v="299.75"/>
    <n v="523.01"/>
    <n v="0.157"/>
    <n v="0.157"/>
    <n v="0"/>
    <n v="50"/>
    <n v="22044.871499999997"/>
    <n v="14987.5"/>
    <n v="7057.3714999999975"/>
    <n v="0.32013665854210122"/>
    <e v="#NUM!"/>
    <e v="#NUM!"/>
    <e v="#NUM!"/>
  </r>
  <r>
    <s v="ORD-2024-357368"/>
    <x v="148"/>
    <x v="1"/>
    <d v="2023-01-01T00:00:00"/>
    <m/>
    <s v="Q4-2024"/>
    <d v="2024-11-24T00:00:00"/>
    <d v="2024-11-24T00:00:00"/>
    <n v="25"/>
    <n v="0"/>
    <n v="0"/>
    <x v="1"/>
    <x v="9"/>
    <s v="Shenzhen"/>
    <s v="Small Business"/>
    <x v="1"/>
    <x v="6"/>
    <x v="0"/>
    <x v="161"/>
    <n v="811.05"/>
    <n v="1217.71"/>
    <n v="7.1999999999999995E-2"/>
    <n v="7.1999999999999995E-2"/>
    <n v="0"/>
    <n v="5"/>
    <n v="5650.1744000000008"/>
    <n v="4055.25"/>
    <n v="1594.9244000000008"/>
    <n v="0.28227879125288602"/>
    <e v="#NUM!"/>
    <e v="#NUM!"/>
    <e v="#NUM!"/>
  </r>
  <r>
    <s v="ORD-2024-219735"/>
    <x v="149"/>
    <x v="20"/>
    <d v="2023-01-01T00:00:00"/>
    <m/>
    <s v="Q2-2024"/>
    <d v="2024-04-07T00:00:00"/>
    <d v="2024-04-07T00:00:00"/>
    <n v="4"/>
    <n v="1"/>
    <n v="1"/>
    <x v="2"/>
    <x v="5"/>
    <s v="Brasília"/>
    <s v="Non-Profit"/>
    <x v="4"/>
    <x v="13"/>
    <x v="3"/>
    <x v="162"/>
    <n v="1023.27"/>
    <n v="1343.64"/>
    <n v="0.13300000000000001"/>
    <n v="0.13300000000000001"/>
    <n v="0"/>
    <n v="7"/>
    <n v="8154.5511600000009"/>
    <n v="7162.8899999999994"/>
    <n v="991.66116000000147"/>
    <n v="0.12160830688810116"/>
    <e v="#NUM!"/>
    <e v="#NUM!"/>
    <e v="#NUM!"/>
  </r>
  <r>
    <s v="ORD-2023-240507"/>
    <x v="150"/>
    <x v="22"/>
    <d v="2023-03-01T00:00:00"/>
    <m/>
    <s v="Q1-2023"/>
    <d v="2023-03-26T00:00:00"/>
    <d v="2023-03-26T00:00:00"/>
    <n v="1"/>
    <n v="1"/>
    <n v="1"/>
    <x v="1"/>
    <x v="2"/>
    <s v="Osaka"/>
    <s v="Small Business"/>
    <x v="3"/>
    <x v="2"/>
    <x v="5"/>
    <x v="163"/>
    <n v="135.12"/>
    <n v="301.7"/>
    <n v="0.14000000000000001"/>
    <n v="0.14000000000000001"/>
    <n v="0"/>
    <n v="47"/>
    <n v="12194.714"/>
    <n v="6350.64"/>
    <n v="5844.0739999999996"/>
    <n v="0.47923009920527859"/>
    <e v="#NUM!"/>
    <e v="#NUM!"/>
    <e v="#NUM!"/>
  </r>
  <r>
    <s v="ORD-2024-134084"/>
    <x v="151"/>
    <x v="17"/>
    <d v="2023-01-01T00:00:00"/>
    <m/>
    <s v="Q2-2024"/>
    <d v="2024-06-16T00:00:00"/>
    <d v="2024-06-16T00:00:00"/>
    <n v="12"/>
    <n v="0"/>
    <n v="0"/>
    <x v="1"/>
    <x v="9"/>
    <s v="Shanghai"/>
    <s v="Corporate"/>
    <x v="0"/>
    <x v="1"/>
    <x v="1"/>
    <x v="164"/>
    <n v="918.42"/>
    <n v="1511.71"/>
    <n v="0.02"/>
    <n v="0.02"/>
    <n v="0"/>
    <n v="8"/>
    <n v="11851.806399999999"/>
    <n v="7347.36"/>
    <n v="4504.4463999999998"/>
    <n v="0.38006412254590999"/>
    <e v="#NUM!"/>
    <e v="#NUM!"/>
    <e v="#NUM!"/>
  </r>
  <r>
    <s v="ORD-2023-884625"/>
    <x v="152"/>
    <x v="2"/>
    <d v="2023-01-01T00:00:00"/>
    <m/>
    <s v="Q1-2023"/>
    <d v="2023-03-12T00:00:00"/>
    <d v="2023-03-12T00:00:00"/>
    <n v="21"/>
    <n v="0"/>
    <n v="0"/>
    <x v="3"/>
    <x v="6"/>
    <s v="Berlin"/>
    <s v="Small Business"/>
    <x v="4"/>
    <x v="4"/>
    <x v="5"/>
    <x v="165"/>
    <n v="1234.81"/>
    <n v="2055.2399999999998"/>
    <n v="5.2999999999999999E-2"/>
    <n v="5.2999999999999999E-2"/>
    <n v="0"/>
    <n v="44"/>
    <n v="85637.740319999997"/>
    <n v="54331.64"/>
    <n v="31306.100319999998"/>
    <n v="0.36556429680441616"/>
    <e v="#NUM!"/>
    <e v="#NUM!"/>
    <e v="#NUM!"/>
  </r>
  <r>
    <s v="ORD-2023-157993"/>
    <x v="153"/>
    <x v="12"/>
    <d v="2023-01-01T00:00:00"/>
    <m/>
    <s v="Q2-2023"/>
    <d v="2023-05-18T00:00:00"/>
    <d v="2023-05-18T00:00:00"/>
    <n v="30"/>
    <n v="0"/>
    <n v="0"/>
    <x v="1"/>
    <x v="9"/>
    <s v="Shenzhen"/>
    <s v="Non-Profit"/>
    <x v="0"/>
    <x v="10"/>
    <x v="4"/>
    <x v="166"/>
    <n v="329.03"/>
    <n v="391.15"/>
    <n v="0.19700000000000001"/>
    <n v="0.19700000000000001"/>
    <n v="0"/>
    <n v="46"/>
    <n v="14448.298699999998"/>
    <n v="15135.38"/>
    <n v="-687.08130000000165"/>
    <n v="-4.7554477815440081E-2"/>
    <e v="#NUM!"/>
    <e v="#NUM!"/>
    <e v="#NUM!"/>
  </r>
  <r>
    <s v="ORD-2024-329104"/>
    <x v="154"/>
    <x v="7"/>
    <d v="2023-01-01T00:00:00"/>
    <m/>
    <s v="Q2-2024"/>
    <d v="2024-06-14T00:00:00"/>
    <d v="2024-06-14T00:00:00"/>
    <n v="22"/>
    <n v="0"/>
    <n v="0"/>
    <x v="3"/>
    <x v="7"/>
    <s v="Marseille"/>
    <s v="Small Business"/>
    <x v="1"/>
    <x v="13"/>
    <x v="5"/>
    <x v="167"/>
    <n v="1481.74"/>
    <n v="1848.97"/>
    <n v="0.254"/>
    <n v="0.254"/>
    <n v="1"/>
    <n v="9"/>
    <n v="12413.98458"/>
    <n v="13335.66"/>
    <n v="-921.67541999999958"/>
    <n v="-7.4244930309072407E-2"/>
    <e v="#NUM!"/>
    <e v="#NUM!"/>
    <e v="#NUM!"/>
  </r>
  <r>
    <s v="ORD-2023-304451"/>
    <x v="155"/>
    <x v="32"/>
    <d v="2023-05-01T00:00:00"/>
    <m/>
    <s v="Q4-2023"/>
    <d v="2023-10-23T00:00:00"/>
    <d v="2023-10-23T00:00:00"/>
    <n v="16"/>
    <n v="0"/>
    <n v="0"/>
    <x v="1"/>
    <x v="4"/>
    <s v="Hyderabad"/>
    <s v="Consumer"/>
    <x v="0"/>
    <x v="3"/>
    <x v="5"/>
    <x v="168"/>
    <n v="906.81"/>
    <n v="1395.56"/>
    <n v="0.185"/>
    <n v="0.185"/>
    <n v="0"/>
    <n v="6"/>
    <n v="6824.2884000000004"/>
    <n v="5440.86"/>
    <n v="1383.4284000000007"/>
    <n v="0.20272126834498974"/>
    <e v="#NUM!"/>
    <e v="#NUM!"/>
    <e v="#NUM!"/>
  </r>
  <r>
    <s v="ORD-2024-942981"/>
    <x v="156"/>
    <x v="1"/>
    <d v="2023-01-01T00:00:00"/>
    <m/>
    <s v="Q4-2024"/>
    <d v="2024-11-08T00:00:00"/>
    <d v="2024-11-08T00:00:00"/>
    <n v="30"/>
    <n v="0"/>
    <n v="0"/>
    <x v="3"/>
    <x v="8"/>
    <s v="Manchester"/>
    <s v="Small Business"/>
    <x v="3"/>
    <x v="1"/>
    <x v="0"/>
    <x v="169"/>
    <n v="343.85"/>
    <n v="538.04"/>
    <n v="0.13900000000000001"/>
    <n v="0.13900000000000001"/>
    <n v="0"/>
    <n v="5"/>
    <n v="2316.2621999999997"/>
    <n v="1719.25"/>
    <n v="597.01219999999967"/>
    <n v="0.25774810813732563"/>
    <e v="#NUM!"/>
    <e v="#NUM!"/>
    <e v="#NUM!"/>
  </r>
  <r>
    <s v="ORD-2024-605629"/>
    <x v="157"/>
    <x v="14"/>
    <d v="2023-03-01T00:00:00"/>
    <m/>
    <s v="Q3-2024"/>
    <d v="2024-07-15T00:00:00"/>
    <d v="2024-07-15T00:00:00"/>
    <n v="0"/>
    <n v="1"/>
    <n v="1"/>
    <x v="1"/>
    <x v="2"/>
    <s v="Tokyo"/>
    <s v="Small Business"/>
    <x v="2"/>
    <x v="3"/>
    <x v="6"/>
    <x v="170"/>
    <n v="801.77"/>
    <n v="1218.92"/>
    <n v="0.254"/>
    <n v="0.254"/>
    <n v="1"/>
    <n v="16"/>
    <n v="14549.029120000001"/>
    <n v="12828.32"/>
    <n v="1720.7091200000013"/>
    <n v="0.11826968698788344"/>
    <e v="#NUM!"/>
    <e v="#NUM!"/>
    <e v="#NUM!"/>
  </r>
  <r>
    <s v="ORD-2023-450877"/>
    <x v="158"/>
    <x v="27"/>
    <d v="2023-03-01T00:00:00"/>
    <m/>
    <s v="Q3-2023"/>
    <d v="2023-10-10T00:00:00"/>
    <d v="2023-10-10T00:00:00"/>
    <n v="19"/>
    <n v="0"/>
    <n v="0"/>
    <x v="1"/>
    <x v="2"/>
    <s v="Tokyo"/>
    <s v="Education"/>
    <x v="1"/>
    <x v="14"/>
    <x v="0"/>
    <x v="171"/>
    <n v="845.63"/>
    <n v="2062.12"/>
    <n v="0.13400000000000001"/>
    <n v="0.13400000000000001"/>
    <n v="0"/>
    <n v="5"/>
    <n v="8928.9795999999988"/>
    <n v="4228.1499999999996"/>
    <n v="4700.8295999999991"/>
    <n v="0.52646884757133949"/>
    <e v="#NUM!"/>
    <e v="#NUM!"/>
    <e v="#NUM!"/>
  </r>
  <r>
    <s v="ORD-2023-286994"/>
    <x v="159"/>
    <x v="2"/>
    <d v="2023-01-01T00:00:00"/>
    <m/>
    <s v="Q1-2023"/>
    <d v="2023-03-09T00:00:00"/>
    <d v="2023-03-09T00:00:00"/>
    <n v="13"/>
    <n v="0"/>
    <n v="0"/>
    <x v="2"/>
    <x v="10"/>
    <s v="New York"/>
    <s v="Enterprise"/>
    <x v="1"/>
    <x v="12"/>
    <x v="0"/>
    <x v="172"/>
    <n v="6.85"/>
    <n v="10.18"/>
    <n v="4.7E-2"/>
    <n v="4.7E-2"/>
    <n v="0"/>
    <n v="10"/>
    <n v="97.0154"/>
    <n v="68.5"/>
    <n v="28.5154"/>
    <n v="0.2939265312517394"/>
    <e v="#NUM!"/>
    <e v="#NUM!"/>
    <e v="#NUM!"/>
  </r>
  <r>
    <s v="ORD-2025-700847"/>
    <x v="9"/>
    <x v="8"/>
    <d v="2023-01-01T00:00:00"/>
    <m/>
    <s v="Q2-2025"/>
    <d v="2025-05-19T00:00:00"/>
    <d v="2025-05-24T00:00:00"/>
    <n v="3"/>
    <n v="1"/>
    <n v="1"/>
    <x v="0"/>
    <x v="11"/>
    <s v="Johannesburg"/>
    <s v="Non-Profit"/>
    <x v="3"/>
    <x v="7"/>
    <x v="4"/>
    <x v="173"/>
    <n v="1263.8399999999999"/>
    <n v="2281.7199999999998"/>
    <n v="7.8E-2"/>
    <n v="7.8E-2"/>
    <n v="0"/>
    <n v="15"/>
    <n v="31556.187599999997"/>
    <n v="18957.599999999999"/>
    <n v="12598.587599999999"/>
    <n v="0.39924301882398494"/>
    <e v="#NUM!"/>
    <e v="#NUM!"/>
    <e v="#NUM!"/>
  </r>
  <r>
    <s v="ORD-2024-970848"/>
    <x v="154"/>
    <x v="7"/>
    <d v="2023-01-01T00:00:00"/>
    <m/>
    <s v="Q2-2024"/>
    <d v="2024-06-03T00:00:00"/>
    <d v="2024-06-03T00:00:00"/>
    <n v="11"/>
    <n v="0"/>
    <n v="0"/>
    <x v="0"/>
    <x v="11"/>
    <s v="Johannesburg"/>
    <s v="Small Business"/>
    <x v="3"/>
    <x v="9"/>
    <x v="1"/>
    <x v="174"/>
    <n v="180.89"/>
    <n v="249.57"/>
    <n v="2.1999999999999999E-2"/>
    <n v="2.1999999999999999E-2"/>
    <n v="0"/>
    <n v="8"/>
    <n v="1952.6356799999999"/>
    <n v="1447.12"/>
    <n v="505.51567999999997"/>
    <n v="0.25888888806948362"/>
    <e v="#NUM!"/>
    <e v="#NUM!"/>
    <e v="#NUM!"/>
  </r>
  <r>
    <s v="ORD-2025-845715"/>
    <x v="160"/>
    <x v="19"/>
    <d v="2023-01-01T00:00:00"/>
    <m/>
    <s v="Q2-2025"/>
    <d v="2025-05-04T00:00:00"/>
    <d v="2025-05-04T00:00:00"/>
    <n v="20"/>
    <n v="0"/>
    <n v="0"/>
    <x v="3"/>
    <x v="8"/>
    <s v="Birmingham"/>
    <s v="Enterprise"/>
    <x v="2"/>
    <x v="11"/>
    <x v="5"/>
    <x v="175"/>
    <n v="1413.87"/>
    <n v="3275"/>
    <n v="0.255"/>
    <n v="0.255"/>
    <n v="1"/>
    <n v="38"/>
    <n v="92715.25"/>
    <n v="53727.06"/>
    <n v="38988.19"/>
    <n v="0.42051539525590453"/>
    <e v="#NUM!"/>
    <e v="#NUM!"/>
    <e v="#NUM!"/>
  </r>
  <r>
    <s v="ORD-2023-664749"/>
    <x v="161"/>
    <x v="25"/>
    <d v="2023-01-01T00:00:00"/>
    <m/>
    <s v="Q3-2023"/>
    <d v="2023-09-11T00:00:00"/>
    <d v="2023-09-11T00:00:00"/>
    <n v="15"/>
    <n v="0"/>
    <n v="0"/>
    <x v="3"/>
    <x v="8"/>
    <s v="London"/>
    <s v="Consumer"/>
    <x v="2"/>
    <x v="13"/>
    <x v="1"/>
    <x v="176"/>
    <n v="943.79"/>
    <n v="1913.76"/>
    <n v="9.0999999999999998E-2"/>
    <n v="9.0999999999999998E-2"/>
    <n v="0"/>
    <n v="9"/>
    <n v="15656.47056"/>
    <n v="8494.11"/>
    <n v="7162.3605599999992"/>
    <n v="0.45746967891338081"/>
    <e v="#NUM!"/>
    <e v="#NUM!"/>
    <e v="#NUM!"/>
  </r>
  <r>
    <s v="ORD-2024-960952"/>
    <x v="162"/>
    <x v="31"/>
    <d v="2023-01-01T00:00:00"/>
    <m/>
    <s v="Q1-2024"/>
    <d v="2024-02-21T00:00:00"/>
    <d v="2024-02-21T00:00:00"/>
    <n v="18"/>
    <n v="0"/>
    <n v="0"/>
    <x v="3"/>
    <x v="6"/>
    <s v="Frankfurt"/>
    <s v="Corporate"/>
    <x v="0"/>
    <x v="10"/>
    <x v="0"/>
    <x v="177"/>
    <n v="39.229999999999997"/>
    <n v="30.09"/>
    <n v="0.17699999999999999"/>
    <n v="0.17699999999999999"/>
    <n v="0"/>
    <n v="13"/>
    <n v="321.93290999999999"/>
    <n v="509.98999999999995"/>
    <n v="-188.05708999999996"/>
    <n v="-0.58414993981199359"/>
    <e v="#NUM!"/>
    <e v="#NUM!"/>
    <e v="#NUM!"/>
  </r>
  <r>
    <s v="ORD-2023-987700"/>
    <x v="163"/>
    <x v="12"/>
    <d v="2023-03-01T00:00:00"/>
    <m/>
    <s v="Q2-2023"/>
    <d v="2023-04-16T00:00:00"/>
    <d v="2023-04-16T00:00:00"/>
    <n v="11"/>
    <n v="0"/>
    <n v="0"/>
    <x v="2"/>
    <x v="3"/>
    <s v="Vancouver"/>
    <s v="Non-Profit"/>
    <x v="1"/>
    <x v="7"/>
    <x v="5"/>
    <x v="178"/>
    <n v="213.1"/>
    <n v="501.31"/>
    <n v="5.6000000000000001E-2"/>
    <n v="5.6000000000000001E-2"/>
    <n v="0"/>
    <n v="15"/>
    <n v="7098.5495999999994"/>
    <n v="3196.5"/>
    <n v="3902.0495999999994"/>
    <n v="0.54969674368409005"/>
    <e v="#NUM!"/>
    <e v="#NUM!"/>
    <e v="#NUM!"/>
  </r>
  <r>
    <s v="ORD-2025-652467"/>
    <x v="164"/>
    <x v="28"/>
    <d v="2023-01-01T00:00:00"/>
    <m/>
    <s v="Q3-2025"/>
    <d v="2025-09-12T00:00:00"/>
    <d v="2025-09-12T00:00:00"/>
    <n v="22"/>
    <n v="0"/>
    <n v="0"/>
    <x v="1"/>
    <x v="9"/>
    <s v="Shenzhen"/>
    <s v="Education"/>
    <x v="0"/>
    <x v="5"/>
    <x v="1"/>
    <x v="179"/>
    <n v="352.66"/>
    <n v="411.18"/>
    <n v="0.17299999999999999"/>
    <n v="0.17299999999999999"/>
    <n v="0"/>
    <n v="13"/>
    <n v="4420.5961799999995"/>
    <n v="4584.58"/>
    <n v="-163.98382000000038"/>
    <n v="-3.7095408248758066E-2"/>
    <e v="#NUM!"/>
    <e v="#NUM!"/>
    <e v="#NUM!"/>
  </r>
  <r>
    <s v="ORD-2025-667201"/>
    <x v="165"/>
    <x v="11"/>
    <d v="2023-01-01T00:00:00"/>
    <m/>
    <s v="Q3-2025"/>
    <d v="2025-09-18T00:00:00"/>
    <d v="2025-09-18T00:00:00"/>
    <n v="3"/>
    <n v="1"/>
    <n v="1"/>
    <x v="2"/>
    <x v="5"/>
    <s v="Rio de Janeiro"/>
    <s v="Non-Profit"/>
    <x v="4"/>
    <x v="4"/>
    <x v="6"/>
    <x v="180"/>
    <n v="5.5"/>
    <n v="5.92"/>
    <n v="0.21199999999999999"/>
    <n v="0.21199999999999999"/>
    <n v="1"/>
    <n v="4"/>
    <n v="18.659839999999999"/>
    <n v="22"/>
    <n v="-3.3401600000000009"/>
    <n v="-0.17900260666758133"/>
    <e v="#NUM!"/>
    <e v="#NUM!"/>
    <e v="#NUM!"/>
  </r>
  <r>
    <s v="ORD-2024-237478"/>
    <x v="166"/>
    <x v="1"/>
    <d v="2023-01-01T00:00:00"/>
    <m/>
    <s v="Q4-2024"/>
    <d v="2024-10-11T00:00:00"/>
    <d v="2024-10-11T00:00:00"/>
    <n v="8"/>
    <n v="0"/>
    <n v="0"/>
    <x v="1"/>
    <x v="9"/>
    <s v="Beijing"/>
    <s v="Enterprise"/>
    <x v="4"/>
    <x v="5"/>
    <x v="3"/>
    <x v="181"/>
    <n v="1132.6099999999999"/>
    <n v="2206.63"/>
    <n v="6.3E-2"/>
    <n v="6.3E-2"/>
    <n v="0"/>
    <n v="20"/>
    <n v="41352.246200000009"/>
    <n v="22652.199999999997"/>
    <n v="18700.046200000012"/>
    <n v="0.45221355351671338"/>
    <e v="#NUM!"/>
    <e v="#NUM!"/>
    <e v="#NUM!"/>
  </r>
  <r>
    <s v="ORD-2025-898843"/>
    <x v="167"/>
    <x v="26"/>
    <d v="2023-03-01T00:00:00"/>
    <m/>
    <s v="Q1-2025"/>
    <d v="2025-03-04T00:00:00"/>
    <d v="2025-03-04T00:00:00"/>
    <n v="30"/>
    <n v="0"/>
    <n v="0"/>
    <x v="1"/>
    <x v="2"/>
    <s v="Osaka"/>
    <s v="Education"/>
    <x v="3"/>
    <x v="4"/>
    <x v="6"/>
    <x v="182"/>
    <n v="766.59"/>
    <n v="1912.8"/>
    <n v="0.19600000000000001"/>
    <n v="0.19600000000000001"/>
    <n v="0"/>
    <n v="5"/>
    <n v="7689.4560000000001"/>
    <n v="3832.9500000000003"/>
    <n v="3856.5059999999999"/>
    <n v="0.50153170783472845"/>
    <e v="#NUM!"/>
    <e v="#NUM!"/>
    <e v="#NUM!"/>
  </r>
  <r>
    <s v="ORD-2023-334213"/>
    <x v="66"/>
    <x v="25"/>
    <d v="2023-02-01T00:00:00"/>
    <m/>
    <s v="Q3-2023"/>
    <d v="2023-08-23T00:00:00"/>
    <d v="2023-08-23T00:00:00"/>
    <n v="4"/>
    <n v="1"/>
    <n v="1"/>
    <x v="0"/>
    <x v="1"/>
    <s v="Abuja"/>
    <s v="Small Business"/>
    <x v="1"/>
    <x v="1"/>
    <x v="5"/>
    <x v="183"/>
    <n v="790.63"/>
    <n v="1382.31"/>
    <n v="0.10100000000000001"/>
    <n v="0.10100000000000001"/>
    <n v="0"/>
    <n v="7"/>
    <n v="8698.8768300000011"/>
    <n v="5534.41"/>
    <n v="3164.4668300000012"/>
    <n v="0.36377878338116448"/>
    <e v="#NUM!"/>
    <e v="#NUM!"/>
    <e v="#NUM!"/>
  </r>
  <r>
    <s v="ORD-2024-640340"/>
    <x v="168"/>
    <x v="1"/>
    <d v="2023-02-01T00:00:00"/>
    <m/>
    <s v="Q4-2024"/>
    <d v="2024-10-29T00:00:00"/>
    <d v="2024-10-29T00:00:00"/>
    <n v="7"/>
    <n v="1"/>
    <n v="1"/>
    <x v="0"/>
    <x v="1"/>
    <s v="Port Harcourt"/>
    <s v="Enterprise"/>
    <x v="3"/>
    <x v="12"/>
    <x v="5"/>
    <x v="184"/>
    <n v="1023.06"/>
    <n v="1355.61"/>
    <n v="0.153"/>
    <n v="0.153"/>
    <n v="0"/>
    <n v="23"/>
    <n v="26408.63841"/>
    <n v="23530.379999999997"/>
    <n v="2878.2584100000022"/>
    <n v="0.10898927711888809"/>
    <e v="#NUM!"/>
    <e v="#NUM!"/>
    <e v="#NUM!"/>
  </r>
  <r>
    <s v="ORD-2023-399631"/>
    <x v="169"/>
    <x v="23"/>
    <d v="2023-01-01T00:00:00"/>
    <m/>
    <s v="Q2-2023"/>
    <d v="2023-07-21T00:00:00"/>
    <d v="2023-07-21T00:00:00"/>
    <n v="29"/>
    <n v="0"/>
    <n v="0"/>
    <x v="3"/>
    <x v="7"/>
    <s v="Lyon"/>
    <s v="Corporate"/>
    <x v="0"/>
    <x v="1"/>
    <x v="6"/>
    <x v="185"/>
    <n v="734.34"/>
    <n v="887.9"/>
    <n v="2.5000000000000001E-2"/>
    <n v="2.5000000000000001E-2"/>
    <n v="0"/>
    <n v="12"/>
    <n v="10388.429999999998"/>
    <n v="8812.08"/>
    <n v="1576.3499999999985"/>
    <n v="0.15174092716608753"/>
    <e v="#NUM!"/>
    <e v="#NUM!"/>
    <e v="#NUM!"/>
  </r>
  <r>
    <s v="ORD-2025-542939"/>
    <x v="170"/>
    <x v="10"/>
    <d v="2023-01-01T00:00:00"/>
    <m/>
    <s v="Q1-2025"/>
    <d v="2025-02-08T00:00:00"/>
    <d v="2025-02-08T00:00:00"/>
    <n v="26"/>
    <n v="0"/>
    <n v="0"/>
    <x v="3"/>
    <x v="7"/>
    <s v="Paris"/>
    <s v="Non-Profit"/>
    <x v="5"/>
    <x v="6"/>
    <x v="5"/>
    <x v="186"/>
    <n v="594.74"/>
    <n v="1020.69"/>
    <n v="0.21099999999999999"/>
    <n v="0.21099999999999999"/>
    <n v="1"/>
    <n v="6"/>
    <n v="4831.9464600000001"/>
    <n v="3568.44"/>
    <n v="1263.5064600000001"/>
    <n v="0.26149016146176424"/>
    <e v="#NUM!"/>
    <e v="#NUM!"/>
    <e v="#NUM!"/>
  </r>
  <r>
    <s v="ORD-2023-825836"/>
    <x v="171"/>
    <x v="24"/>
    <d v="2023-01-01T00:00:00"/>
    <m/>
    <s v="Q3-2023"/>
    <d v="2023-07-31T00:00:00"/>
    <d v="2023-07-31T00:00:00"/>
    <n v="12"/>
    <n v="0"/>
    <n v="0"/>
    <x v="2"/>
    <x v="5"/>
    <s v="Rio de Janeiro"/>
    <s v="Corporate"/>
    <x v="0"/>
    <x v="0"/>
    <x v="5"/>
    <x v="187"/>
    <n v="1334.64"/>
    <n v="2273.42"/>
    <n v="0.11799999999999999"/>
    <n v="0.11799999999999999"/>
    <n v="0"/>
    <n v="14"/>
    <n v="28072.190160000002"/>
    <n v="18684.960000000003"/>
    <n v="9387.2301599999992"/>
    <n v="0.33439607335575267"/>
    <e v="#NUM!"/>
    <e v="#NUM!"/>
    <e v="#NUM!"/>
  </r>
  <r>
    <s v="ORD-2024-503082"/>
    <x v="172"/>
    <x v="7"/>
    <d v="2023-01-01T00:00:00"/>
    <m/>
    <s v="Q2-2024"/>
    <d v="2024-06-08T00:00:00"/>
    <d v="2024-06-08T00:00:00"/>
    <n v="20"/>
    <n v="0"/>
    <n v="0"/>
    <x v="2"/>
    <x v="5"/>
    <s v="Brasília"/>
    <s v="Small Business"/>
    <x v="0"/>
    <x v="6"/>
    <x v="5"/>
    <x v="188"/>
    <n v="1075.9000000000001"/>
    <n v="1242.1500000000001"/>
    <n v="1.2E-2"/>
    <n v="1.2E-2"/>
    <n v="0"/>
    <n v="7"/>
    <n v="8590.7094000000016"/>
    <n v="7531.3000000000011"/>
    <n v="1059.4094000000005"/>
    <n v="0.12332036280961853"/>
    <e v="#NUM!"/>
    <e v="#NUM!"/>
    <e v="#NUM!"/>
  </r>
  <r>
    <s v="ORD-2024-760799"/>
    <x v="162"/>
    <x v="31"/>
    <d v="2023-01-01T00:00:00"/>
    <m/>
    <s v="Q1-2024"/>
    <d v="2024-02-19T00:00:00"/>
    <d v="2024-02-19T00:00:00"/>
    <n v="16"/>
    <n v="0"/>
    <n v="0"/>
    <x v="1"/>
    <x v="9"/>
    <s v="Shenzhen"/>
    <s v="Small Business"/>
    <x v="1"/>
    <x v="10"/>
    <x v="4"/>
    <x v="189"/>
    <n v="993.75"/>
    <n v="1310.29"/>
    <n v="0.215"/>
    <n v="0.215"/>
    <n v="1"/>
    <n v="19"/>
    <n v="19542.975350000001"/>
    <n v="18881.25"/>
    <n v="661.72535000000062"/>
    <n v="3.3860010471742245E-2"/>
    <e v="#NUM!"/>
    <e v="#NUM!"/>
    <e v="#NUM!"/>
  </r>
  <r>
    <s v="ORD-2023-197661"/>
    <x v="173"/>
    <x v="25"/>
    <d v="2023-01-01T00:00:00"/>
    <m/>
    <s v="Q3-2023"/>
    <d v="2023-08-22T00:00:00"/>
    <d v="2023-08-22T00:00:00"/>
    <n v="14"/>
    <n v="0"/>
    <n v="0"/>
    <x v="3"/>
    <x v="8"/>
    <s v="Birmingham"/>
    <s v="Non-Profit"/>
    <x v="4"/>
    <x v="13"/>
    <x v="5"/>
    <x v="190"/>
    <n v="446.69"/>
    <n v="967.25"/>
    <n v="9.4E-2"/>
    <n v="9.4E-2"/>
    <n v="0"/>
    <n v="10"/>
    <n v="8763.2849999999999"/>
    <n v="4466.8999999999996"/>
    <n v="4296.3850000000002"/>
    <n v="0.49027105702941309"/>
    <e v="#NUM!"/>
    <e v="#NUM!"/>
    <e v="#NUM!"/>
  </r>
  <r>
    <s v="ORD-2024-212990"/>
    <x v="174"/>
    <x v="21"/>
    <d v="2023-01-01T00:00:00"/>
    <m/>
    <s v="Q3-2024"/>
    <d v="2024-09-03T00:00:00"/>
    <d v="2024-09-03T00:00:00"/>
    <n v="22"/>
    <n v="0"/>
    <n v="0"/>
    <x v="2"/>
    <x v="10"/>
    <s v="Austin"/>
    <s v="Consumer"/>
    <x v="3"/>
    <x v="2"/>
    <x v="4"/>
    <x v="191"/>
    <n v="797.8"/>
    <n v="886.22"/>
    <n v="0.23599999999999999"/>
    <n v="0.23599999999999999"/>
    <n v="1"/>
    <n v="36"/>
    <n v="24374.594880000001"/>
    <n v="28720.799999999999"/>
    <n v="-4346.2051199999987"/>
    <n v="-0.17830881462428633"/>
    <e v="#NUM!"/>
    <e v="#NUM!"/>
    <e v="#NUM!"/>
  </r>
  <r>
    <s v="ORD-2023-925146"/>
    <x v="175"/>
    <x v="32"/>
    <d v="2023-01-01T00:00:00"/>
    <m/>
    <s v="Q4-2023"/>
    <d v="2023-11-13T00:00:00"/>
    <d v="2023-11-13T00:00:00"/>
    <n v="29"/>
    <n v="0"/>
    <n v="0"/>
    <x v="1"/>
    <x v="9"/>
    <s v="Shenzhen"/>
    <s v="Non-Profit"/>
    <x v="3"/>
    <x v="1"/>
    <x v="1"/>
    <x v="192"/>
    <n v="986.44"/>
    <n v="790.61"/>
    <n v="7.1999999999999995E-2"/>
    <n v="7.1999999999999995E-2"/>
    <n v="0"/>
    <n v="6"/>
    <n v="4402.1164799999997"/>
    <n v="5918.64"/>
    <n v="-1516.5235200000006"/>
    <n v="-0.34449872621271499"/>
    <e v="#NUM!"/>
    <e v="#NUM!"/>
    <e v="#NUM!"/>
  </r>
  <r>
    <s v="ORD-2023-177794"/>
    <x v="176"/>
    <x v="15"/>
    <d v="2023-01-01T00:00:00"/>
    <m/>
    <s v="Q2-2023"/>
    <d v="2023-05-26T00:00:00"/>
    <d v="2023-05-26T00:00:00"/>
    <n v="22"/>
    <n v="0"/>
    <n v="0"/>
    <x v="2"/>
    <x v="10"/>
    <s v="San Francisco"/>
    <s v="Enterprise"/>
    <x v="1"/>
    <x v="1"/>
    <x v="2"/>
    <x v="193"/>
    <n v="249.71"/>
    <n v="361.33"/>
    <n v="9.4E-2"/>
    <n v="9.4E-2"/>
    <n v="0"/>
    <n v="12"/>
    <n v="3928.3797600000003"/>
    <n v="2996.52"/>
    <n v="931.85976000000028"/>
    <n v="0.23721223937881206"/>
    <e v="#NUM!"/>
    <e v="#NUM!"/>
    <e v="#NUM!"/>
  </r>
  <r>
    <s v="ORD-2024-444710"/>
    <x v="177"/>
    <x v="29"/>
    <d v="2023-01-01T00:00:00"/>
    <m/>
    <s v="Q3-2024"/>
    <d v="2024-10-01T00:00:00"/>
    <d v="2024-10-01T00:00:00"/>
    <n v="9"/>
    <n v="0"/>
    <n v="0"/>
    <x v="2"/>
    <x v="5"/>
    <s v="São Paulo"/>
    <s v="Non-Profit"/>
    <x v="1"/>
    <x v="11"/>
    <x v="5"/>
    <x v="194"/>
    <n v="1378.8"/>
    <n v="1952.04"/>
    <n v="0.159"/>
    <n v="0.159"/>
    <n v="0"/>
    <n v="19"/>
    <n v="31191.64716"/>
    <n v="26197.200000000001"/>
    <n v="4994.4471599999997"/>
    <n v="0.16012130216723058"/>
    <e v="#NUM!"/>
    <e v="#NUM!"/>
    <e v="#NUM!"/>
  </r>
  <r>
    <s v="ORD-2024-668926"/>
    <x v="1"/>
    <x v="1"/>
    <d v="2023-03-01T00:00:00"/>
    <m/>
    <s v="Q4-2024"/>
    <d v="2024-11-14T00:00:00"/>
    <d v="2024-11-14T00:00:00"/>
    <n v="22"/>
    <n v="0"/>
    <n v="0"/>
    <x v="1"/>
    <x v="2"/>
    <s v="Osaka"/>
    <s v="Non-Profit"/>
    <x v="4"/>
    <x v="5"/>
    <x v="3"/>
    <x v="195"/>
    <n v="1406.4"/>
    <n v="1564.76"/>
    <n v="0.185"/>
    <n v="0.185"/>
    <n v="0"/>
    <n v="17"/>
    <n v="21679.749799999998"/>
    <n v="23908.800000000003"/>
    <n v="-2229.0502000000051"/>
    <n v="-0.10281715520536151"/>
    <e v="#NUM!"/>
    <e v="#NUM!"/>
    <e v="#NUM!"/>
  </r>
  <r>
    <s v="ORD-2024-968374"/>
    <x v="178"/>
    <x v="31"/>
    <d v="2023-01-01T00:00:00"/>
    <m/>
    <s v="Q1-2024"/>
    <d v="2024-03-03T00:00:00"/>
    <d v="2024-03-03T00:00:00"/>
    <n v="21"/>
    <n v="0"/>
    <n v="0"/>
    <x v="0"/>
    <x v="0"/>
    <s v="Kisumu"/>
    <s v="Enterprise"/>
    <x v="1"/>
    <x v="5"/>
    <x v="3"/>
    <x v="196"/>
    <n v="516.86"/>
    <n v="852.54"/>
    <n v="5.0999999999999997E-2"/>
    <n v="5.0999999999999997E-2"/>
    <n v="0"/>
    <n v="14"/>
    <n v="11326.846439999999"/>
    <n v="7236.04"/>
    <n v="4090.8064399999994"/>
    <n v="0.36116022775355994"/>
    <e v="#NUM!"/>
    <e v="#NUM!"/>
    <e v="#NUM!"/>
  </r>
  <r>
    <s v="ORD-2023-575584"/>
    <x v="179"/>
    <x v="5"/>
    <d v="2023-01-01T00:00:00"/>
    <m/>
    <s v="Q1-2023"/>
    <d v="2023-02-21T00:00:00"/>
    <d v="2023-02-21T00:00:00"/>
    <n v="22"/>
    <n v="0"/>
    <n v="0"/>
    <x v="3"/>
    <x v="6"/>
    <s v="Munich"/>
    <s v="Small Business"/>
    <x v="2"/>
    <x v="3"/>
    <x v="2"/>
    <x v="197"/>
    <n v="1142.8800000000001"/>
    <n v="1465.29"/>
    <n v="0.186"/>
    <n v="0.186"/>
    <n v="0"/>
    <n v="7"/>
    <n v="8349.2224200000001"/>
    <n v="8000.1600000000008"/>
    <n v="349.06241999999929"/>
    <n v="4.1807775915017401E-2"/>
    <e v="#NUM!"/>
    <e v="#NUM!"/>
    <e v="#NUM!"/>
  </r>
  <r>
    <s v="ORD-2023-701153"/>
    <x v="27"/>
    <x v="12"/>
    <d v="2023-01-01T00:00:00"/>
    <m/>
    <s v="Q2-2023"/>
    <d v="2023-05-13T00:00:00"/>
    <d v="2023-05-13T00:00:00"/>
    <n v="29"/>
    <n v="0"/>
    <n v="0"/>
    <x v="3"/>
    <x v="6"/>
    <s v="Frankfurt"/>
    <s v="Consumer"/>
    <x v="4"/>
    <x v="1"/>
    <x v="1"/>
    <x v="198"/>
    <n v="1320.33"/>
    <n v="2645.23"/>
    <n v="0.155"/>
    <n v="0.155"/>
    <n v="0"/>
    <n v="25"/>
    <n v="55880.483749999999"/>
    <n v="33008.25"/>
    <n v="22872.233749999999"/>
    <n v="0.40930629470436536"/>
    <e v="#NUM!"/>
    <e v="#NUM!"/>
    <e v="#NUM!"/>
  </r>
  <r>
    <s v="ORD-2023-382017"/>
    <x v="180"/>
    <x v="5"/>
    <d v="2023-01-01T00:00:00"/>
    <m/>
    <s v="Q1-2023"/>
    <d v="2023-01-19T00:00:00"/>
    <d v="2023-01-19T00:00:00"/>
    <n v="6"/>
    <n v="1"/>
    <n v="1"/>
    <x v="2"/>
    <x v="10"/>
    <s v="Chicago"/>
    <s v="Corporate"/>
    <x v="4"/>
    <x v="10"/>
    <x v="3"/>
    <x v="199"/>
    <n v="833.57"/>
    <n v="881.57"/>
    <n v="5.7000000000000002E-2"/>
    <n v="5.7000000000000002E-2"/>
    <n v="0"/>
    <n v="18"/>
    <n v="14963.769179999999"/>
    <n v="15004.26"/>
    <n v="-40.490820000000895"/>
    <n v="-2.7059238560107821E-3"/>
    <e v="#NUM!"/>
    <e v="#NUM!"/>
    <e v="#NUM!"/>
  </r>
  <r>
    <s v="ORD-2024-999607"/>
    <x v="181"/>
    <x v="9"/>
    <d v="2023-02-01T00:00:00"/>
    <m/>
    <s v="Q1-2024"/>
    <d v="2024-01-29T00:00:00"/>
    <d v="2024-01-29T00:00:00"/>
    <n v="17"/>
    <n v="0"/>
    <n v="0"/>
    <x v="2"/>
    <x v="10"/>
    <s v="Chicago"/>
    <s v="Education"/>
    <x v="3"/>
    <x v="8"/>
    <x v="1"/>
    <x v="200"/>
    <n v="493.76"/>
    <n v="625.04"/>
    <n v="0.25800000000000001"/>
    <n v="0.25800000000000001"/>
    <n v="1"/>
    <n v="10"/>
    <n v="4637.7968000000001"/>
    <n v="4937.6000000000004"/>
    <n v="-299.80320000000029"/>
    <n v="-6.464345311549663E-2"/>
    <e v="#NUM!"/>
    <e v="#NUM!"/>
    <e v="#NUM!"/>
  </r>
  <r>
    <s v="ORD-2023-133848"/>
    <x v="182"/>
    <x v="25"/>
    <d v="2023-02-01T00:00:00"/>
    <m/>
    <s v="Q3-2023"/>
    <d v="2023-09-07T00:00:00"/>
    <d v="2023-09-07T00:00:00"/>
    <n v="23"/>
    <n v="0"/>
    <n v="0"/>
    <x v="2"/>
    <x v="10"/>
    <s v="New York"/>
    <s v="Enterprise"/>
    <x v="1"/>
    <x v="11"/>
    <x v="3"/>
    <x v="201"/>
    <n v="590.33000000000004"/>
    <n v="973.04"/>
    <n v="0"/>
    <n v="0"/>
    <n v="0"/>
    <n v="26"/>
    <n v="25299.040000000001"/>
    <n v="15348.580000000002"/>
    <n v="9950.4599999999991"/>
    <n v="0.39331373838691108"/>
    <e v="#NUM!"/>
    <e v="#NUM!"/>
    <e v="#NUM!"/>
  </r>
  <r>
    <s v="ORD-2023-586275"/>
    <x v="183"/>
    <x v="5"/>
    <d v="2023-01-01T00:00:00"/>
    <m/>
    <s v="Q1-2023"/>
    <d v="2023-02-03T00:00:00"/>
    <d v="2023-02-03T00:00:00"/>
    <n v="14"/>
    <n v="0"/>
    <n v="0"/>
    <x v="0"/>
    <x v="0"/>
    <s v="Kisumu"/>
    <s v="Corporate"/>
    <x v="0"/>
    <x v="12"/>
    <x v="2"/>
    <x v="202"/>
    <n v="884.36"/>
    <n v="1545.34"/>
    <n v="0.24299999999999999"/>
    <n v="0.24299999999999999"/>
    <n v="1"/>
    <n v="41"/>
    <n v="47962.717579999997"/>
    <n v="36258.76"/>
    <n v="11703.957579999995"/>
    <n v="0.24402198562827965"/>
    <e v="#NUM!"/>
    <e v="#NUM!"/>
    <e v="#NUM!"/>
  </r>
  <r>
    <s v="ORD-2025-964661"/>
    <x v="184"/>
    <x v="26"/>
    <d v="2023-01-01T00:00:00"/>
    <m/>
    <s v="Q1-2025"/>
    <d v="2025-02-25T00:00:00"/>
    <d v="2025-02-25T00:00:00"/>
    <n v="21"/>
    <n v="0"/>
    <n v="0"/>
    <x v="3"/>
    <x v="8"/>
    <s v="Birmingham"/>
    <s v="Corporate"/>
    <x v="2"/>
    <x v="14"/>
    <x v="5"/>
    <x v="203"/>
    <n v="1016.32"/>
    <n v="2253.42"/>
    <n v="5.5E-2"/>
    <n v="5.5E-2"/>
    <n v="0"/>
    <n v="12"/>
    <n v="25553.782800000001"/>
    <n v="12195.84"/>
    <n v="13357.942800000001"/>
    <n v="0.52273837124419797"/>
    <e v="#NUM!"/>
    <e v="#NUM!"/>
    <e v="#NUM!"/>
  </r>
  <r>
    <s v="ORD-2023-390998"/>
    <x v="43"/>
    <x v="12"/>
    <d v="2023-01-01T00:00:00"/>
    <m/>
    <s v="Q2-2023"/>
    <d v="2023-04-28T00:00:00"/>
    <d v="2023-04-28T00:00:00"/>
    <n v="9"/>
    <n v="0"/>
    <n v="0"/>
    <x v="3"/>
    <x v="6"/>
    <s v="Berlin"/>
    <s v="Education"/>
    <x v="1"/>
    <x v="6"/>
    <x v="5"/>
    <x v="204"/>
    <n v="1178.42"/>
    <n v="2446.56"/>
    <n v="2.9000000000000001E-2"/>
    <n v="2.9000000000000001E-2"/>
    <n v="0"/>
    <n v="11"/>
    <n v="26131.70736"/>
    <n v="12962.62"/>
    <n v="13169.08736"/>
    <n v="0.5039505141618883"/>
    <e v="#NUM!"/>
    <e v="#NUM!"/>
    <e v="#NUM!"/>
  </r>
  <r>
    <s v="ORD-2023-920483"/>
    <x v="185"/>
    <x v="24"/>
    <d v="2023-01-01T00:00:00"/>
    <m/>
    <s v="Q3-2023"/>
    <d v="2023-08-01T00:00:00"/>
    <d v="2023-08-01T00:00:00"/>
    <n v="30"/>
    <n v="0"/>
    <n v="0"/>
    <x v="3"/>
    <x v="8"/>
    <s v="Birmingham"/>
    <s v="Small Business"/>
    <x v="0"/>
    <x v="5"/>
    <x v="0"/>
    <x v="205"/>
    <n v="137.46"/>
    <n v="188.3"/>
    <n v="3.7999999999999999E-2"/>
    <n v="3.7999999999999999E-2"/>
    <n v="0"/>
    <n v="37"/>
    <n v="6702.3501999999999"/>
    <n v="5086.0200000000004"/>
    <n v="1616.3301999999994"/>
    <n v="0.24115872071262398"/>
    <e v="#NUM!"/>
    <e v="#NUM!"/>
    <e v="#NUM!"/>
  </r>
  <r>
    <s v="ORD-2025-146850"/>
    <x v="51"/>
    <x v="10"/>
    <d v="2023-02-01T00:00:00"/>
    <m/>
    <s v="Q1-2025"/>
    <d v="2025-02-14T00:00:00"/>
    <d v="2025-02-14T00:00:00"/>
    <n v="24"/>
    <n v="0"/>
    <n v="0"/>
    <x v="0"/>
    <x v="0"/>
    <s v="Nairobi"/>
    <s v="Small Business"/>
    <x v="0"/>
    <x v="1"/>
    <x v="6"/>
    <x v="206"/>
    <n v="1030.44"/>
    <n v="2562.84"/>
    <n v="0.14799999999999999"/>
    <n v="0.14799999999999999"/>
    <n v="0"/>
    <n v="13"/>
    <n v="28386.015839999996"/>
    <n v="13395.720000000001"/>
    <n v="14990.295839999995"/>
    <n v="0.52808734852027039"/>
    <e v="#NUM!"/>
    <e v="#NUM!"/>
    <e v="#NUM!"/>
  </r>
  <r>
    <s v="ORD-2024-687100"/>
    <x v="186"/>
    <x v="29"/>
    <d v="2023-02-01T00:00:00"/>
    <m/>
    <s v="Q3-2024"/>
    <d v="2024-10-07T00:00:00"/>
    <d v="2024-10-07T00:00:00"/>
    <n v="27"/>
    <n v="0"/>
    <n v="0"/>
    <x v="0"/>
    <x v="0"/>
    <s v="Kisumu"/>
    <s v="Consumer"/>
    <x v="0"/>
    <x v="4"/>
    <x v="1"/>
    <x v="207"/>
    <n v="1248.3900000000001"/>
    <n v="1805.11"/>
    <n v="0.20300000000000001"/>
    <n v="0.20300000000000001"/>
    <n v="1"/>
    <n v="11"/>
    <n v="15825.399369999997"/>
    <n v="13732.29"/>
    <n v="2093.1093699999965"/>
    <n v="0.13226265707820786"/>
    <e v="#NUM!"/>
    <e v="#NUM!"/>
    <e v="#NUM!"/>
  </r>
  <r>
    <s v="ORD-2025-629393"/>
    <x v="187"/>
    <x v="13"/>
    <d v="2023-02-01T00:00:00"/>
    <m/>
    <s v="Q3-2025"/>
    <d v="2025-08-07T00:00:00"/>
    <d v="2025-08-07T00:00:00"/>
    <n v="17"/>
    <n v="0"/>
    <n v="0"/>
    <x v="0"/>
    <x v="1"/>
    <s v="Lagos"/>
    <s v="Enterprise"/>
    <x v="4"/>
    <x v="12"/>
    <x v="6"/>
    <x v="208"/>
    <n v="1204.95"/>
    <n v="2065.73"/>
    <n v="0.13600000000000001"/>
    <n v="0.13600000000000001"/>
    <n v="0"/>
    <n v="10"/>
    <n v="17847.907199999998"/>
    <n v="12049.5"/>
    <n v="5798.4071999999978"/>
    <n v="0.32487882949100039"/>
    <e v="#NUM!"/>
    <e v="#NUM!"/>
    <e v="#NUM!"/>
  </r>
  <r>
    <s v="ORD-2024-686712"/>
    <x v="188"/>
    <x v="1"/>
    <d v="2023-01-01T00:00:00"/>
    <m/>
    <s v="Q4-2024"/>
    <d v="2024-10-23T00:00:00"/>
    <d v="2024-10-23T00:00:00"/>
    <n v="21"/>
    <n v="0"/>
    <n v="0"/>
    <x v="0"/>
    <x v="11"/>
    <s v="Durban"/>
    <s v="Corporate"/>
    <x v="2"/>
    <x v="8"/>
    <x v="0"/>
    <x v="209"/>
    <n v="1095.6099999999999"/>
    <n v="2366.5100000000002"/>
    <n v="0.152"/>
    <n v="0.152"/>
    <n v="0"/>
    <n v="9"/>
    <n v="18061.204320000004"/>
    <n v="9860.49"/>
    <n v="8200.7143200000046"/>
    <n v="0.4540513564158607"/>
    <e v="#NUM!"/>
    <e v="#NUM!"/>
    <e v="#NUM!"/>
  </r>
  <r>
    <s v="ORD-2025-586799"/>
    <x v="189"/>
    <x v="13"/>
    <d v="2023-03-01T00:00:00"/>
    <m/>
    <s v="Q3-2025"/>
    <d v="2025-08-04T00:00:00"/>
    <d v="2025-08-04T00:00:00"/>
    <n v="21"/>
    <n v="0"/>
    <n v="0"/>
    <x v="2"/>
    <x v="3"/>
    <s v="Montreal"/>
    <s v="Consumer"/>
    <x v="1"/>
    <x v="10"/>
    <x v="5"/>
    <x v="210"/>
    <n v="90.3"/>
    <n v="131.76"/>
    <n v="0.10199999999999999"/>
    <n v="0.10199999999999999"/>
    <n v="0"/>
    <n v="15"/>
    <n v="1774.8072"/>
    <n v="1354.5"/>
    <n v="420.30719999999997"/>
    <n v="0.23681851189244668"/>
    <e v="#NUM!"/>
    <e v="#NUM!"/>
    <e v="#NUM!"/>
  </r>
  <r>
    <s v="ORD-2024-988736"/>
    <x v="190"/>
    <x v="29"/>
    <d v="2023-01-01T00:00:00"/>
    <m/>
    <s v="Q3-2024"/>
    <d v="2024-10-01T00:00:00"/>
    <d v="2024-10-01T00:00:00"/>
    <n v="22"/>
    <n v="0"/>
    <n v="0"/>
    <x v="1"/>
    <x v="9"/>
    <s v="Shenzhen"/>
    <s v="Consumer"/>
    <x v="4"/>
    <x v="4"/>
    <x v="1"/>
    <x v="211"/>
    <n v="1166.18"/>
    <n v="1335.02"/>
    <n v="0.128"/>
    <n v="0.128"/>
    <n v="0"/>
    <n v="6"/>
    <n v="6984.8246399999998"/>
    <n v="6997.08"/>
    <n v="-12.25536000000011"/>
    <n v="-1.7545694604582242E-3"/>
    <e v="#NUM!"/>
    <e v="#NUM!"/>
    <e v="#NUM!"/>
  </r>
  <r>
    <s v="ORD-2025-564184"/>
    <x v="191"/>
    <x v="10"/>
    <d v="2023-02-01T00:00:00"/>
    <m/>
    <s v="Q1-2025"/>
    <d v="2025-02-06T00:00:00"/>
    <d v="2025-02-06T00:00:00"/>
    <n v="8"/>
    <n v="0"/>
    <n v="0"/>
    <x v="0"/>
    <x v="0"/>
    <s v="Kisumu"/>
    <s v="Education"/>
    <x v="0"/>
    <x v="5"/>
    <x v="3"/>
    <x v="212"/>
    <n v="1445.27"/>
    <n v="2691.45"/>
    <n v="0"/>
    <n v="0"/>
    <n v="0"/>
    <n v="9"/>
    <n v="24223.05"/>
    <n v="13007.43"/>
    <n v="11215.619999999999"/>
    <n v="0.46301436028906351"/>
    <e v="#NUM!"/>
    <e v="#NUM!"/>
    <e v="#NUM!"/>
  </r>
  <r>
    <s v="ORD-2023-653343"/>
    <x v="192"/>
    <x v="30"/>
    <d v="2023-01-01T00:00:00"/>
    <m/>
    <s v="Q4-2023"/>
    <d v="2023-11-28T00:00:00"/>
    <d v="2023-11-28T00:00:00"/>
    <n v="18"/>
    <n v="0"/>
    <n v="0"/>
    <x v="2"/>
    <x v="5"/>
    <s v="Brasília"/>
    <s v="Education"/>
    <x v="2"/>
    <x v="4"/>
    <x v="6"/>
    <x v="213"/>
    <n v="388.51"/>
    <n v="776.46"/>
    <n v="0.157"/>
    <n v="0.157"/>
    <n v="0"/>
    <n v="12"/>
    <n v="7854.6693599999999"/>
    <n v="4662.12"/>
    <n v="3192.54936"/>
    <n v="0.40645241876864946"/>
    <e v="#NUM!"/>
    <e v="#NUM!"/>
    <e v="#NUM!"/>
  </r>
  <r>
    <s v="ORD-2024-197852"/>
    <x v="193"/>
    <x v="31"/>
    <d v="2023-03-01T00:00:00"/>
    <m/>
    <s v="Q1-2024"/>
    <d v="2024-03-30T00:00:00"/>
    <d v="2024-03-30T00:00:00"/>
    <n v="30"/>
    <n v="0"/>
    <n v="0"/>
    <x v="1"/>
    <x v="2"/>
    <s v="Nagoya"/>
    <s v="Small Business"/>
    <x v="4"/>
    <x v="2"/>
    <x v="2"/>
    <x v="214"/>
    <n v="231.11"/>
    <n v="318.17"/>
    <n v="0.20100000000000001"/>
    <n v="0.20100000000000001"/>
    <n v="1"/>
    <n v="60"/>
    <n v="15253.069799999999"/>
    <n v="13866.6"/>
    <n v="1386.4697999999989"/>
    <n v="9.0897754889969692E-2"/>
    <e v="#NUM!"/>
    <e v="#NUM!"/>
    <e v="#NUM!"/>
  </r>
  <r>
    <s v="ORD-2023-431328"/>
    <x v="194"/>
    <x v="4"/>
    <d v="2023-05-01T00:00:00"/>
    <m/>
    <s v="Q4-2023"/>
    <d v="2024-01-14T00:00:00"/>
    <d v="2024-01-14T00:00:00"/>
    <n v="25"/>
    <n v="0"/>
    <n v="0"/>
    <x v="1"/>
    <x v="4"/>
    <s v="Mumbai"/>
    <s v="Non-Profit"/>
    <x v="2"/>
    <x v="4"/>
    <x v="5"/>
    <x v="215"/>
    <n v="1085.6099999999999"/>
    <n v="1246.4100000000001"/>
    <n v="0.113"/>
    <n v="0.113"/>
    <n v="0"/>
    <n v="7"/>
    <n v="7738.9596900000006"/>
    <n v="7599.2699999999995"/>
    <n v="139.68969000000106"/>
    <n v="1.8050189637310417E-2"/>
    <e v="#NUM!"/>
    <e v="#NUM!"/>
    <e v="#NUM!"/>
  </r>
  <r>
    <s v="ORD-2023-613317"/>
    <x v="119"/>
    <x v="5"/>
    <d v="2023-01-01T00:00:00"/>
    <m/>
    <s v="Q1-2023"/>
    <d v="2023-01-21T00:00:00"/>
    <d v="2023-01-25T00:00:00"/>
    <n v="3"/>
    <n v="1"/>
    <n v="1"/>
    <x v="3"/>
    <x v="6"/>
    <s v="Munich"/>
    <s v="Corporate"/>
    <x v="4"/>
    <x v="9"/>
    <x v="5"/>
    <x v="216"/>
    <n v="150.86000000000001"/>
    <n v="346.96"/>
    <n v="0.19600000000000001"/>
    <n v="0.19600000000000001"/>
    <n v="0"/>
    <n v="8"/>
    <n v="2231.6467200000002"/>
    <n v="1206.8800000000001"/>
    <n v="1024.7667200000001"/>
    <n v="0.45919755614365343"/>
    <e v="#NUM!"/>
    <e v="#NUM!"/>
    <e v="#NUM!"/>
  </r>
  <r>
    <s v="ORD-2024-720756"/>
    <x v="195"/>
    <x v="1"/>
    <d v="2023-01-01T00:00:00"/>
    <m/>
    <s v="Q4-2024"/>
    <d v="2024-11-09T00:00:00"/>
    <d v="2024-11-09T00:00:00"/>
    <n v="29"/>
    <n v="0"/>
    <n v="0"/>
    <x v="1"/>
    <x v="9"/>
    <s v="Shanghai"/>
    <s v="Non-Profit"/>
    <x v="1"/>
    <x v="9"/>
    <x v="1"/>
    <x v="217"/>
    <n v="391.64"/>
    <n v="504.76"/>
    <n v="4.0000000000000001E-3"/>
    <n v="4.0000000000000001E-3"/>
    <n v="0"/>
    <n v="13"/>
    <n v="6535.6324800000002"/>
    <n v="5091.32"/>
    <n v="1444.3124800000005"/>
    <n v="0.22099046793402319"/>
    <e v="#NUM!"/>
    <e v="#NUM!"/>
    <e v="#NUM!"/>
  </r>
  <r>
    <s v="ORD-2024-777623"/>
    <x v="196"/>
    <x v="29"/>
    <d v="2023-01-01T00:00:00"/>
    <m/>
    <s v="Q3-2024"/>
    <d v="2024-10-14T00:00:00"/>
    <d v="2024-10-14T00:00:00"/>
    <n v="25"/>
    <n v="0"/>
    <n v="0"/>
    <x v="2"/>
    <x v="5"/>
    <s v="Rio de Janeiro"/>
    <s v="Small Business"/>
    <x v="0"/>
    <x v="11"/>
    <x v="1"/>
    <x v="218"/>
    <n v="386.96"/>
    <n v="937.46"/>
    <n v="0.26600000000000001"/>
    <n v="0.26600000000000001"/>
    <n v="1"/>
    <n v="41"/>
    <n v="28211.92124"/>
    <n v="15865.359999999999"/>
    <n v="12346.561240000001"/>
    <n v="0.43763631462626335"/>
    <e v="#NUM!"/>
    <e v="#NUM!"/>
    <e v="#NUM!"/>
  </r>
  <r>
    <s v="ORD-2025-762212"/>
    <x v="197"/>
    <x v="28"/>
    <d v="2023-02-01T00:00:00"/>
    <m/>
    <s v="Q3-2025"/>
    <d v="2025-09-24T00:00:00"/>
    <d v="2025-09-24T00:00:00"/>
    <n v="30"/>
    <n v="0"/>
    <n v="0"/>
    <x v="0"/>
    <x v="0"/>
    <s v="Nairobi"/>
    <s v="Consumer"/>
    <x v="4"/>
    <x v="5"/>
    <x v="0"/>
    <x v="219"/>
    <n v="589.14"/>
    <n v="1300.58"/>
    <n v="5.5E-2"/>
    <n v="5.5E-2"/>
    <n v="0"/>
    <n v="11"/>
    <n v="13519.529099999998"/>
    <n v="6480.54"/>
    <n v="7038.989099999998"/>
    <n v="0.52065342275863724"/>
    <e v="#NUM!"/>
    <e v="#NUM!"/>
    <e v="#NUM!"/>
  </r>
  <r>
    <s v="ORD-2023-271918"/>
    <x v="198"/>
    <x v="27"/>
    <d v="2023-02-01T00:00:00"/>
    <m/>
    <s v="Q3-2023"/>
    <d v="2023-10-02T00:00:00"/>
    <d v="2023-10-02T00:00:00"/>
    <n v="7"/>
    <n v="1"/>
    <n v="1"/>
    <x v="2"/>
    <x v="10"/>
    <s v="New York"/>
    <s v="Education"/>
    <x v="2"/>
    <x v="2"/>
    <x v="6"/>
    <x v="220"/>
    <n v="145.58000000000001"/>
    <n v="228.15"/>
    <n v="0.20399999999999999"/>
    <n v="0.20399999999999999"/>
    <n v="1"/>
    <n v="5"/>
    <n v="908.03700000000003"/>
    <n v="727.90000000000009"/>
    <n v="180.13699999999994"/>
    <n v="0.19838068272548359"/>
    <e v="#NUM!"/>
    <e v="#NUM!"/>
    <e v="#NUM!"/>
  </r>
  <r>
    <s v="ORD-2023-713375"/>
    <x v="199"/>
    <x v="25"/>
    <d v="2023-01-01T00:00:00"/>
    <m/>
    <s v="Q3-2023"/>
    <d v="2023-09-10T00:00:00"/>
    <d v="2023-09-10T00:00:00"/>
    <n v="15"/>
    <n v="0"/>
    <n v="0"/>
    <x v="0"/>
    <x v="11"/>
    <s v="Cape Town"/>
    <s v="Non-Profit"/>
    <x v="4"/>
    <x v="13"/>
    <x v="0"/>
    <x v="221"/>
    <n v="241.14"/>
    <n v="496.52"/>
    <n v="9.2999999999999999E-2"/>
    <n v="9.2999999999999999E-2"/>
    <n v="0"/>
    <n v="10"/>
    <n v="4503.4363999999996"/>
    <n v="2411.3999999999996"/>
    <n v="2092.0364"/>
    <n v="0.46454223268257994"/>
    <e v="#NUM!"/>
    <e v="#NUM!"/>
    <e v="#NUM!"/>
  </r>
  <r>
    <s v="ORD-2025-678688"/>
    <x v="200"/>
    <x v="13"/>
    <d v="2023-01-01T00:00:00"/>
    <m/>
    <s v="Q3-2025"/>
    <d v="2025-07-17T00:00:00"/>
    <d v="2025-07-17T00:00:00"/>
    <n v="1"/>
    <n v="1"/>
    <n v="1"/>
    <x v="0"/>
    <x v="11"/>
    <s v="Durban"/>
    <s v="Small Business"/>
    <x v="3"/>
    <x v="5"/>
    <x v="2"/>
    <x v="222"/>
    <n v="1198.9000000000001"/>
    <n v="2941.2"/>
    <n v="5.0999999999999997E-2"/>
    <n v="5.0999999999999997E-2"/>
    <n v="0"/>
    <n v="24"/>
    <n v="66988.771199999988"/>
    <n v="28773.600000000002"/>
    <n v="38215.171199999982"/>
    <n v="0.57047129713583977"/>
    <e v="#NUM!"/>
    <e v="#NUM!"/>
    <e v="#NUM!"/>
  </r>
  <r>
    <s v="ORD-2023-501220"/>
    <x v="43"/>
    <x v="12"/>
    <d v="2023-01-01T00:00:00"/>
    <m/>
    <s v="Q2-2023"/>
    <d v="2023-05-07T00:00:00"/>
    <d v="2023-05-07T00:00:00"/>
    <n v="18"/>
    <n v="0"/>
    <n v="0"/>
    <x v="3"/>
    <x v="8"/>
    <s v="Birmingham"/>
    <s v="Enterprise"/>
    <x v="0"/>
    <x v="13"/>
    <x v="4"/>
    <x v="223"/>
    <n v="1089.1500000000001"/>
    <n v="1088.2"/>
    <n v="5.0999999999999997E-2"/>
    <n v="5.0999999999999997E-2"/>
    <n v="0"/>
    <n v="15"/>
    <n v="15490.527"/>
    <n v="16337.250000000002"/>
    <n v="-846.72300000000178"/>
    <n v="-5.4660696824582002E-2"/>
    <e v="#NUM!"/>
    <e v="#NUM!"/>
    <e v="#NUM!"/>
  </r>
  <r>
    <s v="ORD-2023-195665"/>
    <x v="201"/>
    <x v="4"/>
    <d v="2023-01-01T00:00:00"/>
    <m/>
    <s v="Q4-2023"/>
    <d v="2023-12-20T00:00:00"/>
    <d v="2023-12-20T00:00:00"/>
    <n v="1"/>
    <n v="1"/>
    <n v="1"/>
    <x v="2"/>
    <x v="5"/>
    <s v="Rio de Janeiro"/>
    <s v="Consumer"/>
    <x v="3"/>
    <x v="1"/>
    <x v="3"/>
    <x v="224"/>
    <n v="1080.43"/>
    <n v="2529.15"/>
    <n v="0.14699999999999999"/>
    <n v="0.14699999999999999"/>
    <n v="0"/>
    <n v="10"/>
    <n v="21573.6495"/>
    <n v="10804.300000000001"/>
    <n v="10769.349499999998"/>
    <n v="0.49918997247081437"/>
    <e v="#NUM!"/>
    <e v="#NUM!"/>
    <e v="#NUM!"/>
  </r>
  <r>
    <s v="ORD-2023-290237"/>
    <x v="202"/>
    <x v="24"/>
    <d v="2023-03-01T00:00:00"/>
    <m/>
    <s v="Q3-2023"/>
    <d v="2023-08-07T00:00:00"/>
    <d v="2023-08-07T00:00:00"/>
    <n v="8"/>
    <n v="0"/>
    <n v="0"/>
    <x v="1"/>
    <x v="2"/>
    <s v="Nagoya"/>
    <s v="Education"/>
    <x v="2"/>
    <x v="8"/>
    <x v="2"/>
    <x v="225"/>
    <n v="1352.44"/>
    <n v="2698.01"/>
    <n v="0.13100000000000001"/>
    <n v="0.13100000000000001"/>
    <n v="0"/>
    <n v="13"/>
    <n v="30479.418970000002"/>
    <n v="17581.72"/>
    <n v="12897.698970000001"/>
    <n v="0.42316091992090887"/>
    <e v="#NUM!"/>
    <e v="#NUM!"/>
    <e v="#NUM!"/>
  </r>
  <r>
    <s v="ORD-2023-302041"/>
    <x v="203"/>
    <x v="32"/>
    <d v="2023-02-01T00:00:00"/>
    <m/>
    <s v="Q4-2023"/>
    <d v="2023-10-29T00:00:00"/>
    <d v="2023-10-29T00:00:00"/>
    <n v="25"/>
    <n v="0"/>
    <n v="0"/>
    <x v="2"/>
    <x v="10"/>
    <s v="San Francisco"/>
    <s v="Small Business"/>
    <x v="3"/>
    <x v="7"/>
    <x v="6"/>
    <x v="226"/>
    <n v="1239.8399999999999"/>
    <n v="1482.75"/>
    <n v="6.7000000000000004E-2"/>
    <n v="6.7000000000000004E-2"/>
    <n v="0"/>
    <n v="4"/>
    <n v="5533.6230000000005"/>
    <n v="4959.3599999999997"/>
    <n v="574.26300000000083"/>
    <n v="0.10377703721413634"/>
    <e v="#NUM!"/>
    <e v="#NUM!"/>
    <e v="#NUM!"/>
  </r>
  <r>
    <s v="ORD-2025-289139"/>
    <x v="204"/>
    <x v="28"/>
    <d v="2023-02-01T00:00:00"/>
    <m/>
    <s v="Q3-2025"/>
    <d v="2025-08-30T00:00:00"/>
    <d v="2025-08-30T00:00:00"/>
    <n v="20"/>
    <n v="0"/>
    <n v="0"/>
    <x v="2"/>
    <x v="10"/>
    <s v="San Francisco"/>
    <s v="Corporate"/>
    <x v="2"/>
    <x v="11"/>
    <x v="1"/>
    <x v="227"/>
    <n v="933.29"/>
    <n v="1456.81"/>
    <n v="0.123"/>
    <n v="0.123"/>
    <n v="0"/>
    <n v="13"/>
    <n v="16609.090809999998"/>
    <n v="12132.77"/>
    <n v="4476.3208099999974"/>
    <n v="0.26951028573489977"/>
    <e v="#NUM!"/>
    <e v="#NUM!"/>
    <e v="#NUM!"/>
  </r>
  <r>
    <s v="ORD-2023-949710"/>
    <x v="205"/>
    <x v="22"/>
    <d v="2023-02-01T00:00:00"/>
    <m/>
    <s v="Q1-2023"/>
    <d v="2023-04-01T00:00:00"/>
    <d v="2023-04-01T00:00:00"/>
    <n v="25"/>
    <n v="0"/>
    <n v="0"/>
    <x v="0"/>
    <x v="0"/>
    <s v="Nairobi"/>
    <s v="Consumer"/>
    <x v="2"/>
    <x v="14"/>
    <x v="1"/>
    <x v="228"/>
    <n v="1024.0999999999999"/>
    <n v="918.19"/>
    <n v="0.189"/>
    <n v="0.189"/>
    <n v="0"/>
    <n v="10"/>
    <n v="7446.5209000000004"/>
    <n v="10241"/>
    <n v="-2794.4790999999996"/>
    <n v="-0.37527311579827827"/>
    <e v="#NUM!"/>
    <e v="#NUM!"/>
    <e v="#NUM!"/>
  </r>
  <r>
    <s v="ORD-2023-603650"/>
    <x v="206"/>
    <x v="15"/>
    <d v="2023-01-01T00:00:00"/>
    <m/>
    <s v="Q2-2023"/>
    <d v="2023-06-10T00:00:00"/>
    <d v="2023-06-10T00:00:00"/>
    <n v="18"/>
    <n v="0"/>
    <n v="0"/>
    <x v="1"/>
    <x v="9"/>
    <s v="Shanghai"/>
    <s v="Corporate"/>
    <x v="3"/>
    <x v="6"/>
    <x v="0"/>
    <x v="229"/>
    <n v="54.62"/>
    <n v="48.94"/>
    <n v="0.14799999999999999"/>
    <n v="0.14799999999999999"/>
    <n v="0"/>
    <n v="16"/>
    <n v="667.15008"/>
    <n v="873.92"/>
    <n v="-206.76991999999996"/>
    <n v="-0.3099301434543783"/>
    <e v="#NUM!"/>
    <e v="#NUM!"/>
    <e v="#NUM!"/>
  </r>
  <r>
    <s v="ORD-2025-757957"/>
    <x v="207"/>
    <x v="19"/>
    <d v="2023-01-01T00:00:00"/>
    <m/>
    <s v="Q2-2025"/>
    <d v="2025-05-06T00:00:00"/>
    <d v="2025-05-06T00:00:00"/>
    <n v="12"/>
    <n v="0"/>
    <n v="0"/>
    <x v="2"/>
    <x v="5"/>
    <s v="Brasília"/>
    <s v="Consumer"/>
    <x v="1"/>
    <x v="0"/>
    <x v="3"/>
    <x v="230"/>
    <n v="394.13"/>
    <n v="932.29"/>
    <n v="0.109"/>
    <n v="0.109"/>
    <n v="0"/>
    <n v="7"/>
    <n v="5814.6927299999998"/>
    <n v="2758.91"/>
    <n v="3055.7827299999999"/>
    <n v="0.5255278089303268"/>
    <e v="#NUM!"/>
    <e v="#NUM!"/>
    <e v="#NUM!"/>
  </r>
  <r>
    <s v="ORD-2024-423853"/>
    <x v="208"/>
    <x v="29"/>
    <d v="2023-02-01T00:00:00"/>
    <m/>
    <s v="Q3-2024"/>
    <d v="2024-09-08T00:00:00"/>
    <d v="2024-09-08T00:00:00"/>
    <n v="5"/>
    <n v="1"/>
    <n v="1"/>
    <x v="0"/>
    <x v="1"/>
    <s v="Lagos"/>
    <s v="Small Business"/>
    <x v="4"/>
    <x v="11"/>
    <x v="1"/>
    <x v="231"/>
    <n v="197.63"/>
    <n v="325.79000000000002"/>
    <n v="0.11600000000000001"/>
    <n v="0.11600000000000001"/>
    <n v="0"/>
    <n v="10"/>
    <n v="2879.9836"/>
    <n v="1976.3"/>
    <n v="903.68360000000007"/>
    <n v="0.31378081458519419"/>
    <e v="#NUM!"/>
    <e v="#NUM!"/>
    <e v="#NUM!"/>
  </r>
  <r>
    <s v="ORD-2024-569164"/>
    <x v="209"/>
    <x v="29"/>
    <d v="2023-03-01T00:00:00"/>
    <m/>
    <s v="Q3-2024"/>
    <d v="2024-09-25T00:00:00"/>
    <d v="2024-09-25T00:00:00"/>
    <n v="20"/>
    <n v="0"/>
    <n v="0"/>
    <x v="1"/>
    <x v="2"/>
    <s v="Osaka"/>
    <s v="Enterprise"/>
    <x v="3"/>
    <x v="14"/>
    <x v="5"/>
    <x v="232"/>
    <n v="195.54"/>
    <n v="405.97"/>
    <n v="0.187"/>
    <n v="0.187"/>
    <n v="0"/>
    <n v="16"/>
    <n v="5280.8577599999999"/>
    <n v="3128.64"/>
    <n v="2152.21776"/>
    <n v="0.40755079152141377"/>
    <e v="#NUM!"/>
    <e v="#NUM!"/>
    <e v="#NUM!"/>
  </r>
  <r>
    <s v="ORD-2023-946143"/>
    <x v="210"/>
    <x v="22"/>
    <d v="2023-01-01T00:00:00"/>
    <m/>
    <s v="Q1-2023"/>
    <d v="2023-03-30T00:00:00"/>
    <d v="2023-03-30T00:00:00"/>
    <n v="16"/>
    <n v="0"/>
    <n v="0"/>
    <x v="0"/>
    <x v="11"/>
    <s v="Cape Town"/>
    <s v="Consumer"/>
    <x v="3"/>
    <x v="11"/>
    <x v="0"/>
    <x v="233"/>
    <n v="1309.77"/>
    <n v="1589.07"/>
    <n v="0.10199999999999999"/>
    <n v="0.10199999999999999"/>
    <n v="0"/>
    <n v="10"/>
    <n v="14269.848599999999"/>
    <n v="13097.7"/>
    <n v="1172.1485999999986"/>
    <n v="8.2141628328137886E-2"/>
    <e v="#NUM!"/>
    <e v="#NUM!"/>
    <e v="#NUM!"/>
  </r>
  <r>
    <s v="ORD-2024-281211"/>
    <x v="39"/>
    <x v="9"/>
    <d v="2023-03-01T00:00:00"/>
    <m/>
    <s v="Q1-2024"/>
    <d v="2024-02-02T00:00:00"/>
    <d v="2024-02-02T00:00:00"/>
    <n v="22"/>
    <n v="0"/>
    <n v="0"/>
    <x v="1"/>
    <x v="2"/>
    <s v="Nagoya"/>
    <s v="Small Business"/>
    <x v="1"/>
    <x v="15"/>
    <x v="1"/>
    <x v="234"/>
    <n v="1237.68"/>
    <n v="1432.8"/>
    <n v="6.8000000000000005E-2"/>
    <n v="6.8000000000000005E-2"/>
    <n v="0"/>
    <n v="13"/>
    <n v="17359.804799999998"/>
    <n v="16089.84"/>
    <n v="1269.9647999999979"/>
    <n v="7.315547695559331E-2"/>
    <e v="#NUM!"/>
    <e v="#NUM!"/>
    <e v="#NUM!"/>
  </r>
  <r>
    <s v="ORD-2024-805860"/>
    <x v="211"/>
    <x v="29"/>
    <d v="2023-02-01T00:00:00"/>
    <m/>
    <s v="Q3-2024"/>
    <d v="2024-10-02T00:00:00"/>
    <d v="2024-10-02T00:00:00"/>
    <n v="19"/>
    <n v="0"/>
    <n v="0"/>
    <x v="0"/>
    <x v="0"/>
    <s v="Mombasa"/>
    <s v="Small Business"/>
    <x v="0"/>
    <x v="12"/>
    <x v="3"/>
    <x v="235"/>
    <n v="1338.99"/>
    <n v="1765.76"/>
    <n v="0.126"/>
    <n v="0.126"/>
    <n v="0"/>
    <n v="24"/>
    <n v="37038.581760000001"/>
    <n v="32135.760000000002"/>
    <n v="4902.8217599999989"/>
    <n v="0.1323706666677725"/>
    <e v="#NUM!"/>
    <e v="#NUM!"/>
    <e v="#NUM!"/>
  </r>
  <r>
    <s v="ORD-2025-132174"/>
    <x v="212"/>
    <x v="13"/>
    <d v="2023-03-01T00:00:00"/>
    <m/>
    <s v="Q3-2025"/>
    <d v="2025-07-23T00:00:00"/>
    <d v="2025-07-23T00:00:00"/>
    <n v="6"/>
    <n v="1"/>
    <n v="1"/>
    <x v="2"/>
    <x v="3"/>
    <s v="Vancouver"/>
    <s v="Consumer"/>
    <x v="1"/>
    <x v="10"/>
    <x v="0"/>
    <x v="236"/>
    <n v="1364.89"/>
    <n v="2757.54"/>
    <n v="0.17199999999999999"/>
    <n v="0.17199999999999999"/>
    <n v="0"/>
    <n v="61"/>
    <n v="139277.83032000001"/>
    <n v="83258.290000000008"/>
    <n v="56019.54032"/>
    <n v="0.4022143379983118"/>
    <e v="#NUM!"/>
    <e v="#NUM!"/>
    <e v="#NUM!"/>
  </r>
  <r>
    <s v="ORD-2023-964434"/>
    <x v="213"/>
    <x v="30"/>
    <d v="2023-05-01T00:00:00"/>
    <m/>
    <s v="Q4-2023"/>
    <d v="2023-12-07T00:00:00"/>
    <d v="2023-12-07T00:00:00"/>
    <n v="9"/>
    <n v="0"/>
    <n v="0"/>
    <x v="1"/>
    <x v="4"/>
    <s v="Delhi"/>
    <s v="Enterprise"/>
    <x v="2"/>
    <x v="4"/>
    <x v="3"/>
    <x v="237"/>
    <n v="699.33"/>
    <n v="873.75"/>
    <n v="0.23499999999999999"/>
    <n v="0.23499999999999999"/>
    <n v="1"/>
    <n v="10"/>
    <n v="6684.1875"/>
    <n v="6993.3"/>
    <n v="-309.11250000000018"/>
    <n v="-4.6245336475076469E-2"/>
    <e v="#NUM!"/>
    <e v="#NUM!"/>
    <e v="#NUM!"/>
  </r>
  <r>
    <s v="ORD-2024-897622"/>
    <x v="214"/>
    <x v="0"/>
    <d v="2023-02-01T00:00:00"/>
    <m/>
    <s v="Q1-2024"/>
    <d v="2024-04-24T00:00:00"/>
    <d v="2024-04-24T00:00:00"/>
    <n v="25"/>
    <n v="0"/>
    <n v="0"/>
    <x v="2"/>
    <x v="10"/>
    <s v="Austin"/>
    <s v="Non-Profit"/>
    <x v="1"/>
    <x v="3"/>
    <x v="4"/>
    <x v="238"/>
    <n v="160.82"/>
    <n v="258.52"/>
    <n v="0.13"/>
    <n v="0.13"/>
    <n v="0"/>
    <n v="17"/>
    <n v="3823.5108"/>
    <n v="2733.94"/>
    <n v="1089.5708"/>
    <n v="0.28496605789631874"/>
    <e v="#NUM!"/>
    <e v="#NUM!"/>
    <e v="#NUM!"/>
  </r>
  <r>
    <s v="ORD-2023-517216"/>
    <x v="215"/>
    <x v="27"/>
    <d v="2023-05-01T00:00:00"/>
    <m/>
    <s v="Q3-2023"/>
    <d v="2023-10-08T00:00:00"/>
    <d v="2023-10-08T00:00:00"/>
    <n v="19"/>
    <n v="0"/>
    <n v="0"/>
    <x v="1"/>
    <x v="4"/>
    <s v="Bengaluru"/>
    <s v="Education"/>
    <x v="4"/>
    <x v="1"/>
    <x v="1"/>
    <x v="239"/>
    <n v="385.32"/>
    <n v="606.76"/>
    <n v="8.5999999999999993E-2"/>
    <n v="8.5999999999999993E-2"/>
    <n v="0"/>
    <n v="8"/>
    <n v="4436.6291200000005"/>
    <n v="3082.56"/>
    <n v="1354.0691200000006"/>
    <n v="0.30520223425842735"/>
    <e v="#NUM!"/>
    <e v="#NUM!"/>
    <e v="#NUM!"/>
  </r>
  <r>
    <s v="ORD-2025-509940"/>
    <x v="216"/>
    <x v="8"/>
    <d v="2023-01-01T00:00:00"/>
    <m/>
    <s v="Q2-2025"/>
    <d v="2025-05-27T00:00:00"/>
    <d v="2025-05-27T00:00:00"/>
    <n v="11"/>
    <n v="0"/>
    <n v="0"/>
    <x v="1"/>
    <x v="9"/>
    <s v="Beijing"/>
    <s v="Enterprise"/>
    <x v="1"/>
    <x v="9"/>
    <x v="3"/>
    <x v="240"/>
    <n v="918.12"/>
    <n v="1337.69"/>
    <n v="9.5000000000000001E-2"/>
    <n v="9.5000000000000001E-2"/>
    <n v="0"/>
    <n v="8"/>
    <n v="9684.8756000000012"/>
    <n v="7344.96"/>
    <n v="2339.9156000000012"/>
    <n v="0.24160512707050164"/>
    <e v="#NUM!"/>
    <e v="#NUM!"/>
    <e v="#NUM!"/>
  </r>
  <r>
    <s v="ORD-2025-646342"/>
    <x v="217"/>
    <x v="28"/>
    <d v="2023-03-01T00:00:00"/>
    <m/>
    <s v="Q3-2025"/>
    <d v="2025-08-08T00:00:00"/>
    <d v="2025-08-08T00:00:00"/>
    <n v="6"/>
    <n v="1"/>
    <n v="1"/>
    <x v="1"/>
    <x v="2"/>
    <s v="Osaka"/>
    <s v="Consumer"/>
    <x v="4"/>
    <x v="13"/>
    <x v="4"/>
    <x v="241"/>
    <n v="1225.94"/>
    <n v="1793.08"/>
    <n v="0.13600000000000001"/>
    <n v="0.13600000000000001"/>
    <n v="0"/>
    <n v="22"/>
    <n v="34082.864639999993"/>
    <n v="26970.68"/>
    <n v="7112.1846399999922"/>
    <n v="0.20867332353434462"/>
    <e v="#NUM!"/>
    <e v="#NUM!"/>
    <e v="#NUM!"/>
  </r>
  <r>
    <s v="ORD-2024-866535"/>
    <x v="218"/>
    <x v="6"/>
    <d v="2023-01-01T00:00:00"/>
    <m/>
    <s v="Q4-2024"/>
    <d v="2024-12-12T00:00:00"/>
    <d v="2024-12-12T00:00:00"/>
    <n v="8"/>
    <n v="0"/>
    <n v="0"/>
    <x v="3"/>
    <x v="6"/>
    <s v="Frankfurt"/>
    <s v="Enterprise"/>
    <x v="2"/>
    <x v="5"/>
    <x v="1"/>
    <x v="242"/>
    <n v="72.06"/>
    <n v="122.74"/>
    <n v="0.23799999999999999"/>
    <n v="0.23799999999999999"/>
    <n v="1"/>
    <n v="8"/>
    <n v="748.22303999999997"/>
    <n v="576.48"/>
    <n v="171.74303999999995"/>
    <n v="0.22953455162246802"/>
    <e v="#NUM!"/>
    <e v="#NUM!"/>
    <e v="#NUM!"/>
  </r>
  <r>
    <s v="ORD-2023-747341"/>
    <x v="43"/>
    <x v="12"/>
    <d v="2023-01-01T00:00:00"/>
    <m/>
    <s v="Q2-2023"/>
    <d v="2023-04-28T00:00:00"/>
    <d v="2023-04-28T00:00:00"/>
    <n v="9"/>
    <n v="0"/>
    <n v="0"/>
    <x v="2"/>
    <x v="5"/>
    <s v="Rio de Janeiro"/>
    <s v="Corporate"/>
    <x v="3"/>
    <x v="12"/>
    <x v="3"/>
    <x v="243"/>
    <n v="1013.54"/>
    <n v="927.93"/>
    <n v="0.17499999999999999"/>
    <n v="0.17499999999999999"/>
    <n v="0"/>
    <n v="16"/>
    <n v="12248.675999999999"/>
    <n v="16216.64"/>
    <n v="-3967.9639999999999"/>
    <n v="-0.32395044166406234"/>
    <e v="#NUM!"/>
    <e v="#NUM!"/>
    <e v="#NUM!"/>
  </r>
  <r>
    <s v="ORD-2024-853298"/>
    <x v="219"/>
    <x v="0"/>
    <d v="2023-02-01T00:00:00"/>
    <m/>
    <s v="Q1-2024"/>
    <d v="2024-03-26T00:00:00"/>
    <d v="2024-03-26T00:00:00"/>
    <n v="20"/>
    <n v="0"/>
    <n v="0"/>
    <x v="0"/>
    <x v="1"/>
    <s v="Port Harcourt"/>
    <s v="Consumer"/>
    <x v="2"/>
    <x v="2"/>
    <x v="3"/>
    <x v="244"/>
    <n v="65.64"/>
    <n v="151.88"/>
    <n v="0.16700000000000001"/>
    <n v="0.16700000000000001"/>
    <n v="0"/>
    <n v="23"/>
    <n v="2909.8689199999999"/>
    <n v="1509.72"/>
    <n v="1400.1489199999999"/>
    <n v="0.48117250587356353"/>
    <e v="#NUM!"/>
    <e v="#NUM!"/>
    <e v="#NUM!"/>
  </r>
  <r>
    <s v="ORD-2024-544865"/>
    <x v="220"/>
    <x v="31"/>
    <d v="2023-03-01T00:00:00"/>
    <m/>
    <s v="Q1-2024"/>
    <d v="2024-03-04T00:00:00"/>
    <d v="2024-03-04T00:00:00"/>
    <n v="17"/>
    <n v="0"/>
    <n v="0"/>
    <x v="2"/>
    <x v="3"/>
    <s v="Montreal"/>
    <s v="Non-Profit"/>
    <x v="0"/>
    <x v="14"/>
    <x v="4"/>
    <x v="245"/>
    <n v="1350.98"/>
    <n v="2210.4"/>
    <n v="0.26300000000000001"/>
    <n v="0.26300000000000001"/>
    <n v="1"/>
    <n v="6"/>
    <n v="9774.3888000000006"/>
    <n v="8105.88"/>
    <n v="1668.5088000000005"/>
    <n v="0.17070211080615091"/>
    <e v="#NUM!"/>
    <e v="#NUM!"/>
    <e v="#NUM!"/>
  </r>
  <r>
    <s v="ORD-2025-946490"/>
    <x v="221"/>
    <x v="19"/>
    <d v="2023-01-01T00:00:00"/>
    <m/>
    <s v="Q2-2025"/>
    <d v="2025-05-02T00:00:00"/>
    <d v="2025-05-02T00:00:00"/>
    <n v="10"/>
    <n v="0"/>
    <n v="0"/>
    <x v="3"/>
    <x v="6"/>
    <s v="Berlin"/>
    <s v="Corporate"/>
    <x v="2"/>
    <x v="0"/>
    <x v="5"/>
    <x v="246"/>
    <n v="20.149999999999999"/>
    <n v="39.74"/>
    <n v="0.151"/>
    <n v="0.151"/>
    <n v="0"/>
    <n v="18"/>
    <n v="607.30668000000003"/>
    <n v="362.7"/>
    <n v="244.60668000000004"/>
    <n v="0.4027729120318585"/>
    <e v="#NUM!"/>
    <e v="#NUM!"/>
    <e v="#NUM!"/>
  </r>
  <r>
    <s v="ORD-2024-320972"/>
    <x v="222"/>
    <x v="18"/>
    <d v="2023-02-01T00:00:00"/>
    <m/>
    <s v="Q4-2024"/>
    <d v="2024-11-08T00:00:00"/>
    <d v="2024-11-08T00:00:00"/>
    <n v="0"/>
    <n v="1"/>
    <n v="1"/>
    <x v="0"/>
    <x v="0"/>
    <s v="Nakuru"/>
    <s v="Enterprise"/>
    <x v="2"/>
    <x v="12"/>
    <x v="2"/>
    <x v="247"/>
    <n v="803.28"/>
    <n v="1009"/>
    <n v="0.11"/>
    <n v="0.11"/>
    <n v="0"/>
    <n v="4"/>
    <n v="3592.04"/>
    <n v="3213.12"/>
    <n v="378.92000000000007"/>
    <n v="0.10548880302001093"/>
    <e v="#NUM!"/>
    <e v="#NUM!"/>
    <e v="#NUM!"/>
  </r>
  <r>
    <s v="ORD-2025-248586"/>
    <x v="223"/>
    <x v="11"/>
    <d v="2023-03-01T00:00:00"/>
    <m/>
    <s v="Q3-2025"/>
    <d v="2025-09-30T00:00:00"/>
    <d v="2025-09-30T00:00:00"/>
    <n v="18"/>
    <n v="0"/>
    <n v="0"/>
    <x v="1"/>
    <x v="2"/>
    <s v="Nagoya"/>
    <s v="Non-Profit"/>
    <x v="2"/>
    <x v="9"/>
    <x v="5"/>
    <x v="248"/>
    <n v="1212.99"/>
    <n v="1653.64"/>
    <n v="0.107"/>
    <n v="0.107"/>
    <n v="0"/>
    <n v="8"/>
    <n v="11813.604160000001"/>
    <n v="9703.92"/>
    <n v="2109.6841600000007"/>
    <n v="0.17858090819931455"/>
    <e v="#NUM!"/>
    <e v="#NUM!"/>
    <e v="#NUM!"/>
  </r>
  <r>
    <s v="ORD-2024-664046"/>
    <x v="224"/>
    <x v="29"/>
    <d v="2023-02-01T00:00:00"/>
    <m/>
    <s v="Q3-2024"/>
    <d v="2024-09-08T00:00:00"/>
    <d v="2024-09-08T00:00:00"/>
    <n v="6"/>
    <n v="1"/>
    <n v="1"/>
    <x v="2"/>
    <x v="10"/>
    <s v="Austin"/>
    <s v="Consumer"/>
    <x v="4"/>
    <x v="10"/>
    <x v="0"/>
    <x v="249"/>
    <n v="462.94"/>
    <n v="1015.7"/>
    <n v="0.14299999999999999"/>
    <n v="0.14299999999999999"/>
    <n v="0"/>
    <n v="14"/>
    <n v="12186.368600000002"/>
    <n v="6481.16"/>
    <n v="5705.2086000000018"/>
    <n v="0.46816314090483041"/>
    <e v="#NUM!"/>
    <e v="#NUM!"/>
    <e v="#NUM!"/>
  </r>
  <r>
    <s v="ORD-2023-276806"/>
    <x v="225"/>
    <x v="22"/>
    <d v="2023-03-01T00:00:00"/>
    <m/>
    <s v="Q1-2023"/>
    <d v="2023-03-24T00:00:00"/>
    <d v="2023-03-24T00:00:00"/>
    <n v="20"/>
    <n v="0"/>
    <n v="0"/>
    <x v="2"/>
    <x v="3"/>
    <s v="Montreal"/>
    <s v="Consumer"/>
    <x v="3"/>
    <x v="2"/>
    <x v="4"/>
    <x v="250"/>
    <n v="481.71"/>
    <n v="912.45"/>
    <n v="0.20300000000000001"/>
    <n v="0.20300000000000001"/>
    <n v="1"/>
    <n v="24"/>
    <n v="17453.3436"/>
    <n v="11561.039999999999"/>
    <n v="5892.3036000000011"/>
    <n v="0.33760313983619739"/>
    <e v="#NUM!"/>
    <e v="#NUM!"/>
    <e v="#NUM!"/>
  </r>
  <r>
    <s v="ORD-2024-220234"/>
    <x v="226"/>
    <x v="0"/>
    <d v="2023-04-01T00:00:00"/>
    <m/>
    <s v="Q1-2024"/>
    <d v="2024-04-09T00:00:00"/>
    <d v="2024-04-09T00:00:00"/>
    <n v="25"/>
    <n v="0"/>
    <n v="0"/>
    <x v="2"/>
    <x v="3"/>
    <s v="Vancouver"/>
    <s v="Consumer"/>
    <x v="1"/>
    <x v="9"/>
    <x v="5"/>
    <x v="251"/>
    <n v="648.64"/>
    <n v="815.19"/>
    <n v="0.22500000000000001"/>
    <n v="0.22500000000000001"/>
    <n v="1"/>
    <n v="28"/>
    <n v="17689.623"/>
    <n v="18161.919999999998"/>
    <n v="-472.29699999999866"/>
    <n v="-2.6699099240272032E-2"/>
    <e v="#NUM!"/>
    <e v="#NUM!"/>
    <e v="#NUM!"/>
  </r>
  <r>
    <s v="ORD-2024-301260"/>
    <x v="227"/>
    <x v="14"/>
    <d v="2023-02-01T00:00:00"/>
    <m/>
    <s v="Q3-2024"/>
    <d v="2024-07-31T00:00:00"/>
    <d v="2024-07-31T00:00:00"/>
    <n v="2"/>
    <n v="1"/>
    <n v="1"/>
    <x v="2"/>
    <x v="10"/>
    <s v="New York"/>
    <s v="Education"/>
    <x v="2"/>
    <x v="2"/>
    <x v="1"/>
    <x v="252"/>
    <n v="798.97"/>
    <n v="1814.06"/>
    <n v="0.122"/>
    <n v="0.122"/>
    <n v="0"/>
    <n v="16"/>
    <n v="25483.91488"/>
    <n v="12783.52"/>
    <n v="12700.39488"/>
    <n v="0.49836906691159061"/>
    <e v="#NUM!"/>
    <e v="#NUM!"/>
    <e v="#NUM!"/>
  </r>
  <r>
    <s v="ORD-2024-350100"/>
    <x v="228"/>
    <x v="1"/>
    <d v="2023-03-01T00:00:00"/>
    <m/>
    <s v="Q4-2024"/>
    <d v="2024-11-20T00:00:00"/>
    <d v="2024-11-20T00:00:00"/>
    <n v="24"/>
    <n v="0"/>
    <n v="0"/>
    <x v="1"/>
    <x v="2"/>
    <s v="Nagoya"/>
    <s v="Non-Profit"/>
    <x v="1"/>
    <x v="10"/>
    <x v="5"/>
    <x v="253"/>
    <n v="317.25"/>
    <n v="758.92"/>
    <n v="5.2999999999999999E-2"/>
    <n v="5.2999999999999999E-2"/>
    <n v="0"/>
    <n v="9"/>
    <n v="6468.2751599999992"/>
    <n v="2855.25"/>
    <n v="3613.0251599999992"/>
    <n v="0.5585762928489888"/>
    <e v="#NUM!"/>
    <e v="#NUM!"/>
    <e v="#NUM!"/>
  </r>
  <r>
    <s v="ORD-2024-855600"/>
    <x v="229"/>
    <x v="20"/>
    <d v="2023-01-01T00:00:00"/>
    <m/>
    <s v="Q2-2024"/>
    <d v="2024-05-19T00:00:00"/>
    <d v="2024-05-19T00:00:00"/>
    <n v="20"/>
    <n v="0"/>
    <n v="0"/>
    <x v="3"/>
    <x v="6"/>
    <s v="Frankfurt"/>
    <s v="Enterprise"/>
    <x v="2"/>
    <x v="0"/>
    <x v="4"/>
    <x v="254"/>
    <n v="668.97"/>
    <n v="1667.44"/>
    <n v="3.4000000000000002E-2"/>
    <n v="3.4000000000000002E-2"/>
    <n v="0"/>
    <n v="15"/>
    <n v="24161.205600000001"/>
    <n v="10034.550000000001"/>
    <n v="14126.6556"/>
    <n v="0.58468339013679016"/>
    <e v="#NUM!"/>
    <e v="#NUM!"/>
    <e v="#NUM!"/>
  </r>
  <r>
    <s v="ORD-2023-474313"/>
    <x v="230"/>
    <x v="32"/>
    <d v="2023-05-01T00:00:00"/>
    <m/>
    <s v="Q4-2023"/>
    <d v="2023-10-06T00:00:00"/>
    <d v="2023-10-06T00:00:00"/>
    <n v="1"/>
    <n v="1"/>
    <n v="1"/>
    <x v="1"/>
    <x v="4"/>
    <s v="Bengaluru"/>
    <s v="Non-Profit"/>
    <x v="1"/>
    <x v="2"/>
    <x v="0"/>
    <x v="255"/>
    <n v="1470.26"/>
    <n v="2562.5500000000002"/>
    <n v="0.17299999999999999"/>
    <n v="0.17299999999999999"/>
    <n v="0"/>
    <n v="9"/>
    <n v="19073.059649999999"/>
    <n v="13232.34"/>
    <n v="5840.7196499999991"/>
    <n v="0.30622877279157462"/>
    <e v="#NUM!"/>
    <e v="#NUM!"/>
    <e v="#NUM!"/>
  </r>
  <r>
    <s v="ORD-2023-256951"/>
    <x v="43"/>
    <x v="12"/>
    <d v="2023-01-01T00:00:00"/>
    <m/>
    <s v="Q2-2023"/>
    <d v="2023-05-07T00:00:00"/>
    <d v="2023-05-07T00:00:00"/>
    <n v="18"/>
    <n v="0"/>
    <n v="0"/>
    <x v="3"/>
    <x v="8"/>
    <s v="London"/>
    <s v="Non-Profit"/>
    <x v="4"/>
    <x v="10"/>
    <x v="2"/>
    <x v="256"/>
    <n v="516.96"/>
    <n v="745.38"/>
    <n v="0.19700000000000001"/>
    <n v="0.19700000000000001"/>
    <n v="0"/>
    <n v="4"/>
    <n v="2394.1605599999998"/>
    <n v="2067.84"/>
    <n v="326.32055999999966"/>
    <n v="0.13629852794835101"/>
    <e v="#NUM!"/>
    <e v="#NUM!"/>
    <e v="#NUM!"/>
  </r>
  <r>
    <s v="ORD-2025-184754"/>
    <x v="231"/>
    <x v="16"/>
    <d v="2023-01-01T00:00:00"/>
    <m/>
    <s v="Q2-2025"/>
    <d v="2025-07-05T00:00:00"/>
    <d v="2025-07-05T00:00:00"/>
    <n v="8"/>
    <n v="0"/>
    <n v="0"/>
    <x v="3"/>
    <x v="6"/>
    <s v="Munich"/>
    <s v="Small Business"/>
    <x v="4"/>
    <x v="3"/>
    <x v="5"/>
    <x v="257"/>
    <n v="314.93"/>
    <n v="687.95"/>
    <n v="0.20499999999999999"/>
    <n v="0.20499999999999999"/>
    <n v="1"/>
    <n v="8"/>
    <n v="4375.3620000000001"/>
    <n v="2519.44"/>
    <n v="1855.922"/>
    <n v="0.424175645352316"/>
    <e v="#NUM!"/>
    <e v="#NUM!"/>
    <e v="#NUM!"/>
  </r>
  <r>
    <s v="ORD-2023-888140"/>
    <x v="232"/>
    <x v="32"/>
    <d v="2023-01-01T00:00:00"/>
    <m/>
    <s v="Q4-2023"/>
    <d v="2023-10-13T00:00:00"/>
    <d v="2023-10-13T00:00:00"/>
    <n v="2"/>
    <n v="1"/>
    <n v="1"/>
    <x v="2"/>
    <x v="5"/>
    <s v="Brasília"/>
    <s v="Consumer"/>
    <x v="3"/>
    <x v="15"/>
    <x v="6"/>
    <x v="258"/>
    <n v="715.94"/>
    <n v="550.07000000000005"/>
    <n v="0.14000000000000001"/>
    <n v="0.14000000000000001"/>
    <n v="0"/>
    <n v="16"/>
    <n v="7568.9632000000001"/>
    <n v="11455.04"/>
    <n v="-3886.0768000000007"/>
    <n v="-0.51342260456491595"/>
    <e v="#NUM!"/>
    <e v="#NUM!"/>
    <e v="#NUM!"/>
  </r>
  <r>
    <s v="ORD-2023-638181"/>
    <x v="72"/>
    <x v="15"/>
    <d v="2023-02-01T00:00:00"/>
    <m/>
    <s v="Q2-2023"/>
    <d v="2023-06-07T00:00:00"/>
    <d v="2023-06-07T00:00:00"/>
    <n v="18"/>
    <n v="0"/>
    <n v="0"/>
    <x v="0"/>
    <x v="1"/>
    <s v="Port Harcourt"/>
    <s v="Enterprise"/>
    <x v="3"/>
    <x v="6"/>
    <x v="0"/>
    <x v="259"/>
    <n v="1120.06"/>
    <n v="2068.21"/>
    <n v="7.8E-2"/>
    <n v="7.8E-2"/>
    <n v="0"/>
    <n v="12"/>
    <n v="22882.675440000003"/>
    <n v="13440.72"/>
    <n v="9441.9554400000034"/>
    <n v="0.41262462795303284"/>
    <e v="#NUM!"/>
    <e v="#NUM!"/>
    <e v="#NUM!"/>
  </r>
  <r>
    <s v="ORD-2023-521280"/>
    <x v="233"/>
    <x v="15"/>
    <d v="2023-01-01T00:00:00"/>
    <m/>
    <s v="Q2-2023"/>
    <d v="2023-06-19T00:00:00"/>
    <d v="2023-06-19T00:00:00"/>
    <n v="23"/>
    <n v="0"/>
    <n v="0"/>
    <x v="3"/>
    <x v="6"/>
    <s v="Berlin"/>
    <s v="Education"/>
    <x v="0"/>
    <x v="7"/>
    <x v="6"/>
    <x v="260"/>
    <n v="1471.58"/>
    <n v="2576.65"/>
    <n v="4.0000000000000001E-3"/>
    <n v="4.0000000000000001E-3"/>
    <n v="0"/>
    <n v="7"/>
    <n v="17964.4038"/>
    <n v="10301.06"/>
    <n v="7663.3438000000006"/>
    <n v="0.4265849223451546"/>
    <e v="#NUM!"/>
    <e v="#NUM!"/>
    <e v="#NUM!"/>
  </r>
  <r>
    <s v="ORD-2023-630430"/>
    <x v="234"/>
    <x v="25"/>
    <d v="2023-01-01T00:00:00"/>
    <m/>
    <s v="Q3-2023"/>
    <d v="2023-08-24T00:00:00"/>
    <d v="2023-08-24T00:00:00"/>
    <n v="20"/>
    <n v="0"/>
    <n v="0"/>
    <x v="2"/>
    <x v="5"/>
    <s v="Brasília"/>
    <s v="Non-Profit"/>
    <x v="4"/>
    <x v="15"/>
    <x v="2"/>
    <x v="261"/>
    <n v="582.88"/>
    <n v="1044.1400000000001"/>
    <n v="0.216"/>
    <n v="0.216"/>
    <n v="1"/>
    <n v="10"/>
    <n v="8186.057600000001"/>
    <n v="5828.8"/>
    <n v="2357.2576000000008"/>
    <n v="0.28796005539956138"/>
    <e v="#NUM!"/>
    <e v="#NUM!"/>
    <e v="#NUM!"/>
  </r>
  <r>
    <s v="ORD-2025-908258"/>
    <x v="235"/>
    <x v="16"/>
    <d v="2023-01-01T00:00:00"/>
    <m/>
    <s v="Q2-2025"/>
    <d v="2025-06-27T00:00:00"/>
    <d v="2025-06-27T00:00:00"/>
    <n v="6"/>
    <n v="1"/>
    <n v="1"/>
    <x v="0"/>
    <x v="11"/>
    <s v="Durban"/>
    <s v="Enterprise"/>
    <x v="3"/>
    <x v="13"/>
    <x v="3"/>
    <x v="262"/>
    <n v="93.91"/>
    <n v="99.04"/>
    <n v="5.7000000000000002E-2"/>
    <n v="5.7000000000000002E-2"/>
    <n v="0"/>
    <n v="6"/>
    <n v="560.36831999999993"/>
    <n v="563.46"/>
    <n v="-3.0916800000001103"/>
    <n v="-5.5172283829323376E-3"/>
    <e v="#NUM!"/>
    <e v="#NUM!"/>
    <e v="#NUM!"/>
  </r>
  <r>
    <s v="ORD-2025-440093"/>
    <x v="139"/>
    <x v="19"/>
    <d v="2023-02-01T00:00:00"/>
    <m/>
    <s v="Q2-2025"/>
    <d v="2025-04-26T00:00:00"/>
    <d v="2025-04-26T00:00:00"/>
    <n v="10"/>
    <n v="0"/>
    <n v="0"/>
    <x v="0"/>
    <x v="1"/>
    <s v="Port Harcourt"/>
    <s v="Enterprise"/>
    <x v="2"/>
    <x v="9"/>
    <x v="4"/>
    <x v="263"/>
    <n v="1457.44"/>
    <n v="1996.81"/>
    <n v="0.126"/>
    <n v="0.126"/>
    <n v="0"/>
    <n v="23"/>
    <n v="40139.874619999995"/>
    <n v="33521.120000000003"/>
    <n v="6618.7546199999924"/>
    <n v="0.16489225944672353"/>
    <e v="#NUM!"/>
    <e v="#NUM!"/>
    <e v="#NUM!"/>
  </r>
  <r>
    <s v="ORD-2025-898022"/>
    <x v="236"/>
    <x v="11"/>
    <d v="2023-04-01T00:00:00"/>
    <m/>
    <s v="Q3-2025"/>
    <d v="2025-09-11T00:00:00"/>
    <d v="2025-09-11T00:00:00"/>
    <n v="9"/>
    <n v="0"/>
    <n v="0"/>
    <x v="2"/>
    <x v="3"/>
    <s v="Toronto"/>
    <s v="Corporate"/>
    <x v="3"/>
    <x v="12"/>
    <x v="1"/>
    <x v="264"/>
    <n v="1207.6300000000001"/>
    <n v="921.68"/>
    <n v="0.19600000000000001"/>
    <n v="0.19600000000000001"/>
    <n v="0"/>
    <n v="17"/>
    <n v="12597.52224"/>
    <n v="20529.710000000003"/>
    <n v="-7932.1877600000025"/>
    <n v="-0.62966253274897988"/>
    <e v="#NUM!"/>
    <e v="#NUM!"/>
    <e v="#NUM!"/>
  </r>
  <r>
    <s v="ORD-2024-500511"/>
    <x v="237"/>
    <x v="1"/>
    <d v="2023-01-01T00:00:00"/>
    <m/>
    <s v="Q4-2024"/>
    <d v="2024-10-08T00:00:00"/>
    <d v="2024-10-08T00:00:00"/>
    <n v="0"/>
    <n v="1"/>
    <n v="1"/>
    <x v="3"/>
    <x v="8"/>
    <s v="London"/>
    <s v="Corporate"/>
    <x v="1"/>
    <x v="6"/>
    <x v="5"/>
    <x v="265"/>
    <n v="1108.1099999999999"/>
    <n v="2503.79"/>
    <n v="0.184"/>
    <n v="0.184"/>
    <n v="0"/>
    <n v="19"/>
    <n v="38818.760160000005"/>
    <n v="21054.089999999997"/>
    <n v="17764.670160000009"/>
    <n v="0.45763105485025896"/>
    <e v="#NUM!"/>
    <e v="#NUM!"/>
    <e v="#NUM!"/>
  </r>
  <r>
    <s v="ORD-2023-632893"/>
    <x v="238"/>
    <x v="15"/>
    <d v="2023-02-01T00:00:00"/>
    <m/>
    <s v="Q2-2023"/>
    <d v="2023-05-05T00:00:00"/>
    <d v="2023-05-10T00:00:00"/>
    <n v="3"/>
    <n v="1"/>
    <n v="1"/>
    <x v="0"/>
    <x v="1"/>
    <s v="Port Harcourt"/>
    <s v="Non-Profit"/>
    <x v="2"/>
    <x v="8"/>
    <x v="0"/>
    <x v="266"/>
    <n v="1269.6500000000001"/>
    <n v="2462.77"/>
    <n v="0.107"/>
    <n v="0.107"/>
    <n v="0"/>
    <n v="8"/>
    <n v="17594.028880000002"/>
    <n v="10157.200000000001"/>
    <n v="7436.8288800000009"/>
    <n v="0.42269050089225502"/>
    <e v="#NUM!"/>
    <e v="#NUM!"/>
    <e v="#NUM!"/>
  </r>
  <r>
    <s v="ORD-2023-967239"/>
    <x v="239"/>
    <x v="4"/>
    <d v="2023-01-01T00:00:00"/>
    <m/>
    <s v="Q4-2023"/>
    <d v="2024-01-01T00:00:00"/>
    <d v="2024-01-01T00:00:00"/>
    <n v="8"/>
    <n v="0"/>
    <n v="0"/>
    <x v="2"/>
    <x v="5"/>
    <s v="São Paulo"/>
    <s v="Education"/>
    <x v="4"/>
    <x v="0"/>
    <x v="3"/>
    <x v="267"/>
    <n v="526.49"/>
    <n v="496.2"/>
    <n v="0"/>
    <n v="0"/>
    <n v="0"/>
    <n v="14"/>
    <n v="6946.8"/>
    <n v="7370.8600000000006"/>
    <n v="-424.0600000000004"/>
    <n v="-6.1043933897621985E-2"/>
    <e v="#NUM!"/>
    <e v="#NUM!"/>
    <e v="#NUM!"/>
  </r>
  <r>
    <s v="ORD-2024-885858"/>
    <x v="240"/>
    <x v="9"/>
    <d v="2023-01-01T00:00:00"/>
    <m/>
    <s v="Q1-2024"/>
    <d v="2024-01-23T00:00:00"/>
    <d v="2024-01-23T00:00:00"/>
    <n v="13"/>
    <n v="0"/>
    <n v="0"/>
    <x v="3"/>
    <x v="7"/>
    <s v="Marseille"/>
    <s v="Corporate"/>
    <x v="4"/>
    <x v="8"/>
    <x v="1"/>
    <x v="268"/>
    <n v="720"/>
    <n v="907.59"/>
    <n v="0.154"/>
    <n v="0.154"/>
    <n v="0"/>
    <n v="10"/>
    <n v="7678.2113999999992"/>
    <n v="7200"/>
    <n v="478.21139999999923"/>
    <n v="6.2281614179052078E-2"/>
    <e v="#NUM!"/>
    <e v="#NUM!"/>
    <e v="#NUM!"/>
  </r>
  <r>
    <s v="ORD-2023-253245"/>
    <x v="241"/>
    <x v="25"/>
    <d v="2023-01-01T00:00:00"/>
    <m/>
    <s v="Q3-2023"/>
    <d v="2023-08-14T00:00:00"/>
    <d v="2023-08-14T00:00:00"/>
    <n v="11"/>
    <n v="0"/>
    <n v="0"/>
    <x v="2"/>
    <x v="5"/>
    <s v="Brasília"/>
    <s v="Corporate"/>
    <x v="4"/>
    <x v="1"/>
    <x v="6"/>
    <x v="269"/>
    <n v="232.73"/>
    <n v="334.19"/>
    <n v="0.13400000000000001"/>
    <n v="0.13400000000000001"/>
    <n v="0"/>
    <n v="25"/>
    <n v="7235.2134999999998"/>
    <n v="5818.25"/>
    <n v="1416.9634999999998"/>
    <n v="0.1958426658729559"/>
    <e v="#NUM!"/>
    <e v="#NUM!"/>
    <e v="#NUM!"/>
  </r>
  <r>
    <s v="ORD-2025-484073"/>
    <x v="242"/>
    <x v="26"/>
    <d v="2023-05-01T00:00:00"/>
    <m/>
    <s v="Q1-2025"/>
    <d v="2025-03-09T00:00:00"/>
    <d v="2025-03-09T00:00:00"/>
    <n v="18"/>
    <n v="0"/>
    <n v="0"/>
    <x v="1"/>
    <x v="4"/>
    <s v="Delhi"/>
    <s v="Small Business"/>
    <x v="4"/>
    <x v="7"/>
    <x v="5"/>
    <x v="270"/>
    <n v="325.87"/>
    <n v="538.79"/>
    <n v="0.17399999999999999"/>
    <n v="0.17399999999999999"/>
    <n v="0"/>
    <n v="16"/>
    <n v="7120.6486400000003"/>
    <n v="5213.92"/>
    <n v="1906.7286400000003"/>
    <n v="0.26777457172778013"/>
    <e v="#NUM!"/>
    <e v="#NUM!"/>
    <e v="#NUM!"/>
  </r>
  <r>
    <s v="ORD-2024-745822"/>
    <x v="243"/>
    <x v="0"/>
    <d v="2023-01-01T00:00:00"/>
    <m/>
    <s v="Q1-2024"/>
    <d v="2024-04-17T00:00:00"/>
    <d v="2024-04-17T00:00:00"/>
    <n v="17"/>
    <n v="0"/>
    <n v="0"/>
    <x v="3"/>
    <x v="6"/>
    <s v="Frankfurt"/>
    <s v="Education"/>
    <x v="4"/>
    <x v="10"/>
    <x v="5"/>
    <x v="271"/>
    <n v="1025.51"/>
    <n v="1436.54"/>
    <n v="0.13900000000000001"/>
    <n v="0.13900000000000001"/>
    <n v="0"/>
    <n v="28"/>
    <n v="34632.106319999999"/>
    <n v="28714.28"/>
    <n v="5917.8263200000001"/>
    <n v="0.17087688127656453"/>
    <e v="#NUM!"/>
    <e v="#NUM!"/>
    <e v="#NUM!"/>
  </r>
  <r>
    <s v="ORD-2023-369160"/>
    <x v="244"/>
    <x v="24"/>
    <d v="2023-04-01T00:00:00"/>
    <m/>
    <s v="Q3-2023"/>
    <d v="2023-08-13T00:00:00"/>
    <d v="2023-08-13T00:00:00"/>
    <n v="20"/>
    <n v="0"/>
    <n v="0"/>
    <x v="2"/>
    <x v="3"/>
    <s v="Montreal"/>
    <s v="Education"/>
    <x v="4"/>
    <x v="0"/>
    <x v="5"/>
    <x v="272"/>
    <n v="1082.3800000000001"/>
    <n v="1766.55"/>
    <n v="0.16400000000000001"/>
    <n v="0.16400000000000001"/>
    <n v="0"/>
    <n v="20"/>
    <n v="29536.716"/>
    <n v="21647.600000000002"/>
    <n v="7889.1159999999982"/>
    <n v="0.26709523157550752"/>
    <e v="#NUM!"/>
    <e v="#NUM!"/>
    <e v="#NUM!"/>
  </r>
  <r>
    <s v="ORD-2024-834983"/>
    <x v="245"/>
    <x v="0"/>
    <d v="2023-01-01T00:00:00"/>
    <m/>
    <s v="Q1-2024"/>
    <d v="2024-04-13T00:00:00"/>
    <d v="2024-04-13T00:00:00"/>
    <n v="28"/>
    <n v="0"/>
    <n v="0"/>
    <x v="3"/>
    <x v="7"/>
    <s v="Paris"/>
    <s v="Small Business"/>
    <x v="1"/>
    <x v="11"/>
    <x v="1"/>
    <x v="273"/>
    <n v="287.61"/>
    <n v="628.54"/>
    <n v="0.13500000000000001"/>
    <n v="0.13500000000000001"/>
    <n v="0"/>
    <n v="21"/>
    <n v="11417.429099999999"/>
    <n v="6039.81"/>
    <n v="5377.619099999999"/>
    <n v="0.47100087531964613"/>
    <e v="#NUM!"/>
    <e v="#NUM!"/>
    <e v="#NUM!"/>
  </r>
  <r>
    <s v="ORD-2024-499009"/>
    <x v="246"/>
    <x v="9"/>
    <d v="2023-01-01T00:00:00"/>
    <m/>
    <s v="Q1-2024"/>
    <d v="2024-01-27T00:00:00"/>
    <d v="2024-01-27T00:00:00"/>
    <n v="2"/>
    <n v="1"/>
    <n v="1"/>
    <x v="2"/>
    <x v="5"/>
    <s v="São Paulo"/>
    <s v="Non-Profit"/>
    <x v="2"/>
    <x v="13"/>
    <x v="4"/>
    <x v="274"/>
    <n v="1410.97"/>
    <n v="1650.75"/>
    <n v="0.13500000000000001"/>
    <n v="0.13500000000000001"/>
    <n v="0"/>
    <n v="6"/>
    <n v="8567.3924999999999"/>
    <n v="8465.82"/>
    <n v="101.57250000000022"/>
    <n v="1.1855707556295596E-2"/>
    <e v="#NUM!"/>
    <e v="#NUM!"/>
    <e v="#NUM!"/>
  </r>
  <r>
    <s v="ORD-2024-948800"/>
    <x v="247"/>
    <x v="0"/>
    <d v="2023-02-01T00:00:00"/>
    <m/>
    <s v="Q1-2024"/>
    <d v="2024-04-11T00:00:00"/>
    <d v="2024-04-11T00:00:00"/>
    <n v="15"/>
    <n v="0"/>
    <n v="0"/>
    <x v="2"/>
    <x v="10"/>
    <s v="San Francisco"/>
    <s v="Small Business"/>
    <x v="4"/>
    <x v="7"/>
    <x v="2"/>
    <x v="275"/>
    <n v="1338.35"/>
    <n v="2247.14"/>
    <n v="0.115"/>
    <n v="0.115"/>
    <n v="0"/>
    <n v="40"/>
    <n v="79548.755999999994"/>
    <n v="53534"/>
    <n v="26014.755999999994"/>
    <n v="0.32702907384246205"/>
    <e v="#NUM!"/>
    <e v="#NUM!"/>
    <e v="#NUM!"/>
  </r>
  <r>
    <s v="ORD-2025-678328"/>
    <x v="35"/>
    <x v="16"/>
    <d v="2023-01-01T00:00:00"/>
    <m/>
    <s v="Q2-2025"/>
    <d v="2025-07-14T00:00:00"/>
    <d v="2025-07-14T00:00:00"/>
    <n v="20"/>
    <n v="0"/>
    <n v="0"/>
    <x v="3"/>
    <x v="6"/>
    <s v="Berlin"/>
    <s v="Corporate"/>
    <x v="4"/>
    <x v="7"/>
    <x v="6"/>
    <x v="276"/>
    <n v="385.08"/>
    <n v="893.19"/>
    <n v="0.151"/>
    <n v="0.151"/>
    <n v="0"/>
    <n v="8"/>
    <n v="6066.54648"/>
    <n v="3080.64"/>
    <n v="2985.9064800000001"/>
    <n v="0.49219213762621666"/>
    <e v="#NUM!"/>
    <e v="#NUM!"/>
    <e v="#NUM!"/>
  </r>
  <r>
    <s v="ORD-2024-580808"/>
    <x v="248"/>
    <x v="17"/>
    <d v="2023-01-01T00:00:00"/>
    <m/>
    <s v="Q2-2024"/>
    <d v="2024-07-03T00:00:00"/>
    <d v="2024-07-03T00:00:00"/>
    <n v="17"/>
    <n v="0"/>
    <n v="0"/>
    <x v="0"/>
    <x v="11"/>
    <s v="Johannesburg"/>
    <s v="Enterprise"/>
    <x v="2"/>
    <x v="9"/>
    <x v="3"/>
    <x v="277"/>
    <n v="1173.83"/>
    <n v="2328.9"/>
    <n v="0.12"/>
    <n v="0.12"/>
    <n v="0"/>
    <n v="17"/>
    <n v="34840.344000000005"/>
    <n v="19955.11"/>
    <n v="14885.234000000004"/>
    <n v="0.42724130393201637"/>
    <e v="#NUM!"/>
    <e v="#NUM!"/>
    <e v="#NUM!"/>
  </r>
  <r>
    <s v="ORD-2023-211715"/>
    <x v="249"/>
    <x v="32"/>
    <d v="2023-05-01T00:00:00"/>
    <m/>
    <s v="Q4-2023"/>
    <d v="2023-11-14T00:00:00"/>
    <d v="2023-11-14T00:00:00"/>
    <n v="15"/>
    <n v="0"/>
    <n v="0"/>
    <x v="1"/>
    <x v="4"/>
    <s v="Bengaluru"/>
    <s v="Corporate"/>
    <x v="1"/>
    <x v="9"/>
    <x v="4"/>
    <x v="278"/>
    <n v="953.46"/>
    <n v="2066.75"/>
    <n v="0.13800000000000001"/>
    <n v="0.13800000000000001"/>
    <n v="0"/>
    <n v="5"/>
    <n v="8907.6924999999992"/>
    <n v="4767.3"/>
    <n v="4140.392499999999"/>
    <n v="0.46481089238318446"/>
    <e v="#NUM!"/>
    <e v="#NUM!"/>
    <e v="#NUM!"/>
  </r>
  <r>
    <s v="ORD-2023-715175"/>
    <x v="250"/>
    <x v="23"/>
    <d v="2023-02-01T00:00:00"/>
    <m/>
    <s v="Q2-2023"/>
    <d v="2023-06-23T00:00:00"/>
    <d v="2023-06-23T00:00:00"/>
    <n v="8"/>
    <n v="0"/>
    <n v="0"/>
    <x v="2"/>
    <x v="10"/>
    <s v="San Francisco"/>
    <s v="Consumer"/>
    <x v="3"/>
    <x v="7"/>
    <x v="5"/>
    <x v="279"/>
    <n v="1097.0899999999999"/>
    <n v="2182.31"/>
    <n v="0.112"/>
    <n v="0.112"/>
    <n v="0"/>
    <n v="9"/>
    <n v="17441.021520000002"/>
    <n v="9873.81"/>
    <n v="7567.2115200000026"/>
    <n v="0.43387432962699546"/>
    <e v="#NUM!"/>
    <e v="#NUM!"/>
    <e v="#NUM!"/>
  </r>
  <r>
    <s v="ORD-2025-685236"/>
    <x v="251"/>
    <x v="3"/>
    <d v="2023-03-01T00:00:00"/>
    <m/>
    <s v="Q1-2025"/>
    <d v="2025-03-29T00:00:00"/>
    <d v="2025-03-29T00:00:00"/>
    <n v="15"/>
    <n v="0"/>
    <n v="0"/>
    <x v="1"/>
    <x v="2"/>
    <s v="Tokyo"/>
    <s v="Non-Profit"/>
    <x v="4"/>
    <x v="10"/>
    <x v="2"/>
    <x v="280"/>
    <n v="1106.96"/>
    <n v="2726.62"/>
    <n v="0.3"/>
    <n v="0.317"/>
    <n v="1"/>
    <n v="7"/>
    <n v="13360.438"/>
    <n v="7748.72"/>
    <n v="5611.7179999999998"/>
    <n v="0.42002500217432992"/>
    <e v="#NUM!"/>
    <e v="#NUM!"/>
    <e v="#NUM!"/>
  </r>
  <r>
    <s v="ORD-2023-274037"/>
    <x v="182"/>
    <x v="25"/>
    <d v="2023-02-01T00:00:00"/>
    <m/>
    <s v="Q3-2023"/>
    <d v="2023-08-25T00:00:00"/>
    <d v="2023-08-25T00:00:00"/>
    <n v="10"/>
    <n v="0"/>
    <n v="0"/>
    <x v="0"/>
    <x v="0"/>
    <s v="Nairobi"/>
    <s v="Small Business"/>
    <x v="0"/>
    <x v="13"/>
    <x v="3"/>
    <x v="281"/>
    <n v="91.85"/>
    <n v="111.29"/>
    <n v="0"/>
    <n v="0"/>
    <n v="0"/>
    <n v="6"/>
    <n v="667.74"/>
    <n v="551.09999999999991"/>
    <n v="116.6400000000001"/>
    <n v="0.17467876718483258"/>
    <e v="#NUM!"/>
    <e v="#NUM!"/>
    <e v="#NUM!"/>
  </r>
  <r>
    <s v="ORD-2025-983096"/>
    <x v="252"/>
    <x v="8"/>
    <d v="2023-05-01T00:00:00"/>
    <m/>
    <s v="Q2-2025"/>
    <d v="2025-05-28T00:00:00"/>
    <d v="2025-05-28T00:00:00"/>
    <n v="11"/>
    <n v="0"/>
    <n v="0"/>
    <x v="1"/>
    <x v="4"/>
    <s v="Bengaluru"/>
    <s v="Corporate"/>
    <x v="3"/>
    <x v="5"/>
    <x v="4"/>
    <x v="282"/>
    <n v="623.4"/>
    <n v="1100.0899999999999"/>
    <n v="0.114"/>
    <n v="0.114"/>
    <n v="0"/>
    <n v="12"/>
    <n v="11696.156879999999"/>
    <n v="7480.7999999999993"/>
    <n v="4215.3568799999994"/>
    <n v="0.36040529579490388"/>
    <e v="#NUM!"/>
    <e v="#NUM!"/>
    <e v="#NUM!"/>
  </r>
  <r>
    <s v="ORD-2024-366010"/>
    <x v="94"/>
    <x v="9"/>
    <d v="2023-01-01T00:00:00"/>
    <m/>
    <s v="Q1-2024"/>
    <d v="2024-02-05T00:00:00"/>
    <d v="2024-02-05T00:00:00"/>
    <n v="23"/>
    <n v="0"/>
    <n v="0"/>
    <x v="3"/>
    <x v="6"/>
    <s v="Frankfurt"/>
    <s v="Education"/>
    <x v="4"/>
    <x v="5"/>
    <x v="4"/>
    <x v="283"/>
    <n v="1017.93"/>
    <n v="1529.14"/>
    <n v="0.155"/>
    <n v="0.155"/>
    <n v="0"/>
    <n v="12"/>
    <n v="15505.479600000001"/>
    <n v="12215.16"/>
    <n v="3290.3196000000007"/>
    <n v="0.21220366508366503"/>
    <e v="#NUM!"/>
    <e v="#NUM!"/>
    <e v="#NUM!"/>
  </r>
  <r>
    <s v="ORD-2023-610470"/>
    <x v="87"/>
    <x v="23"/>
    <d v="2023-03-01T00:00:00"/>
    <m/>
    <s v="Q2-2023"/>
    <d v="2023-07-21T00:00:00"/>
    <d v="2023-07-21T00:00:00"/>
    <n v="27"/>
    <n v="0"/>
    <n v="0"/>
    <x v="1"/>
    <x v="2"/>
    <s v="Nagoya"/>
    <s v="Consumer"/>
    <x v="2"/>
    <x v="1"/>
    <x v="3"/>
    <x v="284"/>
    <n v="554.76"/>
    <n v="728.69"/>
    <n v="0.22"/>
    <n v="0.22"/>
    <n v="1"/>
    <n v="7"/>
    <n v="3978.6474000000003"/>
    <n v="3883.3199999999997"/>
    <n v="95.32740000000058"/>
    <n v="2.395975074343119E-2"/>
    <e v="#NUM!"/>
    <e v="#NUM!"/>
    <e v="#NUM!"/>
  </r>
  <r>
    <s v="ORD-2025-541048"/>
    <x v="253"/>
    <x v="19"/>
    <d v="2023-01-01T00:00:00"/>
    <m/>
    <s v="Q2-2025"/>
    <d v="2025-04-13T00:00:00"/>
    <d v="2025-04-13T00:00:00"/>
    <n v="9"/>
    <n v="0"/>
    <n v="0"/>
    <x v="3"/>
    <x v="6"/>
    <s v="Munich"/>
    <s v="Consumer"/>
    <x v="2"/>
    <x v="9"/>
    <x v="3"/>
    <x v="285"/>
    <n v="7.02"/>
    <n v="6.28"/>
    <n v="0.13400000000000001"/>
    <n v="0.13400000000000001"/>
    <n v="0"/>
    <n v="14"/>
    <n v="76.138720000000006"/>
    <n v="98.28"/>
    <n v="-22.141279999999995"/>
    <n v="-0.29080184169106066"/>
    <e v="#NUM!"/>
    <e v="#NUM!"/>
    <e v="#NUM!"/>
  </r>
  <r>
    <s v="ORD-2024-862371"/>
    <x v="254"/>
    <x v="29"/>
    <d v="2023-05-01T00:00:00"/>
    <m/>
    <s v="Q3-2024"/>
    <d v="2024-09-07T00:00:00"/>
    <d v="2024-09-07T00:00:00"/>
    <n v="0"/>
    <n v="1"/>
    <n v="1"/>
    <x v="1"/>
    <x v="4"/>
    <s v="Mumbai"/>
    <s v="Education"/>
    <x v="3"/>
    <x v="5"/>
    <x v="2"/>
    <x v="286"/>
    <n v="1066.6500000000001"/>
    <n v="2569.77"/>
    <n v="0.13400000000000001"/>
    <n v="0.13400000000000001"/>
    <n v="0"/>
    <n v="9"/>
    <n v="20028.787380000002"/>
    <n v="9599.85"/>
    <n v="10428.937380000001"/>
    <n v="0.52069739331368348"/>
    <e v="#NUM!"/>
    <e v="#NUM!"/>
    <e v="#NUM!"/>
  </r>
  <r>
    <s v="ORD-2024-277241"/>
    <x v="10"/>
    <x v="9"/>
    <d v="2023-01-01T00:00:00"/>
    <m/>
    <s v="Q1-2024"/>
    <d v="2024-01-30T00:00:00"/>
    <d v="2024-01-30T00:00:00"/>
    <n v="2"/>
    <n v="1"/>
    <n v="1"/>
    <x v="0"/>
    <x v="11"/>
    <s v="Cape Town"/>
    <s v="Consumer"/>
    <x v="4"/>
    <x v="9"/>
    <x v="6"/>
    <x v="287"/>
    <n v="798.45"/>
    <n v="1592.02"/>
    <n v="6.6000000000000003E-2"/>
    <n v="6.6000000000000003E-2"/>
    <n v="0"/>
    <n v="18"/>
    <n v="26765.040239999998"/>
    <n v="14372.1"/>
    <n v="12392.940239999998"/>
    <n v="0.46302714768494585"/>
    <e v="#NUM!"/>
    <e v="#NUM!"/>
    <e v="#NUM!"/>
  </r>
  <r>
    <s v="ORD-2023-369150"/>
    <x v="255"/>
    <x v="24"/>
    <d v="2023-01-01T00:00:00"/>
    <m/>
    <s v="Q3-2023"/>
    <d v="2023-08-10T00:00:00"/>
    <d v="2023-08-10T00:00:00"/>
    <n v="23"/>
    <n v="0"/>
    <n v="0"/>
    <x v="0"/>
    <x v="11"/>
    <s v="Johannesburg"/>
    <s v="Small Business"/>
    <x v="0"/>
    <x v="4"/>
    <x v="0"/>
    <x v="288"/>
    <n v="1271.56"/>
    <n v="995.47"/>
    <n v="0.192"/>
    <n v="0.192"/>
    <n v="0"/>
    <n v="13"/>
    <n v="10456.416880000001"/>
    <n v="16530.28"/>
    <n v="-6073.8631199999982"/>
    <n v="-0.58087423155607754"/>
    <e v="#NUM!"/>
    <e v="#NUM!"/>
    <e v="#NUM!"/>
  </r>
  <r>
    <s v="ORD-2025-922513"/>
    <x v="256"/>
    <x v="28"/>
    <d v="2023-02-01T00:00:00"/>
    <m/>
    <s v="Q3-2025"/>
    <d v="2025-08-26T00:00:00"/>
    <d v="2025-08-31T00:00:00"/>
    <n v="3"/>
    <n v="1"/>
    <n v="1"/>
    <x v="0"/>
    <x v="1"/>
    <s v="Port Harcourt"/>
    <s v="Small Business"/>
    <x v="0"/>
    <x v="8"/>
    <x v="6"/>
    <x v="289"/>
    <n v="521.05999999999995"/>
    <n v="1240.31"/>
    <n v="0.14599999999999999"/>
    <n v="0.14599999999999999"/>
    <n v="0"/>
    <n v="18"/>
    <n v="19066.045319999997"/>
    <n v="9379.0799999999981"/>
    <n v="9686.9653199999993"/>
    <n v="0.50807417885650974"/>
    <e v="#NUM!"/>
    <e v="#NUM!"/>
    <e v="#NUM!"/>
  </r>
  <r>
    <s v="ORD-2025-752845"/>
    <x v="257"/>
    <x v="3"/>
    <d v="2023-01-01T00:00:00"/>
    <m/>
    <s v="Q1-2025"/>
    <d v="2025-04-07T00:00:00"/>
    <d v="2025-04-07T00:00:00"/>
    <n v="8"/>
    <n v="0"/>
    <n v="0"/>
    <x v="2"/>
    <x v="5"/>
    <s v="São Paulo"/>
    <s v="Non-Profit"/>
    <x v="4"/>
    <x v="4"/>
    <x v="1"/>
    <x v="290"/>
    <n v="71.62"/>
    <n v="118.37"/>
    <n v="0.156"/>
    <n v="0.156"/>
    <n v="0"/>
    <n v="11"/>
    <n v="1098.9470800000001"/>
    <n v="787.82"/>
    <n v="311.12708000000009"/>
    <n v="0.28311379652603474"/>
    <e v="#NUM!"/>
    <e v="#NUM!"/>
    <e v="#NUM!"/>
  </r>
  <r>
    <s v="ORD-2023-667815"/>
    <x v="258"/>
    <x v="32"/>
    <d v="2023-01-01T00:00:00"/>
    <m/>
    <s v="Q4-2023"/>
    <d v="2023-11-09T00:00:00"/>
    <d v="2023-11-09T00:00:00"/>
    <n v="19"/>
    <n v="0"/>
    <n v="0"/>
    <x v="3"/>
    <x v="8"/>
    <s v="London"/>
    <s v="Non-Profit"/>
    <x v="4"/>
    <x v="8"/>
    <x v="6"/>
    <x v="291"/>
    <n v="1142.48"/>
    <n v="2105.5300000000002"/>
    <n v="0.20699999999999999"/>
    <n v="0.20699999999999999"/>
    <n v="1"/>
    <n v="14"/>
    <n v="23375.594060000003"/>
    <n v="15994.720000000001"/>
    <n v="7380.8740600000019"/>
    <n v="0.31575129346680658"/>
    <e v="#NUM!"/>
    <e v="#NUM!"/>
    <e v="#NUM!"/>
  </r>
  <r>
    <s v="ORD-2023-375011"/>
    <x v="259"/>
    <x v="25"/>
    <d v="2023-01-01T00:00:00"/>
    <m/>
    <s v="Q3-2023"/>
    <d v="2023-09-22T00:00:00"/>
    <d v="2023-09-22T00:00:00"/>
    <n v="30"/>
    <n v="0"/>
    <n v="0"/>
    <x v="3"/>
    <x v="8"/>
    <s v="London"/>
    <s v="Consumer"/>
    <x v="3"/>
    <x v="7"/>
    <x v="6"/>
    <x v="292"/>
    <n v="209.81"/>
    <n v="523"/>
    <n v="5.8999999999999997E-2"/>
    <n v="5.8999999999999997E-2"/>
    <n v="0"/>
    <n v="15"/>
    <n v="7382.1450000000004"/>
    <n v="3147.15"/>
    <n v="4234.9950000000008"/>
    <n v="0.57368082041195356"/>
    <e v="#NUM!"/>
    <e v="#NUM!"/>
    <e v="#NUM!"/>
  </r>
  <r>
    <s v="ORD-2025-487025"/>
    <x v="260"/>
    <x v="19"/>
    <d v="2023-03-01T00:00:00"/>
    <m/>
    <s v="Q2-2025"/>
    <d v="2025-05-04T00:00:00"/>
    <d v="2025-05-04T00:00:00"/>
    <n v="23"/>
    <n v="0"/>
    <n v="0"/>
    <x v="1"/>
    <x v="2"/>
    <s v="Osaka"/>
    <s v="Small Business"/>
    <x v="1"/>
    <x v="12"/>
    <x v="0"/>
    <x v="293"/>
    <n v="786.2"/>
    <n v="1075.3"/>
    <n v="0.08"/>
    <n v="0.08"/>
    <n v="0"/>
    <n v="9"/>
    <n v="8903.4839999999986"/>
    <n v="7075.8"/>
    <n v="1827.6839999999984"/>
    <n v="0.20527739478163815"/>
    <e v="#NUM!"/>
    <e v="#NUM!"/>
    <e v="#NUM!"/>
  </r>
  <r>
    <s v="ORD-2025-398335"/>
    <x v="261"/>
    <x v="16"/>
    <d v="2023-01-01T00:00:00"/>
    <m/>
    <s v="Q2-2025"/>
    <d v="2025-06-27T00:00:00"/>
    <d v="2025-06-27T00:00:00"/>
    <n v="26"/>
    <n v="0"/>
    <n v="0"/>
    <x v="3"/>
    <x v="6"/>
    <s v="Munich"/>
    <s v="Consumer"/>
    <x v="3"/>
    <x v="6"/>
    <x v="4"/>
    <x v="294"/>
    <n v="1362.31"/>
    <n v="3294.57"/>
    <n v="0.113"/>
    <n v="0.113"/>
    <n v="0"/>
    <n v="7"/>
    <n v="20455.985130000001"/>
    <n v="9536.17"/>
    <n v="10919.815130000001"/>
    <n v="0.5338200561157721"/>
    <e v="#NUM!"/>
    <e v="#NUM!"/>
    <e v="#NUM!"/>
  </r>
  <r>
    <s v="ORD-2024-792137"/>
    <x v="262"/>
    <x v="0"/>
    <d v="2023-04-01T00:00:00"/>
    <m/>
    <s v="Q1-2024"/>
    <d v="2024-03-16T00:00:00"/>
    <d v="2024-03-16T00:00:00"/>
    <n v="14"/>
    <n v="0"/>
    <n v="0"/>
    <x v="2"/>
    <x v="3"/>
    <s v="Vancouver"/>
    <s v="Non-Profit"/>
    <x v="4"/>
    <x v="7"/>
    <x v="1"/>
    <x v="295"/>
    <n v="248.24"/>
    <n v="464.05"/>
    <n v="0.16900000000000001"/>
    <n v="0.16900000000000001"/>
    <n v="0"/>
    <n v="11"/>
    <n v="4241.88105"/>
    <n v="2730.6400000000003"/>
    <n v="1511.2410499999996"/>
    <n v="0.3562667203975462"/>
    <e v="#NUM!"/>
    <e v="#NUM!"/>
    <e v="#NUM!"/>
  </r>
  <r>
    <s v="ORD-2023-602648"/>
    <x v="263"/>
    <x v="23"/>
    <d v="2023-02-01T00:00:00"/>
    <m/>
    <s v="Q2-2023"/>
    <d v="2023-07-08T00:00:00"/>
    <d v="2023-07-08T00:00:00"/>
    <n v="18"/>
    <n v="0"/>
    <n v="0"/>
    <x v="2"/>
    <x v="10"/>
    <s v="Austin"/>
    <s v="Non-Profit"/>
    <x v="4"/>
    <x v="9"/>
    <x v="5"/>
    <x v="296"/>
    <n v="337"/>
    <n v="511.03"/>
    <n v="0.108"/>
    <n v="0.108"/>
    <n v="0"/>
    <n v="7"/>
    <n v="3190.8713200000002"/>
    <n v="2359"/>
    <n v="831.8713200000002"/>
    <n v="0.26070349963219458"/>
    <e v="#NUM!"/>
    <e v="#NUM!"/>
    <e v="#NUM!"/>
  </r>
  <r>
    <s v="ORD-2024-207096"/>
    <x v="264"/>
    <x v="0"/>
    <d v="2023-02-01T00:00:00"/>
    <m/>
    <s v="Q1-2024"/>
    <d v="2024-04-05T00:00:00"/>
    <d v="2024-04-05T00:00:00"/>
    <n v="10"/>
    <n v="0"/>
    <n v="0"/>
    <x v="2"/>
    <x v="10"/>
    <s v="Austin"/>
    <s v="Consumer"/>
    <x v="4"/>
    <x v="1"/>
    <x v="5"/>
    <x v="297"/>
    <n v="5.66"/>
    <n v="4.22"/>
    <n v="0.11899999999999999"/>
    <n v="0.11899999999999999"/>
    <n v="0"/>
    <n v="18"/>
    <n v="66.920760000000001"/>
    <n v="101.88"/>
    <n v="-34.959239999999994"/>
    <n v="-0.52239753403876454"/>
    <e v="#NUM!"/>
    <e v="#NUM!"/>
    <e v="#NUM!"/>
  </r>
  <r>
    <s v="ORD-2025-939953"/>
    <x v="265"/>
    <x v="10"/>
    <d v="2023-01-01T00:00:00"/>
    <m/>
    <s v="Q1-2025"/>
    <d v="2025-01-22T00:00:00"/>
    <d v="2025-01-22T00:00:00"/>
    <n v="0"/>
    <n v="1"/>
    <n v="1"/>
    <x v="3"/>
    <x v="7"/>
    <s v="Lyon"/>
    <s v="Small Business"/>
    <x v="1"/>
    <x v="5"/>
    <x v="6"/>
    <x v="298"/>
    <n v="591.72"/>
    <n v="577.24"/>
    <n v="0"/>
    <n v="0"/>
    <n v="0"/>
    <n v="22"/>
    <n v="12699.28"/>
    <n v="13017.84"/>
    <n v="-318.55999999999949"/>
    <n v="-2.5084886702238195E-2"/>
    <e v="#NUM!"/>
    <e v="#NUM!"/>
    <e v="#NUM!"/>
  </r>
  <r>
    <s v="ORD-2025-191328"/>
    <x v="266"/>
    <x v="8"/>
    <d v="2023-04-01T00:00:00"/>
    <m/>
    <s v="Q2-2025"/>
    <d v="2025-05-27T00:00:00"/>
    <d v="2025-05-27T00:00:00"/>
    <n v="17"/>
    <n v="0"/>
    <n v="0"/>
    <x v="2"/>
    <x v="3"/>
    <s v="Vancouver"/>
    <s v="Education"/>
    <x v="4"/>
    <x v="0"/>
    <x v="0"/>
    <x v="299"/>
    <n v="862.89"/>
    <n v="1426.03"/>
    <n v="5.6000000000000001E-2"/>
    <n v="5.6000000000000001E-2"/>
    <n v="0"/>
    <n v="19"/>
    <n v="25577.274079999999"/>
    <n v="16394.91"/>
    <n v="9182.3640799999994"/>
    <n v="0.35900479665188778"/>
    <e v="#NUM!"/>
    <e v="#NUM!"/>
    <e v="#NUM!"/>
  </r>
  <r>
    <s v="ORD-2023-166668"/>
    <x v="230"/>
    <x v="32"/>
    <d v="2023-01-01T00:00:00"/>
    <m/>
    <s v="Q4-2023"/>
    <d v="2023-10-31T00:00:00"/>
    <d v="2023-10-31T00:00:00"/>
    <n v="26"/>
    <n v="0"/>
    <n v="0"/>
    <x v="1"/>
    <x v="9"/>
    <s v="Shanghai"/>
    <s v="Consumer"/>
    <x v="5"/>
    <x v="1"/>
    <x v="1"/>
    <x v="300"/>
    <n v="649.91"/>
    <n v="1360.12"/>
    <n v="0.19400000000000001"/>
    <n v="0.19400000000000001"/>
    <n v="0"/>
    <n v="9"/>
    <n v="9866.3104799999983"/>
    <n v="5849.19"/>
    <n v="4017.1204799999987"/>
    <n v="0.40715528749506769"/>
    <e v="#NUM!"/>
    <e v="#NUM!"/>
    <e v="#NUM!"/>
  </r>
  <r>
    <s v="ORD-2023-594700"/>
    <x v="255"/>
    <x v="24"/>
    <d v="2023-01-01T00:00:00"/>
    <m/>
    <s v="Q3-2023"/>
    <d v="2023-07-22T00:00:00"/>
    <d v="2023-07-22T00:00:00"/>
    <n v="4"/>
    <n v="1"/>
    <n v="1"/>
    <x v="2"/>
    <x v="5"/>
    <s v="São Paulo"/>
    <s v="Consumer"/>
    <x v="4"/>
    <x v="9"/>
    <x v="2"/>
    <x v="301"/>
    <n v="1269.55"/>
    <n v="2071.1"/>
    <n v="0.129"/>
    <n v="0.129"/>
    <n v="0"/>
    <n v="22"/>
    <n v="39686.4182"/>
    <n v="27930.1"/>
    <n v="11756.318200000002"/>
    <n v="0.29623026549672354"/>
    <e v="#NUM!"/>
    <e v="#NUM!"/>
    <e v="#NUM!"/>
  </r>
  <r>
    <s v="ORD-2025-278048"/>
    <x v="267"/>
    <x v="16"/>
    <d v="2023-01-01T00:00:00"/>
    <m/>
    <s v="Q2-2025"/>
    <d v="2025-07-08T00:00:00"/>
    <d v="2025-07-08T00:00:00"/>
    <n v="16"/>
    <n v="0"/>
    <n v="0"/>
    <x v="3"/>
    <x v="8"/>
    <s v="London"/>
    <s v="Education"/>
    <x v="4"/>
    <x v="8"/>
    <x v="3"/>
    <x v="302"/>
    <n v="892.73"/>
    <n v="979.84"/>
    <n v="0.17399999999999999"/>
    <n v="0.17399999999999999"/>
    <n v="0"/>
    <n v="10"/>
    <n v="8093.4784"/>
    <n v="8927.2999999999993"/>
    <n v="-833.82159999999931"/>
    <n v="-0.10302388649112838"/>
    <e v="#NUM!"/>
    <e v="#NUM!"/>
    <e v="#NUM!"/>
  </r>
  <r>
    <s v="ORD-2024-878493"/>
    <x v="268"/>
    <x v="17"/>
    <d v="2023-02-01T00:00:00"/>
    <m/>
    <s v="Q2-2024"/>
    <d v="2024-06-20T00:00:00"/>
    <d v="2024-06-20T00:00:00"/>
    <n v="1"/>
    <n v="1"/>
    <n v="1"/>
    <x v="0"/>
    <x v="0"/>
    <s v="Kisumu"/>
    <s v="Small Business"/>
    <x v="4"/>
    <x v="1"/>
    <x v="4"/>
    <x v="303"/>
    <n v="231.63"/>
    <n v="537.39"/>
    <n v="0.08"/>
    <n v="0.08"/>
    <n v="0"/>
    <n v="12"/>
    <n v="5932.7856000000002"/>
    <n v="2779.56"/>
    <n v="3153.2256000000002"/>
    <n v="0.53149158129024587"/>
    <e v="#NUM!"/>
    <e v="#NUM!"/>
    <e v="#NUM!"/>
  </r>
  <r>
    <s v="ORD-2025-138578"/>
    <x v="69"/>
    <x v="19"/>
    <d v="2023-01-01T00:00:00"/>
    <m/>
    <s v="Q2-2025"/>
    <d v="2025-04-12T00:00:00"/>
    <d v="2025-04-12T00:00:00"/>
    <n v="3"/>
    <n v="1"/>
    <n v="1"/>
    <x v="3"/>
    <x v="7"/>
    <s v="Lyon"/>
    <s v="Small Business"/>
    <x v="3"/>
    <x v="10"/>
    <x v="5"/>
    <x v="304"/>
    <n v="86.68"/>
    <n v="213.32"/>
    <n v="3.7999999999999999E-2"/>
    <n v="3.7999999999999999E-2"/>
    <n v="0"/>
    <n v="8"/>
    <n v="1641.7107199999998"/>
    <n v="693.44"/>
    <n v="948.27071999999976"/>
    <n v="0.57761133459614611"/>
    <e v="#NUM!"/>
    <e v="#NUM!"/>
    <e v="#NUM!"/>
  </r>
  <r>
    <s v="ORD-2025-944081"/>
    <x v="80"/>
    <x v="3"/>
    <d v="2023-02-01T00:00:00"/>
    <m/>
    <s v="Q1-2025"/>
    <d v="2025-03-26T00:00:00"/>
    <d v="2025-03-26T00:00:00"/>
    <n v="1"/>
    <n v="1"/>
    <n v="1"/>
    <x v="0"/>
    <x v="1"/>
    <s v="Lagos"/>
    <s v="Education"/>
    <x v="3"/>
    <x v="3"/>
    <x v="6"/>
    <x v="305"/>
    <n v="1450.43"/>
    <n v="1994.67"/>
    <n v="0.1"/>
    <n v="0.1"/>
    <n v="0"/>
    <n v="24"/>
    <n v="43084.872000000003"/>
    <n v="34810.32"/>
    <n v="8274.5520000000033"/>
    <n v="0.19205237513529116"/>
    <e v="#NUM!"/>
    <e v="#NUM!"/>
    <e v="#NUM!"/>
  </r>
  <r>
    <s v="ORD-2025-364852"/>
    <x v="269"/>
    <x v="8"/>
    <d v="2023-02-01T00:00:00"/>
    <m/>
    <s v="Q2-2025"/>
    <d v="2025-06-09T00:00:00"/>
    <d v="2025-06-09T00:00:00"/>
    <n v="22"/>
    <n v="0"/>
    <n v="0"/>
    <x v="2"/>
    <x v="10"/>
    <s v="New York"/>
    <s v="Consumer"/>
    <x v="0"/>
    <x v="10"/>
    <x v="2"/>
    <x v="306"/>
    <n v="382.96"/>
    <n v="552.84"/>
    <n v="0.17599999999999999"/>
    <n v="0.17599999999999999"/>
    <n v="0"/>
    <n v="8"/>
    <n v="3644.3212800000006"/>
    <n v="3063.68"/>
    <n v="580.64128000000073"/>
    <n v="0.15932768693763483"/>
    <e v="#NUM!"/>
    <e v="#NUM!"/>
    <e v="#NUM!"/>
  </r>
  <r>
    <s v="ORD-2025-415018"/>
    <x v="265"/>
    <x v="10"/>
    <d v="2023-03-01T00:00:00"/>
    <m/>
    <s v="Q1-2025"/>
    <d v="2025-02-04T00:00:00"/>
    <d v="2025-02-04T00:00:00"/>
    <n v="13"/>
    <n v="0"/>
    <n v="0"/>
    <x v="1"/>
    <x v="2"/>
    <s v="Tokyo"/>
    <s v="Small Business"/>
    <x v="3"/>
    <x v="4"/>
    <x v="1"/>
    <x v="307"/>
    <n v="122.29"/>
    <n v="224.95"/>
    <n v="0.153"/>
    <n v="0.153"/>
    <n v="0"/>
    <n v="28"/>
    <n v="5334.9141999999993"/>
    <n v="3424.1200000000003"/>
    <n v="1910.7941999999989"/>
    <n v="0.3581677471026618"/>
    <e v="#NUM!"/>
    <e v="#NUM!"/>
    <e v="#NUM!"/>
  </r>
  <r>
    <s v="ORD-2023-884192"/>
    <x v="270"/>
    <x v="5"/>
    <d v="2023-01-01T00:00:00"/>
    <m/>
    <s v="Q1-2023"/>
    <d v="2023-01-29T00:00:00"/>
    <d v="2023-01-29T00:00:00"/>
    <n v="19"/>
    <n v="0"/>
    <n v="0"/>
    <x v="3"/>
    <x v="7"/>
    <s v="Lyon"/>
    <s v="Non-Profit"/>
    <x v="4"/>
    <x v="14"/>
    <x v="4"/>
    <x v="308"/>
    <n v="401.66"/>
    <n v="772.09"/>
    <n v="8.8999999999999996E-2"/>
    <n v="8.8999999999999996E-2"/>
    <n v="0"/>
    <n v="14"/>
    <n v="9847.2358600000007"/>
    <n v="5623.2400000000007"/>
    <n v="4223.99586"/>
    <n v="0.42895244107619046"/>
    <e v="#NUM!"/>
    <e v="#NUM!"/>
    <e v="#NUM!"/>
  </r>
  <r>
    <s v="ORD-2024-165942"/>
    <x v="271"/>
    <x v="6"/>
    <d v="2023-01-01T00:00:00"/>
    <m/>
    <s v="Q4-2024"/>
    <d v="2025-01-12T00:00:00"/>
    <d v="2025-01-12T00:00:00"/>
    <n v="14"/>
    <n v="0"/>
    <n v="0"/>
    <x v="3"/>
    <x v="8"/>
    <s v="Manchester"/>
    <s v="Corporate"/>
    <x v="4"/>
    <x v="5"/>
    <x v="5"/>
    <x v="309"/>
    <n v="1399.72"/>
    <n v="3149.21"/>
    <n v="0.185"/>
    <n v="0.185"/>
    <n v="0"/>
    <n v="12"/>
    <n v="30799.273800000003"/>
    <n v="16796.64"/>
    <n v="14002.633800000003"/>
    <n v="0.45464168703873797"/>
    <e v="#NUM!"/>
    <e v="#NUM!"/>
    <e v="#NUM!"/>
  </r>
  <r>
    <s v="ORD-2024-403664"/>
    <x v="154"/>
    <x v="7"/>
    <d v="2023-01-01T00:00:00"/>
    <m/>
    <s v="Q2-2024"/>
    <d v="2024-06-06T00:00:00"/>
    <d v="2024-06-06T00:00:00"/>
    <n v="14"/>
    <n v="0"/>
    <n v="0"/>
    <x v="2"/>
    <x v="5"/>
    <s v="Rio de Janeiro"/>
    <s v="Non-Profit"/>
    <x v="1"/>
    <x v="2"/>
    <x v="2"/>
    <x v="310"/>
    <n v="51.13"/>
    <n v="57.53"/>
    <n v="4.4999999999999998E-2"/>
    <n v="4.4999999999999998E-2"/>
    <n v="0"/>
    <n v="16"/>
    <n v="879.05840000000001"/>
    <n v="818.08"/>
    <n v="60.978399999999965"/>
    <n v="6.9367859973808302E-2"/>
    <e v="#NUM!"/>
    <e v="#NUM!"/>
    <e v="#NUM!"/>
  </r>
  <r>
    <s v="ORD-2023-890605"/>
    <x v="87"/>
    <x v="23"/>
    <d v="2023-04-01T00:00:00"/>
    <m/>
    <s v="Q2-2023"/>
    <d v="2023-06-22T00:00:00"/>
    <d v="2023-06-27T00:00:00"/>
    <n v="3"/>
    <n v="1"/>
    <n v="1"/>
    <x v="2"/>
    <x v="3"/>
    <s v="Toronto"/>
    <s v="Non-Profit"/>
    <x v="0"/>
    <x v="12"/>
    <x v="6"/>
    <x v="311"/>
    <n v="471.42"/>
    <n v="824.81"/>
    <n v="8.7999999999999995E-2"/>
    <n v="8.7999999999999995E-2"/>
    <n v="0"/>
    <n v="15"/>
    <n v="11283.400799999999"/>
    <n v="7071.3"/>
    <n v="4212.1007999999993"/>
    <n v="0.37330064531608231"/>
    <e v="#NUM!"/>
    <e v="#NUM!"/>
    <e v="#NUM!"/>
  </r>
  <r>
    <s v="ORD-2024-925626"/>
    <x v="272"/>
    <x v="18"/>
    <d v="2023-01-01T00:00:00"/>
    <m/>
    <s v="Q4-2024"/>
    <d v="2024-11-05T00:00:00"/>
    <d v="2024-11-05T00:00:00"/>
    <n v="1"/>
    <n v="1"/>
    <n v="1"/>
    <x v="3"/>
    <x v="8"/>
    <s v="London"/>
    <s v="Corporate"/>
    <x v="0"/>
    <x v="12"/>
    <x v="1"/>
    <x v="312"/>
    <n v="840.68"/>
    <n v="1493.53"/>
    <n v="0"/>
    <n v="0"/>
    <n v="0"/>
    <n v="27"/>
    <n v="40325.31"/>
    <n v="22698.359999999997"/>
    <n v="17626.95"/>
    <n v="0.43711877230454027"/>
    <e v="#NUM!"/>
    <e v="#NUM!"/>
    <e v="#NUM!"/>
  </r>
  <r>
    <s v="ORD-2024-427031"/>
    <x v="273"/>
    <x v="17"/>
    <d v="2023-01-01T00:00:00"/>
    <m/>
    <s v="Q2-2024"/>
    <d v="2024-06-24T00:00:00"/>
    <d v="2024-06-24T00:00:00"/>
    <n v="16"/>
    <n v="0"/>
    <n v="0"/>
    <x v="0"/>
    <x v="11"/>
    <s v="Durban"/>
    <s v="Education"/>
    <x v="3"/>
    <x v="10"/>
    <x v="5"/>
    <x v="313"/>
    <n v="597.85"/>
    <n v="741.92"/>
    <n v="3.1E-2"/>
    <n v="3.1E-2"/>
    <n v="0"/>
    <n v="7"/>
    <n v="5032.4433599999993"/>
    <n v="4184.95"/>
    <n v="847.49335999999948"/>
    <n v="0.16840594108544515"/>
    <e v="#NUM!"/>
    <e v="#NUM!"/>
    <e v="#NUM!"/>
  </r>
  <r>
    <s v="ORD-2025-231184"/>
    <x v="261"/>
    <x v="16"/>
    <d v="2023-02-01T00:00:00"/>
    <m/>
    <s v="Q2-2025"/>
    <d v="2025-06-06T00:00:00"/>
    <d v="2025-06-06T00:00:00"/>
    <n v="5"/>
    <n v="1"/>
    <n v="1"/>
    <x v="3"/>
    <x v="7"/>
    <s v="Paris"/>
    <s v="Consumer"/>
    <x v="3"/>
    <x v="3"/>
    <x v="0"/>
    <x v="314"/>
    <n v="379.45"/>
    <n v="742.23"/>
    <n v="0.09"/>
    <n v="0.09"/>
    <n v="0"/>
    <n v="13"/>
    <n v="8780.5809000000008"/>
    <n v="4932.8499999999995"/>
    <n v="3847.7309000000014"/>
    <n v="0.43820915083192286"/>
    <e v="#NUM!"/>
    <e v="#NUM!"/>
    <e v="#NUM!"/>
  </r>
  <r>
    <s v="ORD-2023-363031"/>
    <x v="274"/>
    <x v="15"/>
    <d v="2023-03-01T00:00:00"/>
    <m/>
    <s v="Q2-2023"/>
    <d v="2023-05-14T00:00:00"/>
    <d v="2023-05-14T00:00:00"/>
    <n v="8"/>
    <n v="0"/>
    <n v="0"/>
    <x v="1"/>
    <x v="2"/>
    <s v="Osaka"/>
    <s v="Enterprise"/>
    <x v="2"/>
    <x v="5"/>
    <x v="3"/>
    <x v="315"/>
    <n v="291.18"/>
    <n v="479.54"/>
    <n v="0.14099999999999999"/>
    <n v="0.14099999999999999"/>
    <n v="0"/>
    <n v="22"/>
    <n v="9062.34692"/>
    <n v="6405.96"/>
    <n v="2656.3869199999999"/>
    <n v="0.29312350801066001"/>
    <e v="#NUM!"/>
    <e v="#NUM!"/>
    <e v="#NUM!"/>
  </r>
  <r>
    <s v="ORD-2023-619570"/>
    <x v="275"/>
    <x v="30"/>
    <d v="2023-01-01T00:00:00"/>
    <m/>
    <s v="Q4-2023"/>
    <d v="2023-11-30T00:00:00"/>
    <d v="2023-11-30T00:00:00"/>
    <n v="16"/>
    <n v="0"/>
    <n v="0"/>
    <x v="2"/>
    <x v="5"/>
    <s v="São Paulo"/>
    <s v="Enterprise"/>
    <x v="4"/>
    <x v="11"/>
    <x v="2"/>
    <x v="316"/>
    <n v="1017.92"/>
    <n v="1175.25"/>
    <n v="7.4999999999999997E-2"/>
    <n v="7.4999999999999997E-2"/>
    <n v="0"/>
    <n v="15"/>
    <n v="16306.59375"/>
    <n v="15268.8"/>
    <n v="1037.7937500000007"/>
    <n v="6.3642583234159542E-2"/>
    <e v="#NUM!"/>
    <e v="#NUM!"/>
    <e v="#NUM!"/>
  </r>
  <r>
    <s v="ORD-2025-861401"/>
    <x v="276"/>
    <x v="19"/>
    <d v="2023-02-01T00:00:00"/>
    <m/>
    <s v="Q2-2025"/>
    <d v="2025-04-27T00:00:00"/>
    <d v="2025-04-27T00:00:00"/>
    <n v="26"/>
    <n v="0"/>
    <n v="0"/>
    <x v="2"/>
    <x v="10"/>
    <s v="San Francisco"/>
    <s v="Corporate"/>
    <x v="4"/>
    <x v="2"/>
    <x v="5"/>
    <x v="317"/>
    <n v="156.55000000000001"/>
    <n v="227.45"/>
    <n v="1.4E-2"/>
    <n v="1.4E-2"/>
    <n v="0"/>
    <n v="13"/>
    <n v="2915.4540999999999"/>
    <n v="2035.15"/>
    <n v="880.30409999999983"/>
    <n v="0.3019440779396938"/>
    <e v="#NUM!"/>
    <e v="#NUM!"/>
    <e v="#NUM!"/>
  </r>
  <r>
    <s v="ORD-2023-835010"/>
    <x v="277"/>
    <x v="22"/>
    <d v="2023-02-01T00:00:00"/>
    <m/>
    <s v="Q1-2023"/>
    <d v="2023-04-15T00:00:00"/>
    <d v="2023-04-15T00:00:00"/>
    <n v="23"/>
    <n v="0"/>
    <n v="0"/>
    <x v="0"/>
    <x v="0"/>
    <s v="Mombasa"/>
    <s v="Small Business"/>
    <x v="0"/>
    <x v="0"/>
    <x v="6"/>
    <x v="318"/>
    <n v="875.36"/>
    <n v="1178.6199999999999"/>
    <n v="0.151"/>
    <n v="0.151"/>
    <n v="0"/>
    <n v="53"/>
    <n v="53034.364139999991"/>
    <n v="46394.080000000002"/>
    <n v="6640.2841399999888"/>
    <n v="0.12520719815685888"/>
    <e v="#NUM!"/>
    <e v="#NUM!"/>
    <e v="#NUM!"/>
  </r>
  <r>
    <s v="ORD-2024-819979"/>
    <x v="91"/>
    <x v="7"/>
    <d v="2023-01-01T00:00:00"/>
    <m/>
    <s v="Q2-2024"/>
    <d v="2024-06-18T00:00:00"/>
    <d v="2024-06-18T00:00:00"/>
    <n v="21"/>
    <n v="0"/>
    <n v="0"/>
    <x v="3"/>
    <x v="6"/>
    <s v="Frankfurt"/>
    <s v="Small Business"/>
    <x v="1"/>
    <x v="6"/>
    <x v="3"/>
    <x v="319"/>
    <n v="986.85"/>
    <n v="2422.1"/>
    <n v="7.5999999999999998E-2"/>
    <n v="7.5999999999999998E-2"/>
    <n v="0"/>
    <n v="10"/>
    <n v="22380.204000000002"/>
    <n v="9868.5"/>
    <n v="12511.704000000002"/>
    <n v="0.55905227673527913"/>
    <e v="#NUM!"/>
    <e v="#NUM!"/>
    <e v="#NUM!"/>
  </r>
  <r>
    <s v="ORD-2024-719055"/>
    <x v="278"/>
    <x v="9"/>
    <d v="2023-02-01T00:00:00"/>
    <m/>
    <s v="Q1-2024"/>
    <d v="2024-01-01T00:00:00"/>
    <d v="2024-01-05T00:00:00"/>
    <n v="3"/>
    <n v="1"/>
    <n v="1"/>
    <x v="2"/>
    <x v="10"/>
    <s v="Chicago"/>
    <s v="Education"/>
    <x v="2"/>
    <x v="5"/>
    <x v="2"/>
    <x v="320"/>
    <n v="404.77"/>
    <n v="433.88"/>
    <n v="0.215"/>
    <n v="0.215"/>
    <n v="1"/>
    <n v="22"/>
    <n v="7493.1076000000012"/>
    <n v="8904.9399999999987"/>
    <n v="-1411.8323999999975"/>
    <n v="-0.18841747314558746"/>
    <e v="#NUM!"/>
    <e v="#NUM!"/>
    <e v="#NUM!"/>
  </r>
  <r>
    <s v="ORD-2023-888245"/>
    <x v="2"/>
    <x v="2"/>
    <d v="2023-02-01T00:00:00"/>
    <m/>
    <s v="Q1-2023"/>
    <d v="2023-02-27T00:00:00"/>
    <d v="2023-03-03T00:00:00"/>
    <n v="3"/>
    <n v="1"/>
    <n v="1"/>
    <x v="3"/>
    <x v="7"/>
    <s v="Marseille"/>
    <s v="Corporate"/>
    <x v="0"/>
    <x v="11"/>
    <x v="2"/>
    <x v="321"/>
    <n v="1299.81"/>
    <n v="3149.13"/>
    <n v="0.10299999999999999"/>
    <n v="0.10299999999999999"/>
    <n v="0"/>
    <n v="14"/>
    <n v="39546.774539999999"/>
    <n v="18197.34"/>
    <n v="21349.434539999998"/>
    <n v="0.53985273864511729"/>
    <e v="#NUM!"/>
    <e v="#NUM!"/>
    <e v="#NUM!"/>
  </r>
  <r>
    <s v="ORD-2024-206121"/>
    <x v="142"/>
    <x v="31"/>
    <d v="2023-01-01T00:00:00"/>
    <m/>
    <s v="Q1-2024"/>
    <d v="2024-03-11T00:00:00"/>
    <d v="2024-03-11T00:00:00"/>
    <n v="22"/>
    <n v="0"/>
    <n v="0"/>
    <x v="2"/>
    <x v="5"/>
    <s v="São Paulo"/>
    <s v="Consumer"/>
    <x v="1"/>
    <x v="8"/>
    <x v="0"/>
    <x v="322"/>
    <n v="80.48"/>
    <n v="65.650000000000006"/>
    <n v="0.17599999999999999"/>
    <n v="0.17599999999999999"/>
    <n v="0"/>
    <n v="13"/>
    <n v="703.2428000000001"/>
    <n v="1046.24"/>
    <n v="-342.99719999999991"/>
    <n v="-0.48773652570634191"/>
    <e v="#NUM!"/>
    <e v="#NUM!"/>
    <e v="#NUM!"/>
  </r>
  <r>
    <s v="ORD-2024-500890"/>
    <x v="190"/>
    <x v="29"/>
    <d v="2023-01-01T00:00:00"/>
    <m/>
    <s v="Q3-2024"/>
    <d v="2024-10-08T00:00:00"/>
    <d v="2024-10-08T00:00:00"/>
    <n v="29"/>
    <n v="0"/>
    <n v="0"/>
    <x v="2"/>
    <x v="5"/>
    <s v="São Paulo"/>
    <s v="Education"/>
    <x v="4"/>
    <x v="1"/>
    <x v="0"/>
    <x v="323"/>
    <n v="1010.33"/>
    <n v="2492.14"/>
    <n v="5.0999999999999997E-2"/>
    <n v="5.0999999999999997E-2"/>
    <n v="0"/>
    <n v="11"/>
    <n v="26015.449459999996"/>
    <n v="11113.630000000001"/>
    <n v="14901.819459999995"/>
    <n v="0.57280653493656752"/>
    <e v="#NUM!"/>
    <e v="#NUM!"/>
    <e v="#NUM!"/>
  </r>
  <r>
    <s v="ORD-2023-144816"/>
    <x v="238"/>
    <x v="15"/>
    <d v="2023-01-01T00:00:00"/>
    <m/>
    <s v="Q2-2023"/>
    <d v="2023-05-29T00:00:00"/>
    <d v="2023-05-29T00:00:00"/>
    <n v="22"/>
    <n v="0"/>
    <n v="0"/>
    <x v="0"/>
    <x v="11"/>
    <s v="Durban"/>
    <s v="Education"/>
    <x v="3"/>
    <x v="11"/>
    <x v="6"/>
    <x v="324"/>
    <n v="653.86"/>
    <n v="931.84"/>
    <n v="0.121"/>
    <n v="0.121"/>
    <n v="0"/>
    <n v="12"/>
    <n v="9829.0483199999999"/>
    <n v="7846.32"/>
    <n v="1982.7283200000002"/>
    <n v="0.20172129136506273"/>
    <e v="#NUM!"/>
    <e v="#NUM!"/>
    <e v="#NUM!"/>
  </r>
  <r>
    <s v="ORD-2024-153053"/>
    <x v="181"/>
    <x v="9"/>
    <d v="2023-05-01T00:00:00"/>
    <m/>
    <s v="Q1-2024"/>
    <d v="2024-01-29T00:00:00"/>
    <d v="2024-01-29T00:00:00"/>
    <n v="17"/>
    <n v="0"/>
    <n v="0"/>
    <x v="1"/>
    <x v="4"/>
    <s v="Hyderabad"/>
    <s v="Small Business"/>
    <x v="4"/>
    <x v="5"/>
    <x v="0"/>
    <x v="325"/>
    <n v="310.02"/>
    <n v="619.51"/>
    <n v="4.2000000000000003E-2"/>
    <n v="4.2000000000000003E-2"/>
    <n v="0"/>
    <n v="4"/>
    <n v="2373.9623200000001"/>
    <n v="1240.08"/>
    <n v="1133.8823200000002"/>
    <n v="0.47763282106347843"/>
    <e v="#NUM!"/>
    <e v="#NUM!"/>
    <e v="#NUM!"/>
  </r>
  <r>
    <s v="ORD-2023-536542"/>
    <x v="279"/>
    <x v="23"/>
    <d v="2023-02-01T00:00:00"/>
    <m/>
    <s v="Q2-2023"/>
    <d v="2023-06-18T00:00:00"/>
    <d v="2023-06-18T00:00:00"/>
    <n v="8"/>
    <n v="0"/>
    <n v="0"/>
    <x v="0"/>
    <x v="0"/>
    <s v="Nakuru"/>
    <s v="Enterprise"/>
    <x v="4"/>
    <x v="10"/>
    <x v="3"/>
    <x v="326"/>
    <n v="894.23"/>
    <n v="1421.55"/>
    <n v="0.109"/>
    <n v="0.109"/>
    <n v="0"/>
    <n v="3"/>
    <n v="3799.8031499999997"/>
    <n v="2682.69"/>
    <n v="1117.1131499999997"/>
    <n v="0.29399237431549574"/>
    <e v="#NUM!"/>
    <e v="#NUM!"/>
    <e v="#NUM!"/>
  </r>
  <r>
    <s v="ORD-2025-779530"/>
    <x v="280"/>
    <x v="8"/>
    <d v="2023-01-01T00:00:00"/>
    <m/>
    <s v="Q2-2025"/>
    <d v="2025-05-17T00:00:00"/>
    <d v="2025-05-22T00:00:00"/>
    <n v="3"/>
    <n v="1"/>
    <n v="1"/>
    <x v="2"/>
    <x v="5"/>
    <s v="São Paulo"/>
    <s v="Small Business"/>
    <x v="3"/>
    <x v="4"/>
    <x v="5"/>
    <x v="327"/>
    <n v="383.77"/>
    <n v="952.56"/>
    <n v="0.3"/>
    <n v="0.34599999999999997"/>
    <n v="1"/>
    <n v="10"/>
    <n v="6667.9199999999983"/>
    <n v="3837.7"/>
    <n v="2830.2199999999984"/>
    <n v="0.42445320279787385"/>
    <e v="#NUM!"/>
    <e v="#NUM!"/>
    <e v="#NUM!"/>
  </r>
  <r>
    <s v="ORD-2023-163610"/>
    <x v="281"/>
    <x v="32"/>
    <d v="2023-04-01T00:00:00"/>
    <m/>
    <s v="Q4-2023"/>
    <d v="2023-11-16T00:00:00"/>
    <d v="2023-11-16T00:00:00"/>
    <n v="25"/>
    <n v="0"/>
    <n v="0"/>
    <x v="2"/>
    <x v="3"/>
    <s v="Toronto"/>
    <s v="Small Business"/>
    <x v="2"/>
    <x v="2"/>
    <x v="4"/>
    <x v="328"/>
    <n v="1373.31"/>
    <n v="3154.14"/>
    <n v="0.2"/>
    <n v="0.2"/>
    <n v="0"/>
    <n v="11"/>
    <n v="27756.432000000001"/>
    <n v="15106.41"/>
    <n v="12650.022000000001"/>
    <n v="0.45575101295440279"/>
    <e v="#NUM!"/>
    <e v="#NUM!"/>
    <e v="#NUM!"/>
  </r>
  <r>
    <s v="ORD-2025-653781"/>
    <x v="282"/>
    <x v="10"/>
    <d v="2023-02-01T00:00:00"/>
    <m/>
    <s v="Q1-2025"/>
    <d v="2025-01-23T00:00:00"/>
    <d v="2025-01-23T00:00:00"/>
    <n v="12"/>
    <n v="0"/>
    <n v="0"/>
    <x v="2"/>
    <x v="10"/>
    <s v="Austin"/>
    <s v="Consumer"/>
    <x v="3"/>
    <x v="10"/>
    <x v="3"/>
    <x v="329"/>
    <n v="100.69"/>
    <n v="226.14"/>
    <n v="6.5000000000000002E-2"/>
    <n v="6.5000000000000002E-2"/>
    <n v="0"/>
    <n v="12"/>
    <n v="2537.2908000000002"/>
    <n v="1208.28"/>
    <n v="1329.0108000000002"/>
    <n v="0.52379128162999689"/>
    <e v="#NUM!"/>
    <e v="#NUM!"/>
    <e v="#NUM!"/>
  </r>
  <r>
    <s v="ORD-2025-737787"/>
    <x v="283"/>
    <x v="11"/>
    <d v="2023-01-01T00:00:00"/>
    <m/>
    <s v="Q3-2025"/>
    <d v="2025-09-26T00:00:00"/>
    <d v="2025-09-26T00:00:00"/>
    <n v="12"/>
    <n v="0"/>
    <n v="0"/>
    <x v="3"/>
    <x v="8"/>
    <s v="London"/>
    <s v="Small Business"/>
    <x v="4"/>
    <x v="13"/>
    <x v="2"/>
    <x v="330"/>
    <n v="425.15"/>
    <n v="885.92"/>
    <n v="0.23899999999999999"/>
    <n v="0.23899999999999999"/>
    <n v="1"/>
    <n v="13"/>
    <n v="8764.4065599999994"/>
    <n v="5526.95"/>
    <n v="3237.4565599999996"/>
    <n v="0.3693868532725848"/>
    <e v="#NUM!"/>
    <e v="#NUM!"/>
    <e v="#NUM!"/>
  </r>
  <r>
    <s v="ORD-2023-944052"/>
    <x v="52"/>
    <x v="25"/>
    <d v="2023-05-01T00:00:00"/>
    <m/>
    <s v="Q3-2023"/>
    <d v="2023-09-03T00:00:00"/>
    <d v="2023-09-03T00:00:00"/>
    <n v="4"/>
    <n v="1"/>
    <n v="1"/>
    <x v="1"/>
    <x v="4"/>
    <s v="Delhi"/>
    <s v="Small Business"/>
    <x v="2"/>
    <x v="4"/>
    <x v="6"/>
    <x v="331"/>
    <n v="1082.25"/>
    <n v="2433.34"/>
    <n v="0.27"/>
    <n v="0.27"/>
    <n v="1"/>
    <n v="4"/>
    <n v="7105.3528000000006"/>
    <n v="4329"/>
    <n v="2776.3528000000006"/>
    <n v="0.3907410199251472"/>
    <e v="#NUM!"/>
    <e v="#NUM!"/>
    <e v="#NUM!"/>
  </r>
  <r>
    <s v="ORD-2023-181257"/>
    <x v="284"/>
    <x v="30"/>
    <d v="2023-01-01T00:00:00"/>
    <m/>
    <s v="Q4-2023"/>
    <d v="2023-12-06T00:00:00"/>
    <d v="2023-12-06T00:00:00"/>
    <n v="21"/>
    <n v="0"/>
    <n v="0"/>
    <x v="3"/>
    <x v="8"/>
    <s v="Manchester"/>
    <s v="Education"/>
    <x v="4"/>
    <x v="10"/>
    <x v="6"/>
    <x v="332"/>
    <n v="1184.99"/>
    <n v="1154.3399999999999"/>
    <n v="2.8000000000000001E-2"/>
    <n v="2.8000000000000001E-2"/>
    <n v="0"/>
    <n v="5"/>
    <n v="5610.0923999999995"/>
    <n v="5924.95"/>
    <n v="-314.85760000000028"/>
    <n v="-5.6123424990290764E-2"/>
    <e v="#NUM!"/>
    <e v="#NUM!"/>
    <e v="#NUM!"/>
  </r>
  <r>
    <s v="ORD-2025-323492"/>
    <x v="60"/>
    <x v="19"/>
    <d v="2023-05-01T00:00:00"/>
    <m/>
    <s v="Q2-2025"/>
    <d v="2025-05-27T00:00:00"/>
    <d v="2025-05-27T00:00:00"/>
    <n v="30"/>
    <n v="0"/>
    <n v="0"/>
    <x v="1"/>
    <x v="4"/>
    <s v="Delhi"/>
    <s v="Enterprise"/>
    <x v="2"/>
    <x v="10"/>
    <x v="3"/>
    <x v="333"/>
    <n v="481.32"/>
    <n v="1135.99"/>
    <n v="0.14499999999999999"/>
    <n v="0.14499999999999999"/>
    <n v="0"/>
    <n v="5"/>
    <n v="4856.35725"/>
    <n v="2406.6"/>
    <n v="2449.7572500000001"/>
    <n v="0.50444337677175621"/>
    <e v="#NUM!"/>
    <e v="#NUM!"/>
    <e v="#NUM!"/>
  </r>
  <r>
    <s v="ORD-2024-332076"/>
    <x v="285"/>
    <x v="20"/>
    <d v="2023-04-01T00:00:00"/>
    <m/>
    <s v="Q2-2024"/>
    <d v="2024-04-18T00:00:00"/>
    <d v="2024-04-18T00:00:00"/>
    <n v="9"/>
    <n v="0"/>
    <n v="0"/>
    <x v="3"/>
    <x v="7"/>
    <s v="Lyon"/>
    <s v="Consumer"/>
    <x v="1"/>
    <x v="6"/>
    <x v="1"/>
    <x v="334"/>
    <n v="1288.8499999999999"/>
    <n v="2751.84"/>
    <n v="0.158"/>
    <n v="0.158"/>
    <n v="0"/>
    <n v="7"/>
    <n v="16219.34496"/>
    <n v="9021.9499999999989"/>
    <n v="7197.3949600000014"/>
    <n v="0.44375373837538756"/>
    <e v="#NUM!"/>
    <e v="#NUM!"/>
    <e v="#NUM!"/>
  </r>
  <r>
    <s v="ORD-2024-571797"/>
    <x v="286"/>
    <x v="14"/>
    <d v="2023-01-01T00:00:00"/>
    <m/>
    <s v="Q3-2024"/>
    <d v="2024-07-31T00:00:00"/>
    <d v="2024-07-31T00:00:00"/>
    <n v="20"/>
    <n v="0"/>
    <n v="0"/>
    <x v="1"/>
    <x v="9"/>
    <s v="Shenzhen"/>
    <s v="Consumer"/>
    <x v="1"/>
    <x v="3"/>
    <x v="3"/>
    <x v="335"/>
    <n v="647.26"/>
    <n v="1374.72"/>
    <n v="6.6000000000000003E-2"/>
    <n v="6.6000000000000003E-2"/>
    <n v="0"/>
    <n v="22"/>
    <n v="28247.74656"/>
    <n v="14239.72"/>
    <n v="14008.02656"/>
    <n v="0.49589890401508901"/>
    <e v="#NUM!"/>
    <e v="#NUM!"/>
    <e v="#NUM!"/>
  </r>
  <r>
    <s v="ORD-2024-129345"/>
    <x v="142"/>
    <x v="31"/>
    <d v="2023-01-01T00:00:00"/>
    <m/>
    <s v="Q1-2024"/>
    <d v="2024-03-03T00:00:00"/>
    <d v="2024-03-03T00:00:00"/>
    <n v="14"/>
    <n v="0"/>
    <n v="0"/>
    <x v="2"/>
    <x v="5"/>
    <s v="São Paulo"/>
    <s v="Enterprise"/>
    <x v="3"/>
    <x v="8"/>
    <x v="1"/>
    <x v="336"/>
    <n v="624.23"/>
    <n v="1318.37"/>
    <n v="0.21"/>
    <n v="0.21"/>
    <n v="1"/>
    <n v="37"/>
    <n v="38535.955099999999"/>
    <n v="23096.510000000002"/>
    <n v="15439.445099999997"/>
    <n v="0.40065038118128793"/>
    <e v="#NUM!"/>
    <e v="#NUM!"/>
    <e v="#NUM!"/>
  </r>
  <r>
    <s v="ORD-2023-660608"/>
    <x v="287"/>
    <x v="24"/>
    <d v="2023-02-01T00:00:00"/>
    <m/>
    <s v="Q3-2023"/>
    <d v="2023-08-10T00:00:00"/>
    <d v="2023-08-10T00:00:00"/>
    <n v="16"/>
    <n v="0"/>
    <n v="0"/>
    <x v="0"/>
    <x v="1"/>
    <s v="Port Harcourt"/>
    <s v="Corporate"/>
    <x v="3"/>
    <x v="2"/>
    <x v="6"/>
    <x v="337"/>
    <n v="506.83"/>
    <n v="441.74"/>
    <n v="0.24"/>
    <n v="0.24"/>
    <n v="1"/>
    <n v="9"/>
    <n v="3021.5016000000001"/>
    <n v="4561.47"/>
    <n v="-1539.9684000000002"/>
    <n v="-0.50966989393618067"/>
    <e v="#NUM!"/>
    <e v="#NUM!"/>
    <e v="#NUM!"/>
  </r>
  <r>
    <s v="ORD-2023-825084"/>
    <x v="288"/>
    <x v="24"/>
    <d v="2023-01-01T00:00:00"/>
    <m/>
    <s v="Q3-2023"/>
    <d v="2023-07-21T00:00:00"/>
    <d v="2023-07-21T00:00:00"/>
    <n v="7"/>
    <n v="1"/>
    <n v="1"/>
    <x v="0"/>
    <x v="11"/>
    <s v="Durban"/>
    <s v="Enterprise"/>
    <x v="2"/>
    <x v="15"/>
    <x v="5"/>
    <x v="338"/>
    <n v="620.74"/>
    <n v="1330.07"/>
    <n v="0.29899999999999999"/>
    <n v="0.29899999999999999"/>
    <n v="1"/>
    <n v="28"/>
    <n v="26106.613960000002"/>
    <n v="17380.72"/>
    <n v="8725.8939600000012"/>
    <n v="0.33424073965967516"/>
    <e v="#NUM!"/>
    <e v="#NUM!"/>
    <e v="#NUM!"/>
  </r>
  <r>
    <s v="ORD-2023-261081"/>
    <x v="244"/>
    <x v="24"/>
    <d v="2023-02-01T00:00:00"/>
    <m/>
    <s v="Q3-2023"/>
    <d v="2023-08-19T00:00:00"/>
    <d v="2023-08-19T00:00:00"/>
    <n v="26"/>
    <n v="0"/>
    <n v="0"/>
    <x v="0"/>
    <x v="0"/>
    <s v="Nairobi"/>
    <s v="Enterprise"/>
    <x v="3"/>
    <x v="12"/>
    <x v="6"/>
    <x v="339"/>
    <n v="661.45"/>
    <n v="1634.86"/>
    <n v="0.3"/>
    <n v="0.56499999999999995"/>
    <n v="1"/>
    <n v="24"/>
    <n v="27465.647999999997"/>
    <n v="15874.800000000001"/>
    <n v="11590.847999999996"/>
    <n v="0.42201254454291404"/>
    <e v="#NUM!"/>
    <e v="#NUM!"/>
    <e v="#NUM!"/>
  </r>
  <r>
    <s v="ORD-2023-766015"/>
    <x v="289"/>
    <x v="12"/>
    <d v="2023-02-01T00:00:00"/>
    <m/>
    <s v="Q2-2023"/>
    <d v="2023-04-11T00:00:00"/>
    <d v="2023-04-16T00:00:00"/>
    <n v="3"/>
    <n v="1"/>
    <n v="1"/>
    <x v="2"/>
    <x v="10"/>
    <s v="San Francisco"/>
    <s v="Education"/>
    <x v="2"/>
    <x v="3"/>
    <x v="2"/>
    <x v="340"/>
    <n v="32.1"/>
    <n v="70.599999999999994"/>
    <n v="0.28199999999999997"/>
    <n v="0.28199999999999997"/>
    <n v="1"/>
    <n v="22"/>
    <n v="1115.1975999999997"/>
    <n v="706.2"/>
    <n v="408.99759999999969"/>
    <n v="0.36674899587301818"/>
    <e v="#NUM!"/>
    <e v="#NUM!"/>
    <e v="#NUM!"/>
  </r>
  <r>
    <s v="ORD-2024-333192"/>
    <x v="290"/>
    <x v="1"/>
    <d v="2023-02-01T00:00:00"/>
    <m/>
    <s v="Q4-2024"/>
    <d v="2024-11-04T00:00:00"/>
    <d v="2024-11-04T00:00:00"/>
    <n v="6"/>
    <n v="1"/>
    <n v="1"/>
    <x v="0"/>
    <x v="0"/>
    <s v="Nairobi"/>
    <s v="Corporate"/>
    <x v="3"/>
    <x v="12"/>
    <x v="1"/>
    <x v="341"/>
    <n v="805.81"/>
    <n v="1823.04"/>
    <n v="0"/>
    <n v="0"/>
    <n v="0"/>
    <n v="11"/>
    <n v="20053.439999999999"/>
    <n v="8863.91"/>
    <n v="11189.529999999999"/>
    <n v="0.55798556257679477"/>
    <e v="#NUM!"/>
    <e v="#NUM!"/>
    <e v="#NUM!"/>
  </r>
  <r>
    <s v="ORD-2024-647473"/>
    <x v="291"/>
    <x v="31"/>
    <d v="2023-05-01T00:00:00"/>
    <m/>
    <s v="Q1-2024"/>
    <d v="2024-03-04T00:00:00"/>
    <d v="2024-03-04T00:00:00"/>
    <n v="16"/>
    <n v="0"/>
    <n v="0"/>
    <x v="1"/>
    <x v="4"/>
    <s v="Delhi"/>
    <s v="Small Business"/>
    <x v="2"/>
    <x v="9"/>
    <x v="3"/>
    <x v="342"/>
    <n v="1231.8"/>
    <n v="2015.99"/>
    <n v="0.26100000000000001"/>
    <n v="0.26100000000000001"/>
    <n v="1"/>
    <n v="6"/>
    <n v="8938.8996600000009"/>
    <n v="7390.7999999999993"/>
    <n v="1548.0996600000017"/>
    <n v="0.17318682599464391"/>
    <e v="#NUM!"/>
    <e v="#NUM!"/>
    <e v="#NUM!"/>
  </r>
  <r>
    <s v="ORD-2024-892908"/>
    <x v="292"/>
    <x v="14"/>
    <d v="2023-03-01T00:00:00"/>
    <m/>
    <s v="Q3-2024"/>
    <d v="2024-07-12T00:00:00"/>
    <d v="2024-07-16T00:00:00"/>
    <n v="3"/>
    <n v="1"/>
    <n v="1"/>
    <x v="1"/>
    <x v="2"/>
    <s v="Nagoya"/>
    <s v="Small Business"/>
    <x v="2"/>
    <x v="9"/>
    <x v="2"/>
    <x v="343"/>
    <n v="105.13"/>
    <n v="244.13"/>
    <n v="7.0999999999999994E-2"/>
    <n v="7.0999999999999994E-2"/>
    <n v="0"/>
    <n v="14"/>
    <n v="3175.1547799999998"/>
    <n v="1471.82"/>
    <n v="1703.3347799999999"/>
    <n v="0.53645724319618837"/>
    <e v="#NUM!"/>
    <e v="#NUM!"/>
    <e v="#NUM!"/>
  </r>
  <r>
    <s v="ORD-2023-573146"/>
    <x v="293"/>
    <x v="4"/>
    <d v="2023-03-01T00:00:00"/>
    <m/>
    <s v="Q4-2023"/>
    <d v="2023-12-18T00:00:00"/>
    <d v="2023-12-18T00:00:00"/>
    <n v="17"/>
    <n v="0"/>
    <n v="0"/>
    <x v="1"/>
    <x v="2"/>
    <s v="Nagoya"/>
    <s v="Small Business"/>
    <x v="4"/>
    <x v="13"/>
    <x v="4"/>
    <x v="344"/>
    <n v="1495.79"/>
    <n v="2783.12"/>
    <n v="0.02"/>
    <n v="0.02"/>
    <n v="0"/>
    <n v="5"/>
    <n v="13637.287999999999"/>
    <n v="7478.95"/>
    <n v="6158.3379999999988"/>
    <n v="0.45158084217331185"/>
    <e v="#NUM!"/>
    <e v="#NUM!"/>
    <e v="#NUM!"/>
  </r>
  <r>
    <s v="ORD-2024-901115"/>
    <x v="19"/>
    <x v="14"/>
    <d v="2023-04-01T00:00:00"/>
    <m/>
    <s v="Q3-2024"/>
    <d v="2024-08-02T00:00:00"/>
    <d v="2024-08-02T00:00:00"/>
    <n v="8"/>
    <n v="0"/>
    <n v="0"/>
    <x v="2"/>
    <x v="3"/>
    <s v="Montreal"/>
    <s v="Consumer"/>
    <x v="4"/>
    <x v="1"/>
    <x v="6"/>
    <x v="345"/>
    <n v="986.81"/>
    <n v="2050.31"/>
    <n v="0.10299999999999999"/>
    <n v="0.10299999999999999"/>
    <n v="0"/>
    <n v="43"/>
    <n v="79082.507010000001"/>
    <n v="42432.829999999994"/>
    <n v="36649.677010000007"/>
    <n v="0.46343595310358138"/>
    <e v="#NUM!"/>
    <e v="#NUM!"/>
    <e v="#NUM!"/>
  </r>
  <r>
    <s v="ORD-2023-898009"/>
    <x v="176"/>
    <x v="15"/>
    <d v="2023-02-01T00:00:00"/>
    <m/>
    <s v="Q2-2023"/>
    <d v="2023-05-16T00:00:00"/>
    <d v="2023-05-16T00:00:00"/>
    <n v="12"/>
    <n v="0"/>
    <n v="0"/>
    <x v="0"/>
    <x v="1"/>
    <s v="Abuja"/>
    <s v="Small Business"/>
    <x v="2"/>
    <x v="1"/>
    <x v="3"/>
    <x v="346"/>
    <n v="77.739999999999995"/>
    <n v="147.12"/>
    <n v="0"/>
    <n v="0"/>
    <n v="0"/>
    <n v="15"/>
    <n v="2206.8000000000002"/>
    <n v="1166.0999999999999"/>
    <n v="1040.7000000000003"/>
    <n v="0.47158781946710177"/>
    <e v="#NUM!"/>
    <e v="#NUM!"/>
    <e v="#NUM!"/>
  </r>
  <r>
    <s v="ORD-2023-208944"/>
    <x v="294"/>
    <x v="4"/>
    <d v="2023-02-01T00:00:00"/>
    <m/>
    <s v="Q4-2023"/>
    <d v="2024-01-06T00:00:00"/>
    <d v="2024-01-06T00:00:00"/>
    <n v="16"/>
    <n v="0"/>
    <n v="0"/>
    <x v="0"/>
    <x v="1"/>
    <s v="Abuja"/>
    <s v="Corporate"/>
    <x v="2"/>
    <x v="11"/>
    <x v="0"/>
    <x v="347"/>
    <n v="932.61"/>
    <n v="1982.98"/>
    <n v="0.14399999999999999"/>
    <n v="0.14399999999999999"/>
    <n v="0"/>
    <n v="16"/>
    <n v="27158.894079999998"/>
    <n v="14921.76"/>
    <n v="12237.134079999998"/>
    <n v="0.45057556629345635"/>
    <e v="#NUM!"/>
    <e v="#NUM!"/>
    <e v="#NUM!"/>
  </r>
  <r>
    <s v="ORD-2025-480172"/>
    <x v="295"/>
    <x v="16"/>
    <d v="2023-05-01T00:00:00"/>
    <m/>
    <s v="Q2-2025"/>
    <d v="2025-07-05T00:00:00"/>
    <d v="2025-07-05T00:00:00"/>
    <n v="18"/>
    <n v="0"/>
    <n v="0"/>
    <x v="1"/>
    <x v="4"/>
    <s v="Delhi"/>
    <s v="Consumer"/>
    <x v="2"/>
    <x v="4"/>
    <x v="4"/>
    <x v="348"/>
    <n v="982.93"/>
    <n v="2299.3000000000002"/>
    <n v="0.113"/>
    <n v="0.113"/>
    <n v="0"/>
    <n v="6"/>
    <n v="12236.874600000001"/>
    <n v="5897.58"/>
    <n v="6339.2946000000011"/>
    <n v="0.51804850562087157"/>
    <e v="#NUM!"/>
    <e v="#NUM!"/>
    <e v="#NUM!"/>
  </r>
  <r>
    <s v="ORD-2023-735274"/>
    <x v="29"/>
    <x v="2"/>
    <d v="2023-01-01T00:00:00"/>
    <m/>
    <s v="Q1-2023"/>
    <d v="2023-03-08T00:00:00"/>
    <d v="2023-03-08T00:00:00"/>
    <n v="13"/>
    <n v="0"/>
    <n v="0"/>
    <x v="3"/>
    <x v="8"/>
    <s v="Manchester"/>
    <s v="Small Business"/>
    <x v="4"/>
    <x v="0"/>
    <x v="1"/>
    <x v="349"/>
    <n v="307.37"/>
    <n v="462.61"/>
    <n v="0.188"/>
    <n v="0.188"/>
    <n v="0"/>
    <n v="11"/>
    <n v="4132.0325200000007"/>
    <n v="3381.07"/>
    <n v="750.9625200000005"/>
    <n v="0.18174167709599739"/>
    <e v="#NUM!"/>
    <e v="#NUM!"/>
    <e v="#NUM!"/>
  </r>
  <r>
    <s v="ORD-2023-212701"/>
    <x v="296"/>
    <x v="4"/>
    <d v="2023-01-01T00:00:00"/>
    <m/>
    <s v="Q4-2023"/>
    <d v="2023-12-16T00:00:00"/>
    <d v="2023-12-16T00:00:00"/>
    <n v="14"/>
    <n v="0"/>
    <n v="0"/>
    <x v="3"/>
    <x v="6"/>
    <s v="Frankfurt"/>
    <s v="Education"/>
    <x v="4"/>
    <x v="13"/>
    <x v="5"/>
    <x v="350"/>
    <n v="879.08"/>
    <n v="1093.3900000000001"/>
    <n v="0.113"/>
    <n v="0.113"/>
    <n v="0"/>
    <n v="17"/>
    <n v="16487.22781"/>
    <n v="14944.36"/>
    <n v="1542.8678099999997"/>
    <n v="9.3579577341935186E-2"/>
    <e v="#NUM!"/>
    <e v="#NUM!"/>
    <e v="#NUM!"/>
  </r>
  <r>
    <s v="ORD-2023-479747"/>
    <x v="288"/>
    <x v="24"/>
    <d v="2023-02-01T00:00:00"/>
    <m/>
    <s v="Q3-2023"/>
    <d v="2023-07-14T00:00:00"/>
    <d v="2023-07-14T00:00:00"/>
    <n v="0"/>
    <n v="1"/>
    <n v="1"/>
    <x v="0"/>
    <x v="1"/>
    <s v="Lagos"/>
    <s v="Education"/>
    <x v="0"/>
    <x v="2"/>
    <x v="6"/>
    <x v="351"/>
    <n v="956.38"/>
    <n v="1454.22"/>
    <n v="3.9E-2"/>
    <n v="3.9E-2"/>
    <n v="0"/>
    <n v="19"/>
    <n v="26552.60298"/>
    <n v="18171.22"/>
    <n v="8381.3829799999985"/>
    <n v="0.31565202802576603"/>
    <e v="#NUM!"/>
    <e v="#NUM!"/>
    <e v="#NUM!"/>
  </r>
  <r>
    <s v="ORD-2024-915495"/>
    <x v="297"/>
    <x v="21"/>
    <d v="2023-03-01T00:00:00"/>
    <m/>
    <s v="Q3-2024"/>
    <d v="2024-08-20T00:00:00"/>
    <d v="2024-08-20T00:00:00"/>
    <n v="12"/>
    <n v="0"/>
    <n v="0"/>
    <x v="1"/>
    <x v="2"/>
    <s v="Osaka"/>
    <s v="Small Business"/>
    <x v="0"/>
    <x v="10"/>
    <x v="2"/>
    <x v="352"/>
    <n v="1233.3599999999999"/>
    <n v="2120.4"/>
    <n v="0.17899999999999999"/>
    <n v="0.17899999999999999"/>
    <n v="0"/>
    <n v="20"/>
    <n v="34816.968000000001"/>
    <n v="24667.199999999997"/>
    <n v="10149.768000000004"/>
    <n v="0.29151785991244278"/>
    <e v="#NUM!"/>
    <e v="#NUM!"/>
    <e v="#NUM!"/>
  </r>
  <r>
    <s v="ORD-2024-225829"/>
    <x v="298"/>
    <x v="18"/>
    <d v="2023-01-01T00:00:00"/>
    <m/>
    <s v="Q4-2024"/>
    <d v="2024-11-26T00:00:00"/>
    <d v="2024-11-26T00:00:00"/>
    <n v="19"/>
    <n v="0"/>
    <n v="0"/>
    <x v="2"/>
    <x v="5"/>
    <s v="Rio de Janeiro"/>
    <s v="Non-Profit"/>
    <x v="3"/>
    <x v="1"/>
    <x v="1"/>
    <x v="353"/>
    <n v="55.35"/>
    <n v="128.68"/>
    <n v="0.128"/>
    <n v="0.128"/>
    <n v="0"/>
    <n v="10"/>
    <n v="1122.0896000000002"/>
    <n v="553.5"/>
    <n v="568.58960000000025"/>
    <n v="0.50672388372550647"/>
    <e v="#NUM!"/>
    <e v="#NUM!"/>
    <e v="#NUM!"/>
  </r>
  <r>
    <s v="ORD-2024-921935"/>
    <x v="299"/>
    <x v="9"/>
    <d v="2023-01-01T00:00:00"/>
    <m/>
    <s v="Q1-2024"/>
    <d v="2024-01-27T00:00:00"/>
    <d v="2024-01-27T00:00:00"/>
    <n v="26"/>
    <n v="0"/>
    <n v="0"/>
    <x v="3"/>
    <x v="8"/>
    <s v="Manchester"/>
    <s v="Education"/>
    <x v="3"/>
    <x v="14"/>
    <x v="6"/>
    <x v="354"/>
    <n v="657.45"/>
    <n v="1325.96"/>
    <n v="0.16700000000000001"/>
    <n v="0.16700000000000001"/>
    <n v="0"/>
    <n v="21"/>
    <n v="23195.01828"/>
    <n v="13806.45"/>
    <n v="9388.5682799999995"/>
    <n v="0.40476658249048808"/>
    <e v="#NUM!"/>
    <e v="#NUM!"/>
    <e v="#NUM!"/>
  </r>
  <r>
    <s v="ORD-2025-949776"/>
    <x v="300"/>
    <x v="28"/>
    <d v="2023-01-01T00:00:00"/>
    <m/>
    <s v="Q3-2025"/>
    <d v="2025-09-11T00:00:00"/>
    <d v="2025-09-11T00:00:00"/>
    <n v="28"/>
    <n v="0"/>
    <n v="0"/>
    <x v="2"/>
    <x v="5"/>
    <s v="São Paulo"/>
    <s v="Non-Profit"/>
    <x v="4"/>
    <x v="9"/>
    <x v="1"/>
    <x v="355"/>
    <n v="1203.02"/>
    <n v="2439.33"/>
    <n v="0"/>
    <n v="0"/>
    <n v="0"/>
    <n v="18"/>
    <n v="43907.94"/>
    <n v="21654.36"/>
    <n v="22253.58"/>
    <n v="0.50682359500354612"/>
    <e v="#NUM!"/>
    <e v="#NUM!"/>
    <e v="#NUM!"/>
  </r>
  <r>
    <s v="ORD-2024-510591"/>
    <x v="149"/>
    <x v="20"/>
    <d v="2023-01-01T00:00:00"/>
    <m/>
    <s v="Q2-2024"/>
    <d v="2024-04-21T00:00:00"/>
    <d v="2024-04-21T00:00:00"/>
    <n v="18"/>
    <n v="0"/>
    <n v="0"/>
    <x v="2"/>
    <x v="5"/>
    <s v="Brasília"/>
    <s v="Small Business"/>
    <x v="3"/>
    <x v="5"/>
    <x v="2"/>
    <x v="356"/>
    <n v="1176.69"/>
    <n v="2201.54"/>
    <n v="0.17"/>
    <n v="0.17"/>
    <n v="0"/>
    <n v="27"/>
    <n v="49336.511399999996"/>
    <n v="31770.63"/>
    <n v="17565.881399999995"/>
    <n v="0.35604222717701106"/>
    <e v="#NUM!"/>
    <e v="#NUM!"/>
    <e v="#NUM!"/>
  </r>
  <r>
    <s v="ORD-2024-961756"/>
    <x v="301"/>
    <x v="18"/>
    <d v="2023-01-01T00:00:00"/>
    <m/>
    <s v="Q4-2024"/>
    <d v="2024-12-07T00:00:00"/>
    <d v="2024-12-07T00:00:00"/>
    <n v="12"/>
    <n v="0"/>
    <n v="0"/>
    <x v="1"/>
    <x v="9"/>
    <s v="Shanghai"/>
    <s v="Corporate"/>
    <x v="3"/>
    <x v="8"/>
    <x v="6"/>
    <x v="357"/>
    <n v="769.9"/>
    <n v="814.36"/>
    <n v="0"/>
    <n v="0"/>
    <n v="0"/>
    <n v="5"/>
    <n v="4071.8"/>
    <n v="3849.5"/>
    <n v="222.30000000000018"/>
    <n v="5.4595019401738831E-2"/>
    <e v="#NUM!"/>
    <e v="#NUM!"/>
    <e v="#NUM!"/>
  </r>
  <r>
    <s v="ORD-2024-892173"/>
    <x v="302"/>
    <x v="9"/>
    <d v="2023-01-01T00:00:00"/>
    <m/>
    <s v="Q1-2024"/>
    <d v="2024-02-03T00:00:00"/>
    <d v="2024-02-03T00:00:00"/>
    <n v="16"/>
    <n v="0"/>
    <n v="0"/>
    <x v="0"/>
    <x v="11"/>
    <s v="Cape Town"/>
    <s v="Non-Profit"/>
    <x v="3"/>
    <x v="4"/>
    <x v="1"/>
    <x v="358"/>
    <n v="666.23"/>
    <n v="1382.91"/>
    <n v="0.17599999999999999"/>
    <n v="0.17599999999999999"/>
    <n v="0"/>
    <n v="13"/>
    <n v="14813.731920000002"/>
    <n v="8660.99"/>
    <n v="6152.7419200000022"/>
    <n v="0.41534043907553048"/>
    <e v="#NUM!"/>
    <e v="#NUM!"/>
    <e v="#NUM!"/>
  </r>
  <r>
    <s v="ORD-2024-704056"/>
    <x v="303"/>
    <x v="17"/>
    <d v="2023-01-01T00:00:00"/>
    <m/>
    <s v="Q2-2024"/>
    <d v="2024-06-25T00:00:00"/>
    <d v="2024-06-25T00:00:00"/>
    <n v="2"/>
    <n v="1"/>
    <n v="1"/>
    <x v="3"/>
    <x v="8"/>
    <s v="Birmingham"/>
    <s v="Small Business"/>
    <x v="2"/>
    <x v="4"/>
    <x v="6"/>
    <x v="359"/>
    <n v="951.44"/>
    <n v="1646.43"/>
    <n v="0.11"/>
    <n v="0.11"/>
    <n v="0"/>
    <n v="24"/>
    <n v="35167.7448"/>
    <n v="22834.560000000001"/>
    <n v="12333.184799999999"/>
    <n v="0.35069592520473475"/>
    <e v="#NUM!"/>
    <e v="#NUM!"/>
    <e v="#NUM!"/>
  </r>
  <r>
    <s v="ORD-2025-591006"/>
    <x v="304"/>
    <x v="16"/>
    <d v="2023-01-01T00:00:00"/>
    <m/>
    <s v="Q2-2025"/>
    <d v="2025-07-10T00:00:00"/>
    <d v="2025-07-10T00:00:00"/>
    <n v="15"/>
    <n v="0"/>
    <n v="0"/>
    <x v="3"/>
    <x v="8"/>
    <s v="Birmingham"/>
    <s v="Non-Profit"/>
    <x v="2"/>
    <x v="14"/>
    <x v="3"/>
    <x v="360"/>
    <n v="546.83000000000004"/>
    <n v="400.84"/>
    <n v="7.8E-2"/>
    <n v="7.8E-2"/>
    <n v="0"/>
    <n v="13"/>
    <n v="4804.4682400000002"/>
    <n v="7108.7900000000009"/>
    <n v="-2304.3217600000007"/>
    <n v="-0.47962056254533608"/>
    <e v="#NUM!"/>
    <e v="#NUM!"/>
    <e v="#NUM!"/>
  </r>
  <r>
    <s v="ORD-2023-159821"/>
    <x v="305"/>
    <x v="24"/>
    <d v="2023-02-01T00:00:00"/>
    <m/>
    <s v="Q3-2023"/>
    <d v="2023-07-08T00:00:00"/>
    <d v="2023-07-08T00:00:00"/>
    <n v="7"/>
    <n v="1"/>
    <n v="1"/>
    <x v="0"/>
    <x v="1"/>
    <s v="Port Harcourt"/>
    <s v="Corporate"/>
    <x v="0"/>
    <x v="8"/>
    <x v="4"/>
    <x v="361"/>
    <n v="834.26"/>
    <n v="1780.56"/>
    <n v="1.4E-2"/>
    <n v="1.4E-2"/>
    <n v="0"/>
    <n v="47"/>
    <n v="82514.711519999997"/>
    <n v="39210.22"/>
    <n v="43304.491519999996"/>
    <n v="0.5248093427497933"/>
    <e v="#NUM!"/>
    <e v="#NUM!"/>
    <e v="#NUM!"/>
  </r>
  <r>
    <s v="ORD-2024-343877"/>
    <x v="306"/>
    <x v="0"/>
    <d v="2023-01-01T00:00:00"/>
    <m/>
    <s v="Q1-2024"/>
    <d v="2024-03-26T00:00:00"/>
    <d v="2024-03-26T00:00:00"/>
    <n v="17"/>
    <n v="0"/>
    <n v="0"/>
    <x v="1"/>
    <x v="9"/>
    <s v="Shenzhen"/>
    <s v="Enterprise"/>
    <x v="1"/>
    <x v="11"/>
    <x v="5"/>
    <x v="362"/>
    <n v="1029.67"/>
    <n v="1118.43"/>
    <n v="0.27200000000000002"/>
    <n v="0.27200000000000002"/>
    <n v="1"/>
    <n v="9"/>
    <n v="7327.9533600000004"/>
    <n v="9267.0300000000007"/>
    <n v="-1939.0766400000002"/>
    <n v="-0.26461367106736061"/>
    <e v="#NUM!"/>
    <e v="#NUM!"/>
    <e v="#NUM!"/>
  </r>
  <r>
    <s v="ORD-2023-386663"/>
    <x v="307"/>
    <x v="23"/>
    <d v="2023-01-01T00:00:00"/>
    <m/>
    <s v="Q2-2023"/>
    <d v="2023-06-28T00:00:00"/>
    <d v="2023-06-28T00:00:00"/>
    <n v="23"/>
    <n v="0"/>
    <n v="0"/>
    <x v="3"/>
    <x v="8"/>
    <s v="Birmingham"/>
    <s v="Corporate"/>
    <x v="4"/>
    <x v="11"/>
    <x v="1"/>
    <x v="363"/>
    <n v="605.82000000000005"/>
    <n v="771.12"/>
    <n v="0.13200000000000001"/>
    <n v="0.13200000000000001"/>
    <n v="0"/>
    <n v="19"/>
    <n v="12717.311040000001"/>
    <n v="11510.580000000002"/>
    <n v="1206.7310399999988"/>
    <n v="9.4888851597986767E-2"/>
    <e v="#NUM!"/>
    <e v="#NUM!"/>
    <e v="#NUM!"/>
  </r>
  <r>
    <s v="ORD-2025-125517"/>
    <x v="308"/>
    <x v="3"/>
    <d v="2023-03-01T00:00:00"/>
    <m/>
    <s v="Q1-2025"/>
    <d v="2025-04-09T00:00:00"/>
    <d v="2025-04-09T00:00:00"/>
    <n v="19"/>
    <n v="0"/>
    <n v="0"/>
    <x v="1"/>
    <x v="2"/>
    <s v="Tokyo"/>
    <s v="Small Business"/>
    <x v="3"/>
    <x v="6"/>
    <x v="0"/>
    <x v="364"/>
    <n v="1055.45"/>
    <n v="1210.04"/>
    <n v="8.9999999999999993E-3"/>
    <n v="8.9999999999999993E-3"/>
    <n v="0"/>
    <n v="18"/>
    <n v="21584.693520000001"/>
    <n v="18998.100000000002"/>
    <n v="2586.5935199999985"/>
    <n v="0.1198346188053727"/>
    <e v="#NUM!"/>
    <e v="#NUM!"/>
    <e v="#NUM!"/>
  </r>
  <r>
    <s v="ORD-2024-819778"/>
    <x v="101"/>
    <x v="17"/>
    <d v="2023-02-01T00:00:00"/>
    <m/>
    <s v="Q2-2024"/>
    <d v="2024-06-15T00:00:00"/>
    <d v="2024-06-15T00:00:00"/>
    <n v="13"/>
    <n v="0"/>
    <n v="0"/>
    <x v="0"/>
    <x v="0"/>
    <s v="Mombasa"/>
    <s v="Education"/>
    <x v="1"/>
    <x v="7"/>
    <x v="3"/>
    <x v="365"/>
    <n v="1295.18"/>
    <n v="3024.03"/>
    <n v="0.192"/>
    <n v="0.192"/>
    <n v="0"/>
    <n v="8"/>
    <n v="19547.329920000004"/>
    <n v="10361.44"/>
    <n v="9185.8899200000033"/>
    <n v="0.46993067378483178"/>
    <e v="#NUM!"/>
    <e v="#NUM!"/>
    <e v="#NUM!"/>
  </r>
  <r>
    <s v="ORD-2025-624006"/>
    <x v="309"/>
    <x v="3"/>
    <d v="2023-05-01T00:00:00"/>
    <m/>
    <s v="Q1-2025"/>
    <d v="2025-03-29T00:00:00"/>
    <d v="2025-03-29T00:00:00"/>
    <n v="14"/>
    <n v="0"/>
    <n v="0"/>
    <x v="1"/>
    <x v="4"/>
    <s v="Mumbai"/>
    <s v="Enterprise"/>
    <x v="4"/>
    <x v="0"/>
    <x v="0"/>
    <x v="366"/>
    <n v="935.83"/>
    <n v="2303.46"/>
    <n v="0.105"/>
    <n v="0.105"/>
    <n v="0"/>
    <n v="9"/>
    <n v="18554.370299999999"/>
    <n v="8422.4700000000012"/>
    <n v="10131.900299999998"/>
    <n v="0.54606543559174292"/>
    <e v="#NUM!"/>
    <e v="#NUM!"/>
    <e v="#NUM!"/>
  </r>
  <r>
    <s v="ORD-2023-132101"/>
    <x v="198"/>
    <x v="27"/>
    <d v="2023-02-01T00:00:00"/>
    <m/>
    <s v="Q3-2023"/>
    <d v="2023-10-09T00:00:00"/>
    <d v="2023-10-09T00:00:00"/>
    <n v="14"/>
    <n v="0"/>
    <n v="0"/>
    <x v="2"/>
    <x v="10"/>
    <s v="New York"/>
    <s v="Small Business"/>
    <x v="2"/>
    <x v="1"/>
    <x v="4"/>
    <x v="367"/>
    <n v="1279.56"/>
    <n v="3083.8"/>
    <n v="0.106"/>
    <n v="0.106"/>
    <n v="0"/>
    <n v="5"/>
    <n v="13784.586000000001"/>
    <n v="6397.7999999999993"/>
    <n v="7386.7860000000019"/>
    <n v="0.53587289455047848"/>
    <e v="#NUM!"/>
    <e v="#NUM!"/>
    <e v="#NUM!"/>
  </r>
  <r>
    <s v="ORD-2025-306903"/>
    <x v="35"/>
    <x v="16"/>
    <d v="2023-04-01T00:00:00"/>
    <m/>
    <s v="Q2-2025"/>
    <d v="2025-07-23T00:00:00"/>
    <d v="2025-07-23T00:00:00"/>
    <n v="29"/>
    <n v="0"/>
    <n v="0"/>
    <x v="2"/>
    <x v="3"/>
    <s v="Vancouver"/>
    <s v="Non-Profit"/>
    <x v="2"/>
    <x v="2"/>
    <x v="1"/>
    <x v="368"/>
    <n v="255.4"/>
    <n v="322.70999999999998"/>
    <n v="0.115"/>
    <n v="0.115"/>
    <n v="0"/>
    <n v="16"/>
    <n v="4569.5735999999997"/>
    <n v="4086.4"/>
    <n v="483.17359999999962"/>
    <n v="0.10573713048412212"/>
    <e v="#NUM!"/>
    <e v="#NUM!"/>
    <e v="#NUM!"/>
  </r>
  <r>
    <s v="ORD-2023-813340"/>
    <x v="310"/>
    <x v="4"/>
    <d v="2023-04-01T00:00:00"/>
    <m/>
    <s v="Q4-2023"/>
    <d v="2024-01-03T00:00:00"/>
    <d v="2024-01-03T00:00:00"/>
    <n v="8"/>
    <n v="0"/>
    <n v="0"/>
    <x v="3"/>
    <x v="7"/>
    <s v="Lyon"/>
    <s v="Small Business"/>
    <x v="0"/>
    <x v="12"/>
    <x v="4"/>
    <x v="369"/>
    <n v="492.75"/>
    <n v="731.29"/>
    <n v="5.8000000000000003E-2"/>
    <n v="5.8000000000000003E-2"/>
    <n v="0"/>
    <n v="6"/>
    <n v="4133.25108"/>
    <n v="2956.5"/>
    <n v="1176.75108"/>
    <n v="0.28470350753528384"/>
    <e v="#NUM!"/>
    <e v="#NUM!"/>
    <e v="#NUM!"/>
  </r>
  <r>
    <s v="ORD-2023-855675"/>
    <x v="311"/>
    <x v="2"/>
    <d v="2023-02-01T00:00:00"/>
    <m/>
    <s v="Q1-2023"/>
    <d v="2023-02-28T00:00:00"/>
    <d v="2023-02-28T00:00:00"/>
    <n v="23"/>
    <n v="0"/>
    <n v="0"/>
    <x v="2"/>
    <x v="10"/>
    <s v="Austin"/>
    <s v="Non-Profit"/>
    <x v="3"/>
    <x v="4"/>
    <x v="3"/>
    <x v="370"/>
    <n v="1214.49"/>
    <n v="1533.95"/>
    <n v="0"/>
    <n v="0"/>
    <n v="0"/>
    <n v="11"/>
    <n v="16873.45"/>
    <n v="13359.39"/>
    <n v="3514.0600000000013"/>
    <n v="0.20825972163369086"/>
    <e v="#NUM!"/>
    <e v="#NUM!"/>
    <e v="#NUM!"/>
  </r>
  <r>
    <s v="ORD-2023-545150"/>
    <x v="89"/>
    <x v="12"/>
    <d v="2023-02-01T00:00:00"/>
    <m/>
    <s v="Q2-2023"/>
    <d v="2023-04-08T00:00:00"/>
    <d v="2023-04-08T00:00:00"/>
    <n v="2"/>
    <n v="1"/>
    <n v="1"/>
    <x v="0"/>
    <x v="1"/>
    <s v="Abuja"/>
    <s v="Small Business"/>
    <x v="2"/>
    <x v="11"/>
    <x v="5"/>
    <x v="371"/>
    <n v="720.35"/>
    <n v="1571.66"/>
    <n v="0.107"/>
    <n v="0.107"/>
    <n v="0"/>
    <n v="23"/>
    <n v="32280.32474"/>
    <n v="16568.05"/>
    <n v="15712.274740000001"/>
    <n v="0.4867446305622265"/>
    <e v="#NUM!"/>
    <e v="#NUM!"/>
    <e v="#NUM!"/>
  </r>
  <r>
    <s v="ORD-2025-269934"/>
    <x v="253"/>
    <x v="19"/>
    <d v="2023-01-01T00:00:00"/>
    <m/>
    <s v="Q2-2025"/>
    <d v="2025-04-10T00:00:00"/>
    <d v="2025-04-10T00:00:00"/>
    <n v="6"/>
    <n v="1"/>
    <n v="1"/>
    <x v="3"/>
    <x v="8"/>
    <s v="Birmingham"/>
    <s v="Non-Profit"/>
    <x v="4"/>
    <x v="13"/>
    <x v="1"/>
    <x v="372"/>
    <n v="290.14"/>
    <n v="250.73"/>
    <n v="3.4000000000000002E-2"/>
    <n v="3.4000000000000002E-2"/>
    <n v="0"/>
    <n v="17"/>
    <n v="4117.4880599999997"/>
    <n v="4932.38"/>
    <n v="-814.89194000000043"/>
    <n v="-0.19790997038131072"/>
    <e v="#NUM!"/>
    <e v="#NUM!"/>
    <e v="#NUM!"/>
  </r>
  <r>
    <s v="ORD-2024-690270"/>
    <x v="312"/>
    <x v="7"/>
    <d v="2023-02-01T00:00:00"/>
    <m/>
    <s v="Q2-2024"/>
    <d v="2024-05-27T00:00:00"/>
    <d v="2024-05-27T00:00:00"/>
    <n v="10"/>
    <n v="0"/>
    <n v="0"/>
    <x v="2"/>
    <x v="10"/>
    <s v="Austin"/>
    <s v="Non-Profit"/>
    <x v="1"/>
    <x v="0"/>
    <x v="3"/>
    <x v="373"/>
    <n v="1484.23"/>
    <n v="3472.81"/>
    <n v="0.25600000000000001"/>
    <n v="0.25600000000000001"/>
    <n v="1"/>
    <n v="12"/>
    <n v="31005.24768"/>
    <n v="17810.760000000002"/>
    <n v="13194.487679999998"/>
    <n v="0.42555659661803413"/>
    <e v="#NUM!"/>
    <e v="#NUM!"/>
    <e v="#NUM!"/>
  </r>
  <r>
    <s v="ORD-2024-868223"/>
    <x v="313"/>
    <x v="0"/>
    <d v="2023-01-01T00:00:00"/>
    <m/>
    <s v="Q1-2024"/>
    <d v="2024-03-19T00:00:00"/>
    <d v="2024-03-19T00:00:00"/>
    <n v="16"/>
    <n v="0"/>
    <n v="0"/>
    <x v="1"/>
    <x v="9"/>
    <s v="Beijing"/>
    <s v="Consumer"/>
    <x v="3"/>
    <x v="3"/>
    <x v="3"/>
    <x v="374"/>
    <n v="988.83"/>
    <n v="1206.04"/>
    <n v="6.3E-2"/>
    <n v="6.3E-2"/>
    <n v="0"/>
    <n v="34"/>
    <n v="38422.022320000004"/>
    <n v="33620.22"/>
    <n v="4801.8023200000025"/>
    <n v="0.12497526236406606"/>
    <e v="#NUM!"/>
    <e v="#NUM!"/>
    <e v="#NUM!"/>
  </r>
  <r>
    <s v="ORD-2025-188059"/>
    <x v="231"/>
    <x v="16"/>
    <d v="2023-01-01T00:00:00"/>
    <m/>
    <s v="Q2-2025"/>
    <d v="2025-07-11T00:00:00"/>
    <d v="2025-07-11T00:00:00"/>
    <n v="14"/>
    <n v="0"/>
    <n v="0"/>
    <x v="1"/>
    <x v="9"/>
    <s v="Shanghai"/>
    <s v="Small Business"/>
    <x v="2"/>
    <x v="4"/>
    <x v="2"/>
    <x v="375"/>
    <n v="1227.7"/>
    <n v="2197.23"/>
    <n v="9.9000000000000005E-2"/>
    <n v="9.9000000000000005E-2"/>
    <n v="0"/>
    <n v="22"/>
    <n v="43553.493060000001"/>
    <n v="27009.4"/>
    <n v="16544.093059999999"/>
    <n v="0.37985685871873898"/>
    <e v="#NUM!"/>
    <e v="#NUM!"/>
    <e v="#NUM!"/>
  </r>
  <r>
    <s v="ORD-2023-281890"/>
    <x v="314"/>
    <x v="22"/>
    <d v="2023-01-01T00:00:00"/>
    <m/>
    <s v="Q1-2023"/>
    <d v="2023-04-04T00:00:00"/>
    <d v="2023-04-04T00:00:00"/>
    <n v="22"/>
    <n v="0"/>
    <n v="0"/>
    <x v="0"/>
    <x v="11"/>
    <s v="Durban"/>
    <s v="Small Business"/>
    <x v="0"/>
    <x v="8"/>
    <x v="0"/>
    <x v="376"/>
    <n v="1113.7"/>
    <n v="1620.6"/>
    <n v="0.13900000000000001"/>
    <n v="0.13900000000000001"/>
    <n v="0"/>
    <n v="11"/>
    <n v="15348.702599999999"/>
    <n v="12250.7"/>
    <n v="3098.002599999998"/>
    <n v="0.20184133348182787"/>
    <e v="#NUM!"/>
    <e v="#NUM!"/>
    <e v="#NUM!"/>
  </r>
  <r>
    <s v="ORD-2025-636162"/>
    <x v="315"/>
    <x v="10"/>
    <d v="2023-01-01T00:00:00"/>
    <m/>
    <s v="Q1-2025"/>
    <d v="2025-01-20T00:00:00"/>
    <d v="2025-01-20T00:00:00"/>
    <n v="13"/>
    <n v="0"/>
    <n v="0"/>
    <x v="0"/>
    <x v="11"/>
    <s v="Cape Town"/>
    <s v="Corporate"/>
    <x v="4"/>
    <x v="11"/>
    <x v="2"/>
    <x v="377"/>
    <n v="432.13"/>
    <n v="1034.6600000000001"/>
    <n v="9.1999999999999998E-2"/>
    <n v="9.1999999999999998E-2"/>
    <n v="0"/>
    <n v="7"/>
    <n v="6576.298960000001"/>
    <n v="3024.91"/>
    <n v="3551.3889600000011"/>
    <n v="0.54002851476204794"/>
    <e v="#NUM!"/>
    <e v="#NUM!"/>
    <e v="#NUM!"/>
  </r>
  <r>
    <s v="ORD-2025-915869"/>
    <x v="316"/>
    <x v="26"/>
    <d v="2023-01-01T00:00:00"/>
    <m/>
    <s v="Q1-2025"/>
    <d v="2025-02-15T00:00:00"/>
    <d v="2025-02-15T00:00:00"/>
    <n v="9"/>
    <n v="0"/>
    <n v="0"/>
    <x v="2"/>
    <x v="5"/>
    <s v="São Paulo"/>
    <s v="Non-Profit"/>
    <x v="3"/>
    <x v="9"/>
    <x v="2"/>
    <x v="378"/>
    <n v="837.39"/>
    <n v="1905.42"/>
    <n v="3.2000000000000001E-2"/>
    <n v="3.2000000000000001E-2"/>
    <n v="0"/>
    <n v="18"/>
    <n v="33200.038079999998"/>
    <n v="15073.02"/>
    <n v="18127.018079999998"/>
    <n v="0.54599389423350919"/>
    <e v="#NUM!"/>
    <e v="#NUM!"/>
    <e v="#NUM!"/>
  </r>
  <r>
    <s v="ORD-2025-192876"/>
    <x v="317"/>
    <x v="10"/>
    <d v="2023-01-01T00:00:00"/>
    <m/>
    <s v="Q1-2025"/>
    <d v="2025-02-17T00:00:00"/>
    <d v="2025-02-17T00:00:00"/>
    <n v="17"/>
    <n v="0"/>
    <n v="0"/>
    <x v="3"/>
    <x v="8"/>
    <s v="London"/>
    <s v="Enterprise"/>
    <x v="0"/>
    <x v="10"/>
    <x v="0"/>
    <x v="78"/>
    <n v="378.26"/>
    <n v="541.55999999999995"/>
    <n v="0.16300000000000001"/>
    <n v="0.16300000000000001"/>
    <n v="0"/>
    <n v="25"/>
    <n v="11332.142999999998"/>
    <n v="9456.5"/>
    <n v="1875.6429999999982"/>
    <n v="0.16551529573885526"/>
    <e v="#NUM!"/>
    <e v="#NUM!"/>
    <e v="#NUM!"/>
  </r>
  <r>
    <s v="ORD-2025-822030"/>
    <x v="83"/>
    <x v="28"/>
    <d v="2023-04-01T00:00:00"/>
    <m/>
    <s v="Q3-2025"/>
    <d v="2025-09-06T00:00:00"/>
    <d v="2025-09-06T00:00:00"/>
    <n v="30"/>
    <n v="0"/>
    <n v="0"/>
    <x v="2"/>
    <x v="3"/>
    <s v="Montreal"/>
    <s v="Education"/>
    <x v="4"/>
    <x v="12"/>
    <x v="2"/>
    <x v="379"/>
    <n v="833.73"/>
    <n v="1116.5999999999999"/>
    <n v="0.17599999999999999"/>
    <n v="0.17599999999999999"/>
    <n v="0"/>
    <n v="14"/>
    <n v="12881.097599999999"/>
    <n v="11672.220000000001"/>
    <n v="1208.877599999998"/>
    <n v="9.3848958958279924E-2"/>
    <e v="#NUM!"/>
    <e v="#NUM!"/>
    <e v="#NUM!"/>
  </r>
  <r>
    <s v="ORD-2025-789245"/>
    <x v="318"/>
    <x v="13"/>
    <d v="2023-01-01T00:00:00"/>
    <m/>
    <s v="Q3-2025"/>
    <d v="2025-08-17T00:00:00"/>
    <d v="2025-08-17T00:00:00"/>
    <n v="25"/>
    <n v="0"/>
    <n v="0"/>
    <x v="3"/>
    <x v="8"/>
    <s v="Birmingham"/>
    <s v="Education"/>
    <x v="1"/>
    <x v="2"/>
    <x v="1"/>
    <x v="380"/>
    <n v="1142.06"/>
    <n v="1455"/>
    <n v="7.8E-2"/>
    <n v="7.8E-2"/>
    <n v="0"/>
    <n v="28"/>
    <n v="37562.28"/>
    <n v="31977.68"/>
    <n v="5584.5999999999985"/>
    <n v="0.1486757459877302"/>
    <e v="#NUM!"/>
    <e v="#NUM!"/>
    <e v="#NUM!"/>
  </r>
  <r>
    <s v="ORD-2023-594955"/>
    <x v="263"/>
    <x v="23"/>
    <d v="2023-02-01T00:00:00"/>
    <m/>
    <s v="Q2-2023"/>
    <d v="2023-07-08T00:00:00"/>
    <d v="2023-07-08T00:00:00"/>
    <n v="18"/>
    <n v="0"/>
    <n v="0"/>
    <x v="2"/>
    <x v="10"/>
    <s v="New York"/>
    <s v="Consumer"/>
    <x v="2"/>
    <x v="7"/>
    <x v="2"/>
    <x v="381"/>
    <n v="1145.53"/>
    <n v="1278.3"/>
    <n v="0.09"/>
    <n v="0.09"/>
    <n v="0"/>
    <n v="41"/>
    <n v="47693.373"/>
    <n v="46966.729999999996"/>
    <n v="726.64300000000367"/>
    <n v="1.5235722581416158E-2"/>
    <e v="#NUM!"/>
    <e v="#NUM!"/>
    <e v="#NUM!"/>
  </r>
  <r>
    <s v="ORD-2024-398783"/>
    <x v="319"/>
    <x v="14"/>
    <d v="2023-04-01T00:00:00"/>
    <m/>
    <s v="Q3-2024"/>
    <d v="2024-08-07T00:00:00"/>
    <d v="2024-08-07T00:00:00"/>
    <n v="20"/>
    <n v="0"/>
    <n v="0"/>
    <x v="3"/>
    <x v="7"/>
    <s v="Marseille"/>
    <s v="Corporate"/>
    <x v="0"/>
    <x v="9"/>
    <x v="5"/>
    <x v="382"/>
    <n v="941.35"/>
    <n v="899.83"/>
    <n v="5.8000000000000003E-2"/>
    <n v="5.8000000000000003E-2"/>
    <n v="0"/>
    <n v="18"/>
    <n v="15257.51748"/>
    <n v="16944.3"/>
    <n v="-1686.7825199999988"/>
    <n v="-0.11055419220139073"/>
    <e v="#NUM!"/>
    <e v="#NUM!"/>
    <e v="#NUM!"/>
  </r>
  <r>
    <s v="ORD-2023-676553"/>
    <x v="72"/>
    <x v="15"/>
    <d v="2023-05-01T00:00:00"/>
    <m/>
    <s v="Q2-2023"/>
    <d v="2023-06-19T00:00:00"/>
    <d v="2023-06-19T00:00:00"/>
    <n v="30"/>
    <n v="0"/>
    <n v="0"/>
    <x v="1"/>
    <x v="4"/>
    <s v="Delhi"/>
    <s v="Non-Profit"/>
    <x v="2"/>
    <x v="10"/>
    <x v="4"/>
    <x v="383"/>
    <n v="1161.2"/>
    <n v="878.73"/>
    <n v="0.19"/>
    <n v="0.19"/>
    <n v="0"/>
    <n v="31"/>
    <n v="22064.910300000003"/>
    <n v="35997.200000000004"/>
    <n v="-13932.289700000001"/>
    <n v="-0.63142290227212028"/>
    <e v="#NUM!"/>
    <e v="#NUM!"/>
    <e v="#NUM!"/>
  </r>
  <r>
    <s v="ORD-2025-866565"/>
    <x v="320"/>
    <x v="8"/>
    <d v="2023-05-01T00:00:00"/>
    <m/>
    <s v="Q2-2025"/>
    <d v="2025-05-26T00:00:00"/>
    <d v="2025-05-26T00:00:00"/>
    <n v="14"/>
    <n v="0"/>
    <n v="0"/>
    <x v="1"/>
    <x v="4"/>
    <s v="Hyderabad"/>
    <s v="Corporate"/>
    <x v="2"/>
    <x v="3"/>
    <x v="1"/>
    <x v="384"/>
    <n v="320.12"/>
    <n v="594.41999999999996"/>
    <n v="0.104"/>
    <n v="0.104"/>
    <n v="0"/>
    <n v="18"/>
    <n v="9586.8057599999993"/>
    <n v="5762.16"/>
    <n v="3824.6457599999994"/>
    <n v="0.39894891538931104"/>
    <e v="#NUM!"/>
    <e v="#NUM!"/>
    <e v="#NUM!"/>
  </r>
  <r>
    <s v="ORD-2024-527858"/>
    <x v="321"/>
    <x v="7"/>
    <d v="2023-02-01T00:00:00"/>
    <m/>
    <s v="Q2-2024"/>
    <d v="2024-05-12T00:00:00"/>
    <d v="2024-05-12T00:00:00"/>
    <n v="5"/>
    <n v="1"/>
    <n v="1"/>
    <x v="0"/>
    <x v="1"/>
    <s v="Abuja"/>
    <s v="Non-Profit"/>
    <x v="3"/>
    <x v="4"/>
    <x v="4"/>
    <x v="385"/>
    <n v="1163.99"/>
    <n v="1617.85"/>
    <n v="0.127"/>
    <n v="0.127"/>
    <n v="0"/>
    <n v="14"/>
    <n v="19773.362699999998"/>
    <n v="16295.86"/>
    <n v="3477.5026999999973"/>
    <n v="0.17586804797749436"/>
    <e v="#NUM!"/>
    <e v="#NUM!"/>
    <e v="#NUM!"/>
  </r>
  <r>
    <s v="ORD-2023-619385"/>
    <x v="322"/>
    <x v="27"/>
    <d v="2023-01-01T00:00:00"/>
    <m/>
    <s v="Q3-2023"/>
    <d v="2023-10-03T00:00:00"/>
    <d v="2023-10-03T00:00:00"/>
    <n v="3"/>
    <n v="1"/>
    <n v="1"/>
    <x v="1"/>
    <x v="9"/>
    <s v="Beijing"/>
    <s v="Non-Profit"/>
    <x v="0"/>
    <x v="1"/>
    <x v="4"/>
    <x v="386"/>
    <n v="1019.36"/>
    <n v="972.91"/>
    <n v="0.14699999999999999"/>
    <n v="0.14699999999999999"/>
    <n v="0"/>
    <n v="17"/>
    <n v="14108.16791"/>
    <n v="17329.12"/>
    <n v="-3220.9520899999989"/>
    <n v="-0.22830406545678819"/>
    <e v="#NUM!"/>
    <e v="#NUM!"/>
    <e v="#NUM!"/>
  </r>
  <r>
    <s v="ORD-2023-835226"/>
    <x v="323"/>
    <x v="32"/>
    <d v="2023-01-01T00:00:00"/>
    <m/>
    <s v="Q4-2023"/>
    <d v="2023-11-05T00:00:00"/>
    <d v="2023-11-05T00:00:00"/>
    <n v="10"/>
    <n v="0"/>
    <n v="0"/>
    <x v="0"/>
    <x v="11"/>
    <s v="Cape Town"/>
    <s v="Non-Profit"/>
    <x v="1"/>
    <x v="2"/>
    <x v="4"/>
    <x v="387"/>
    <n v="20.38"/>
    <n v="42.56"/>
    <n v="7.1999999999999995E-2"/>
    <n v="7.1999999999999995E-2"/>
    <n v="0"/>
    <n v="11"/>
    <n v="434.45248000000004"/>
    <n v="224.17999999999998"/>
    <n v="210.27248000000006"/>
    <n v="0.48399419885921713"/>
    <e v="#NUM!"/>
    <e v="#NUM!"/>
    <e v="#NUM!"/>
  </r>
  <r>
    <s v="ORD-2025-485946"/>
    <x v="324"/>
    <x v="16"/>
    <d v="2023-01-01T00:00:00"/>
    <m/>
    <s v="Q2-2025"/>
    <d v="2025-06-30T00:00:00"/>
    <d v="2025-06-30T00:00:00"/>
    <n v="15"/>
    <n v="0"/>
    <n v="0"/>
    <x v="0"/>
    <x v="11"/>
    <s v="Johannesburg"/>
    <s v="Small Business"/>
    <x v="4"/>
    <x v="0"/>
    <x v="5"/>
    <x v="388"/>
    <n v="1487.59"/>
    <n v="1480.83"/>
    <n v="8.9999999999999993E-3"/>
    <n v="8.9999999999999993E-3"/>
    <n v="0"/>
    <n v="11"/>
    <n v="16142.527829999999"/>
    <n v="16363.49"/>
    <n v="-220.9621700000007"/>
    <n v="-1.3688201273492908E-2"/>
    <e v="#NUM!"/>
    <e v="#NUM!"/>
    <e v="#NUM!"/>
  </r>
  <r>
    <s v="ORD-2024-307849"/>
    <x v="325"/>
    <x v="21"/>
    <d v="2023-04-01T00:00:00"/>
    <m/>
    <s v="Q3-2024"/>
    <d v="2024-09-07T00:00:00"/>
    <d v="2024-09-07T00:00:00"/>
    <n v="28"/>
    <n v="0"/>
    <n v="0"/>
    <x v="3"/>
    <x v="7"/>
    <s v="Marseille"/>
    <s v="Non-Profit"/>
    <x v="4"/>
    <x v="9"/>
    <x v="1"/>
    <x v="389"/>
    <n v="229.96"/>
    <n v="564.26"/>
    <n v="0.105"/>
    <n v="0.105"/>
    <n v="0"/>
    <n v="5"/>
    <n v="2525.0635000000002"/>
    <n v="1149.8"/>
    <n v="1375.2635000000002"/>
    <n v="0.54464511486542821"/>
    <e v="#NUM!"/>
    <e v="#NUM!"/>
    <e v="#NUM!"/>
  </r>
  <r>
    <s v="ORD-2023-368449"/>
    <x v="326"/>
    <x v="32"/>
    <d v="2023-01-01T00:00:00"/>
    <m/>
    <s v="Q4-2023"/>
    <d v="2023-10-26T00:00:00"/>
    <d v="2023-10-26T00:00:00"/>
    <n v="17"/>
    <n v="0"/>
    <n v="0"/>
    <x v="1"/>
    <x v="9"/>
    <s v="Shanghai"/>
    <s v="Consumer"/>
    <x v="2"/>
    <x v="0"/>
    <x v="0"/>
    <x v="390"/>
    <n v="1132.03"/>
    <n v="2137.21"/>
    <n v="0.3"/>
    <n v="0.35699999999999998"/>
    <n v="1"/>
    <n v="35"/>
    <n v="52361.645000000004"/>
    <n v="39621.049999999996"/>
    <n v="12740.595000000008"/>
    <n v="0.24331922727026639"/>
    <e v="#NUM!"/>
    <e v="#NUM!"/>
    <e v="#NUM!"/>
  </r>
  <r>
    <s v="ORD-2024-251426"/>
    <x v="306"/>
    <x v="0"/>
    <d v="2023-02-01T00:00:00"/>
    <m/>
    <s v="Q1-2024"/>
    <d v="2024-03-26T00:00:00"/>
    <d v="2024-03-26T00:00:00"/>
    <n v="17"/>
    <n v="0"/>
    <n v="0"/>
    <x v="2"/>
    <x v="10"/>
    <s v="San Francisco"/>
    <s v="Education"/>
    <x v="4"/>
    <x v="2"/>
    <x v="3"/>
    <x v="391"/>
    <n v="1137.4100000000001"/>
    <n v="1680.93"/>
    <n v="0.254"/>
    <n v="0.254"/>
    <n v="1"/>
    <n v="9"/>
    <n v="11285.764020000001"/>
    <n v="10236.69"/>
    <n v="1049.07402"/>
    <n v="9.2955516183121464E-2"/>
    <e v="#NUM!"/>
    <e v="#NUM!"/>
    <e v="#NUM!"/>
  </r>
  <r>
    <s v="ORD-2023-927385"/>
    <x v="327"/>
    <x v="15"/>
    <d v="2023-01-01T00:00:00"/>
    <m/>
    <s v="Q2-2023"/>
    <d v="2023-06-20T00:00:00"/>
    <d v="2023-06-20T00:00:00"/>
    <n v="22"/>
    <n v="0"/>
    <n v="0"/>
    <x v="3"/>
    <x v="8"/>
    <s v="London"/>
    <s v="Small Business"/>
    <x v="4"/>
    <x v="11"/>
    <x v="0"/>
    <x v="392"/>
    <n v="1295.3900000000001"/>
    <n v="2905.06"/>
    <n v="0.14799999999999999"/>
    <n v="0.14799999999999999"/>
    <n v="0"/>
    <n v="8"/>
    <n v="19800.88896"/>
    <n v="10363.120000000001"/>
    <n v="9437.7689599999994"/>
    <n v="0.47663359857556614"/>
    <e v="#NUM!"/>
    <e v="#NUM!"/>
    <e v="#NUM!"/>
  </r>
  <r>
    <s v="ORD-2025-486350"/>
    <x v="328"/>
    <x v="8"/>
    <d v="2023-03-01T00:00:00"/>
    <m/>
    <s v="Q2-2025"/>
    <d v="2025-06-08T00:00:00"/>
    <d v="2025-06-08T00:00:00"/>
    <n v="12"/>
    <n v="0"/>
    <n v="0"/>
    <x v="1"/>
    <x v="2"/>
    <s v="Osaka"/>
    <s v="Corporate"/>
    <x v="0"/>
    <x v="10"/>
    <x v="6"/>
    <x v="393"/>
    <n v="653.6"/>
    <n v="842.09"/>
    <n v="9.8000000000000004E-2"/>
    <n v="9.8000000000000004E-2"/>
    <n v="0"/>
    <n v="19"/>
    <n v="14431.738420000001"/>
    <n v="12418.4"/>
    <n v="2013.3384200000019"/>
    <n v="0.13950768517324622"/>
    <e v="#NUM!"/>
    <e v="#NUM!"/>
    <e v="#NUM!"/>
  </r>
  <r>
    <s v="ORD-2025-677880"/>
    <x v="164"/>
    <x v="28"/>
    <d v="2023-01-01T00:00:00"/>
    <m/>
    <s v="Q3-2025"/>
    <d v="2025-09-14T00:00:00"/>
    <d v="2025-09-14T00:00:00"/>
    <n v="24"/>
    <n v="0"/>
    <n v="0"/>
    <x v="3"/>
    <x v="6"/>
    <s v="Berlin"/>
    <s v="Non-Profit"/>
    <x v="1"/>
    <x v="8"/>
    <x v="5"/>
    <x v="394"/>
    <n v="1397.67"/>
    <n v="3131.37"/>
    <n v="0.10299999999999999"/>
    <n v="0.10299999999999999"/>
    <n v="0"/>
    <n v="20"/>
    <n v="56176.777799999996"/>
    <n v="27953.4"/>
    <n v="28223.377799999995"/>
    <n v="0.50240293062874808"/>
    <e v="#NUM!"/>
    <e v="#NUM!"/>
    <e v="#NUM!"/>
  </r>
  <r>
    <s v="ORD-2024-102866"/>
    <x v="329"/>
    <x v="6"/>
    <d v="2023-03-01T00:00:00"/>
    <m/>
    <s v="Q4-2024"/>
    <d v="2024-12-20T00:00:00"/>
    <d v="2024-12-20T00:00:00"/>
    <n v="8"/>
    <n v="0"/>
    <n v="0"/>
    <x v="1"/>
    <x v="2"/>
    <s v="Tokyo"/>
    <s v="Corporate"/>
    <x v="0"/>
    <x v="5"/>
    <x v="4"/>
    <x v="395"/>
    <n v="1202.47"/>
    <n v="1444.72"/>
    <n v="0.24099999999999999"/>
    <n v="0.24099999999999999"/>
    <n v="1"/>
    <n v="17"/>
    <n v="18641.222160000001"/>
    <n v="20441.990000000002"/>
    <n v="-1800.7678400000004"/>
    <n v="-9.6601382921343834E-2"/>
    <e v="#NUM!"/>
    <e v="#NUM!"/>
    <e v="#NUM!"/>
  </r>
  <r>
    <s v="ORD-2025-588029"/>
    <x v="283"/>
    <x v="11"/>
    <d v="2023-01-01T00:00:00"/>
    <m/>
    <s v="Q3-2025"/>
    <d v="2025-09-23T00:00:00"/>
    <d v="2025-09-23T00:00:00"/>
    <n v="9"/>
    <n v="0"/>
    <n v="0"/>
    <x v="0"/>
    <x v="11"/>
    <s v="Durban"/>
    <s v="Non-Profit"/>
    <x v="1"/>
    <x v="14"/>
    <x v="0"/>
    <x v="396"/>
    <n v="1310.3"/>
    <n v="2875.8"/>
    <n v="8.3000000000000004E-2"/>
    <n v="8.3000000000000004E-2"/>
    <n v="0"/>
    <n v="5"/>
    <n v="13185.543"/>
    <n v="6551.5"/>
    <n v="6634.0429999999997"/>
    <n v="0.50313005691157353"/>
    <e v="#NUM!"/>
    <e v="#NUM!"/>
    <e v="#NUM!"/>
  </r>
  <r>
    <s v="ORD-2024-972999"/>
    <x v="330"/>
    <x v="29"/>
    <d v="2023-01-01T00:00:00"/>
    <m/>
    <s v="Q3-2024"/>
    <d v="2024-10-04T00:00:00"/>
    <d v="2024-10-04T00:00:00"/>
    <n v="28"/>
    <n v="0"/>
    <n v="0"/>
    <x v="0"/>
    <x v="11"/>
    <s v="Cape Town"/>
    <s v="Corporate"/>
    <x v="2"/>
    <x v="14"/>
    <x v="5"/>
    <x v="397"/>
    <n v="1174.17"/>
    <n v="1641.61"/>
    <n v="0.122"/>
    <n v="0.122"/>
    <n v="0"/>
    <n v="9"/>
    <n v="12972.00222"/>
    <n v="10567.53"/>
    <n v="2404.4722199999997"/>
    <n v="0.18535860380079394"/>
    <e v="#NUM!"/>
    <e v="#NUM!"/>
    <e v="#NUM!"/>
  </r>
  <r>
    <s v="ORD-2025-608069"/>
    <x v="331"/>
    <x v="19"/>
    <d v="2023-02-01T00:00:00"/>
    <m/>
    <s v="Q2-2025"/>
    <d v="2025-04-30T00:00:00"/>
    <d v="2025-04-30T00:00:00"/>
    <n v="18"/>
    <n v="0"/>
    <n v="0"/>
    <x v="0"/>
    <x v="0"/>
    <s v="Kisumu"/>
    <s v="Corporate"/>
    <x v="2"/>
    <x v="9"/>
    <x v="2"/>
    <x v="398"/>
    <n v="1119.04"/>
    <n v="1299.02"/>
    <n v="2.5000000000000001E-2"/>
    <n v="2.5000000000000001E-2"/>
    <n v="0"/>
    <n v="14"/>
    <n v="17731.623"/>
    <n v="15666.56"/>
    <n v="2065.0630000000001"/>
    <n v="0.11646215352085933"/>
    <e v="#NUM!"/>
    <e v="#NUM!"/>
    <e v="#NUM!"/>
  </r>
  <r>
    <s v="ORD-2024-626750"/>
    <x v="174"/>
    <x v="21"/>
    <d v="2023-02-01T00:00:00"/>
    <m/>
    <s v="Q3-2024"/>
    <d v="2024-08-15T00:00:00"/>
    <d v="2024-08-15T00:00:00"/>
    <n v="3"/>
    <n v="1"/>
    <n v="1"/>
    <x v="2"/>
    <x v="10"/>
    <s v="Chicago"/>
    <s v="Corporate"/>
    <x v="2"/>
    <x v="14"/>
    <x v="1"/>
    <x v="399"/>
    <n v="850.7"/>
    <n v="1118.56"/>
    <n v="0.18"/>
    <n v="0.18"/>
    <n v="0"/>
    <n v="19"/>
    <n v="17427.164800000002"/>
    <n v="16163.300000000001"/>
    <n v="1263.8648000000012"/>
    <n v="7.2522685962090688E-2"/>
    <e v="#NUM!"/>
    <e v="#NUM!"/>
    <e v="#NUM!"/>
  </r>
  <r>
    <s v="ORD-2024-170021"/>
    <x v="332"/>
    <x v="18"/>
    <d v="2023-04-01T00:00:00"/>
    <m/>
    <s v="Q4-2024"/>
    <d v="2024-11-08T00:00:00"/>
    <d v="2024-11-08T00:00:00"/>
    <n v="3"/>
    <n v="1"/>
    <n v="1"/>
    <x v="2"/>
    <x v="3"/>
    <s v="Toronto"/>
    <s v="Education"/>
    <x v="2"/>
    <x v="7"/>
    <x v="0"/>
    <x v="400"/>
    <n v="1020.4"/>
    <n v="1184.71"/>
    <n v="0.106"/>
    <n v="0.106"/>
    <n v="0"/>
    <n v="16"/>
    <n v="16946.091840000001"/>
    <n v="16326.4"/>
    <n v="619.69184000000132"/>
    <n v="3.6568422138328345E-2"/>
    <e v="#NUM!"/>
    <e v="#NUM!"/>
    <e v="#NUM!"/>
  </r>
  <r>
    <s v="ORD-2024-678110"/>
    <x v="333"/>
    <x v="14"/>
    <d v="2023-04-01T00:00:00"/>
    <m/>
    <s v="Q3-2024"/>
    <d v="2024-08-08T00:00:00"/>
    <d v="2024-08-08T00:00:00"/>
    <n v="15"/>
    <n v="0"/>
    <n v="0"/>
    <x v="3"/>
    <x v="7"/>
    <s v="Marseille"/>
    <s v="Enterprise"/>
    <x v="2"/>
    <x v="10"/>
    <x v="4"/>
    <x v="401"/>
    <n v="501.5"/>
    <n v="1201.47"/>
    <n v="0.126"/>
    <n v="0.126"/>
    <n v="0"/>
    <n v="5"/>
    <n v="5250.4239000000007"/>
    <n v="2507.5"/>
    <n v="2742.9239000000007"/>
    <n v="0.52241951359394057"/>
    <e v="#NUM!"/>
    <e v="#NUM!"/>
    <e v="#NUM!"/>
  </r>
  <r>
    <s v="ORD-2025-909340"/>
    <x v="334"/>
    <x v="10"/>
    <d v="2023-01-01T00:00:00"/>
    <m/>
    <s v="Q1-2025"/>
    <d v="2025-02-03T00:00:00"/>
    <d v="2025-02-03T00:00:00"/>
    <n v="14"/>
    <n v="0"/>
    <n v="0"/>
    <x v="2"/>
    <x v="5"/>
    <s v="Brasília"/>
    <s v="Enterprise"/>
    <x v="2"/>
    <x v="9"/>
    <x v="0"/>
    <x v="402"/>
    <n v="974.11"/>
    <n v="880.99"/>
    <n v="0.111"/>
    <n v="0.111"/>
    <n v="0"/>
    <n v="10"/>
    <n v="7832.0010999999995"/>
    <n v="9741.1"/>
    <n v="-1909.0989000000009"/>
    <n v="-0.2437562093805121"/>
    <e v="#NUM!"/>
    <e v="#NUM!"/>
    <e v="#NUM!"/>
  </r>
  <r>
    <s v="ORD-2023-854471"/>
    <x v="335"/>
    <x v="22"/>
    <d v="2023-01-01T00:00:00"/>
    <m/>
    <s v="Q1-2023"/>
    <d v="2023-04-04T00:00:00"/>
    <d v="2023-04-04T00:00:00"/>
    <n v="29"/>
    <n v="0"/>
    <n v="0"/>
    <x v="1"/>
    <x v="9"/>
    <s v="Beijing"/>
    <s v="Small Business"/>
    <x v="4"/>
    <x v="0"/>
    <x v="5"/>
    <x v="403"/>
    <n v="1126.29"/>
    <n v="2050.87"/>
    <n v="6.4000000000000001E-2"/>
    <n v="6.4000000000000001E-2"/>
    <n v="0"/>
    <n v="7"/>
    <n v="13437.300239999999"/>
    <n v="7884.03"/>
    <n v="5553.2702399999989"/>
    <n v="0.41327276616690373"/>
    <e v="#NUM!"/>
    <e v="#NUM!"/>
    <e v="#NUM!"/>
  </r>
  <r>
    <s v="ORD-2024-390951"/>
    <x v="336"/>
    <x v="6"/>
    <d v="2023-05-01T00:00:00"/>
    <m/>
    <s v="Q4-2024"/>
    <d v="2025-01-14T00:00:00"/>
    <d v="2025-01-14T00:00:00"/>
    <n v="25"/>
    <n v="0"/>
    <n v="0"/>
    <x v="1"/>
    <x v="4"/>
    <s v="Delhi"/>
    <s v="Small Business"/>
    <x v="0"/>
    <x v="12"/>
    <x v="1"/>
    <x v="404"/>
    <n v="1361.34"/>
    <n v="1737.9"/>
    <n v="7.6999999999999999E-2"/>
    <n v="7.6999999999999999E-2"/>
    <n v="0"/>
    <n v="14"/>
    <n v="22457.143800000002"/>
    <n v="19058.759999999998"/>
    <n v="3398.3838000000032"/>
    <n v="0.15132751654731813"/>
    <e v="#NUM!"/>
    <e v="#NUM!"/>
    <e v="#NUM!"/>
  </r>
  <r>
    <s v="ORD-2025-881624"/>
    <x v="337"/>
    <x v="26"/>
    <d v="2023-02-01T00:00:00"/>
    <m/>
    <s v="Q1-2025"/>
    <d v="2025-03-21T00:00:00"/>
    <d v="2025-03-21T00:00:00"/>
    <n v="28"/>
    <n v="0"/>
    <n v="0"/>
    <x v="0"/>
    <x v="1"/>
    <s v="Abuja"/>
    <s v="Enterprise"/>
    <x v="2"/>
    <x v="2"/>
    <x v="3"/>
    <x v="405"/>
    <n v="1437.39"/>
    <n v="1388.31"/>
    <n v="0.13800000000000001"/>
    <n v="0.13800000000000001"/>
    <n v="0"/>
    <n v="18"/>
    <n v="21541.017959999997"/>
    <n v="25873.02"/>
    <n v="-4332.002040000003"/>
    <n v="-0.20110479681341872"/>
    <e v="#NUM!"/>
    <e v="#NUM!"/>
    <e v="#NUM!"/>
  </r>
  <r>
    <s v="ORD-2025-512310"/>
    <x v="338"/>
    <x v="3"/>
    <d v="2023-05-01T00:00:00"/>
    <m/>
    <s v="Q1-2025"/>
    <d v="2025-03-15T00:00:00"/>
    <d v="2025-03-15T00:00:00"/>
    <n v="7"/>
    <n v="1"/>
    <n v="1"/>
    <x v="1"/>
    <x v="4"/>
    <s v="Bengaluru"/>
    <s v="Corporate"/>
    <x v="3"/>
    <x v="11"/>
    <x v="4"/>
    <x v="406"/>
    <n v="475.66"/>
    <n v="529.14"/>
    <n v="0.19600000000000001"/>
    <n v="0.19600000000000001"/>
    <n v="0"/>
    <n v="11"/>
    <n v="4679.7141600000004"/>
    <n v="5232.26"/>
    <n v="-552.54583999999977"/>
    <n v="-0.11807256193613323"/>
    <e v="#NUM!"/>
    <e v="#NUM!"/>
    <e v="#NUM!"/>
  </r>
  <r>
    <s v="ORD-2023-674887"/>
    <x v="339"/>
    <x v="4"/>
    <d v="2023-01-01T00:00:00"/>
    <m/>
    <s v="Q4-2023"/>
    <d v="2023-12-19T00:00:00"/>
    <d v="2023-12-19T00:00:00"/>
    <n v="3"/>
    <n v="1"/>
    <n v="1"/>
    <x v="1"/>
    <x v="9"/>
    <s v="Beijing"/>
    <s v="Education"/>
    <x v="0"/>
    <x v="8"/>
    <x v="6"/>
    <x v="407"/>
    <n v="1415.05"/>
    <n v="1972.38"/>
    <n v="0"/>
    <n v="0"/>
    <n v="0"/>
    <n v="12"/>
    <n v="23668.560000000001"/>
    <n v="16980.599999999999"/>
    <n v="6687.9600000000028"/>
    <n v="0.28256725377462771"/>
    <e v="#NUM!"/>
    <e v="#NUM!"/>
    <e v="#NUM!"/>
  </r>
  <r>
    <s v="ORD-2024-542244"/>
    <x v="340"/>
    <x v="21"/>
    <d v="2023-03-01T00:00:00"/>
    <m/>
    <s v="Q3-2024"/>
    <d v="2024-09-05T00:00:00"/>
    <d v="2024-09-05T00:00:00"/>
    <n v="6"/>
    <n v="1"/>
    <n v="1"/>
    <x v="1"/>
    <x v="2"/>
    <s v="Nagoya"/>
    <s v="Education"/>
    <x v="1"/>
    <x v="13"/>
    <x v="4"/>
    <x v="408"/>
    <n v="466.16"/>
    <n v="876.81"/>
    <n v="0.24099999999999999"/>
    <n v="0.24099999999999999"/>
    <n v="1"/>
    <n v="8"/>
    <n v="5323.9903199999999"/>
    <n v="3729.28"/>
    <n v="1594.7103199999997"/>
    <n v="0.29953291124691594"/>
    <e v="#NUM!"/>
    <e v="#NUM!"/>
    <e v="#NUM!"/>
  </r>
  <r>
    <s v="ORD-2024-375848"/>
    <x v="22"/>
    <x v="7"/>
    <d v="2023-04-01T00:00:00"/>
    <m/>
    <s v="Q2-2024"/>
    <d v="2024-05-21T00:00:00"/>
    <d v="2024-05-21T00:00:00"/>
    <n v="3"/>
    <n v="1"/>
    <n v="1"/>
    <x v="3"/>
    <x v="7"/>
    <s v="Marseille"/>
    <s v="Non-Profit"/>
    <x v="2"/>
    <x v="14"/>
    <x v="1"/>
    <x v="409"/>
    <n v="663.66"/>
    <n v="824.26"/>
    <n v="0.23899999999999999"/>
    <n v="0.23899999999999999"/>
    <n v="1"/>
    <n v="11"/>
    <n v="6899.8804600000003"/>
    <n v="7300.2599999999993"/>
    <n v="-400.379539999999"/>
    <n v="-5.8027025587048933E-2"/>
    <e v="#NUM!"/>
    <e v="#NUM!"/>
    <e v="#NUM!"/>
  </r>
  <r>
    <s v="ORD-2023-933238"/>
    <x v="341"/>
    <x v="22"/>
    <d v="2023-01-01T00:00:00"/>
    <m/>
    <s v="Q1-2023"/>
    <d v="2023-04-06T00:00:00"/>
    <d v="2023-04-06T00:00:00"/>
    <n v="20"/>
    <n v="0"/>
    <n v="0"/>
    <x v="3"/>
    <x v="6"/>
    <s v="Munich"/>
    <s v="Consumer"/>
    <x v="0"/>
    <x v="7"/>
    <x v="3"/>
    <x v="410"/>
    <n v="692.18"/>
    <n v="1159.3499999999999"/>
    <n v="0.112"/>
    <n v="0.112"/>
    <n v="0"/>
    <n v="2"/>
    <n v="2059.0056"/>
    <n v="1384.36"/>
    <n v="674.64560000000006"/>
    <n v="0.32765602968734037"/>
    <e v="#NUM!"/>
    <e v="#NUM!"/>
    <e v="#NUM!"/>
  </r>
  <r>
    <s v="ORD-2023-732585"/>
    <x v="342"/>
    <x v="25"/>
    <d v="2023-02-01T00:00:00"/>
    <m/>
    <s v="Q3-2023"/>
    <d v="2023-09-16T00:00:00"/>
    <d v="2023-09-16T00:00:00"/>
    <n v="22"/>
    <n v="0"/>
    <n v="0"/>
    <x v="0"/>
    <x v="1"/>
    <s v="Abuja"/>
    <s v="Corporate"/>
    <x v="2"/>
    <x v="4"/>
    <x v="3"/>
    <x v="411"/>
    <n v="1196.83"/>
    <n v="2513.5100000000002"/>
    <n v="8.3000000000000004E-2"/>
    <n v="8.3000000000000004E-2"/>
    <n v="0"/>
    <n v="7"/>
    <n v="16134.22069"/>
    <n v="8377.81"/>
    <n v="7756.4106900000006"/>
    <n v="0.48074281609445374"/>
    <e v="#NUM!"/>
    <e v="#NUM!"/>
    <e v="#NUM!"/>
  </r>
  <r>
    <s v="ORD-2024-465898"/>
    <x v="343"/>
    <x v="17"/>
    <d v="2023-05-01T00:00:00"/>
    <m/>
    <s v="Q2-2024"/>
    <d v="2024-06-24T00:00:00"/>
    <d v="2024-06-24T00:00:00"/>
    <n v="18"/>
    <n v="0"/>
    <n v="0"/>
    <x v="1"/>
    <x v="4"/>
    <s v="Bengaluru"/>
    <s v="Small Business"/>
    <x v="4"/>
    <x v="10"/>
    <x v="2"/>
    <x v="412"/>
    <n v="1253.25"/>
    <n v="3087.13"/>
    <n v="7.1999999999999995E-2"/>
    <n v="7.1999999999999995E-2"/>
    <n v="0"/>
    <n v="11"/>
    <n v="31513.423040000001"/>
    <n v="13785.75"/>
    <n v="17727.673040000001"/>
    <n v="0.562543555408064"/>
    <e v="#NUM!"/>
    <e v="#NUM!"/>
    <e v="#NUM!"/>
  </r>
  <r>
    <s v="ORD-2023-987081"/>
    <x v="344"/>
    <x v="25"/>
    <d v="2023-04-01T00:00:00"/>
    <m/>
    <s v="Q3-2023"/>
    <d v="2023-09-13T00:00:00"/>
    <d v="2023-09-13T00:00:00"/>
    <n v="15"/>
    <n v="0"/>
    <n v="0"/>
    <x v="2"/>
    <x v="3"/>
    <s v="Vancouver"/>
    <s v="Small Business"/>
    <x v="2"/>
    <x v="7"/>
    <x v="1"/>
    <x v="413"/>
    <n v="1287.6400000000001"/>
    <n v="2717.15"/>
    <n v="3.2000000000000001E-2"/>
    <n v="3.2000000000000001E-2"/>
    <n v="0"/>
    <n v="7"/>
    <n v="18411.4084"/>
    <n v="9013.4800000000014"/>
    <n v="9397.9283999999989"/>
    <n v="0.51044049405802105"/>
    <e v="#NUM!"/>
    <e v="#NUM!"/>
    <e v="#NUM!"/>
  </r>
  <r>
    <s v="ORD-2024-655710"/>
    <x v="25"/>
    <x v="18"/>
    <d v="2023-05-01T00:00:00"/>
    <m/>
    <s v="Q4-2024"/>
    <d v="2024-12-10T00:00:00"/>
    <d v="2024-12-10T00:00:00"/>
    <n v="10"/>
    <n v="0"/>
    <n v="0"/>
    <x v="1"/>
    <x v="4"/>
    <s v="Hyderabad"/>
    <s v="Small Business"/>
    <x v="0"/>
    <x v="9"/>
    <x v="6"/>
    <x v="414"/>
    <n v="851.49"/>
    <n v="901.79"/>
    <n v="0.245"/>
    <n v="0.245"/>
    <n v="1"/>
    <n v="16"/>
    <n v="10893.6232"/>
    <n v="13623.84"/>
    <n v="-2730.2168000000001"/>
    <n v="-0.25062522816100341"/>
    <e v="#NUM!"/>
    <e v="#NUM!"/>
    <e v="#NUM!"/>
  </r>
  <r>
    <s v="ORD-2025-411385"/>
    <x v="345"/>
    <x v="16"/>
    <d v="2023-05-01T00:00:00"/>
    <m/>
    <s v="Q2-2025"/>
    <d v="2025-06-14T00:00:00"/>
    <d v="2025-06-14T00:00:00"/>
    <n v="9"/>
    <n v="0"/>
    <n v="0"/>
    <x v="1"/>
    <x v="4"/>
    <s v="Delhi"/>
    <s v="Non-Profit"/>
    <x v="0"/>
    <x v="8"/>
    <x v="6"/>
    <x v="415"/>
    <n v="618.69000000000005"/>
    <n v="796.15"/>
    <n v="0.09"/>
    <n v="0.09"/>
    <n v="0"/>
    <n v="11"/>
    <n v="7969.4615000000003"/>
    <n v="6805.59"/>
    <n v="1163.8715000000002"/>
    <n v="0.14604142325049191"/>
    <e v="#NUM!"/>
    <e v="#NUM!"/>
    <e v="#NUM!"/>
  </r>
  <r>
    <s v="ORD-2025-222035"/>
    <x v="251"/>
    <x v="3"/>
    <d v="2023-01-01T00:00:00"/>
    <m/>
    <s v="Q1-2025"/>
    <d v="2025-04-08T00:00:00"/>
    <d v="2025-04-08T00:00:00"/>
    <n v="25"/>
    <n v="0"/>
    <n v="0"/>
    <x v="1"/>
    <x v="9"/>
    <s v="Beijing"/>
    <s v="Corporate"/>
    <x v="3"/>
    <x v="14"/>
    <x v="1"/>
    <x v="416"/>
    <n v="80.59"/>
    <n v="157.82"/>
    <n v="0.217"/>
    <n v="0.217"/>
    <n v="1"/>
    <n v="6"/>
    <n v="741.43835999999999"/>
    <n v="483.54"/>
    <n v="257.89835999999997"/>
    <n v="0.34783519967863541"/>
    <e v="#NUM!"/>
    <e v="#NUM!"/>
    <e v="#NUM!"/>
  </r>
  <r>
    <s v="ORD-2024-749242"/>
    <x v="346"/>
    <x v="9"/>
    <d v="2023-01-01T00:00:00"/>
    <m/>
    <s v="Q1-2024"/>
    <d v="2024-02-11T00:00:00"/>
    <d v="2024-02-11T00:00:00"/>
    <n v="26"/>
    <n v="0"/>
    <n v="0"/>
    <x v="3"/>
    <x v="6"/>
    <s v="Frankfurt"/>
    <s v="Non-Profit"/>
    <x v="3"/>
    <x v="6"/>
    <x v="5"/>
    <x v="417"/>
    <n v="504.93"/>
    <n v="819.06"/>
    <n v="0.22600000000000001"/>
    <n v="0.22600000000000001"/>
    <n v="1"/>
    <n v="15"/>
    <n v="9509.2865999999995"/>
    <n v="7573.95"/>
    <n v="1935.3365999999996"/>
    <n v="0.20352069312959814"/>
    <e v="#NUM!"/>
    <e v="#NUM!"/>
    <e v="#NUM!"/>
  </r>
  <r>
    <s v="ORD-2023-623293"/>
    <x v="347"/>
    <x v="32"/>
    <d v="2023-03-01T00:00:00"/>
    <m/>
    <s v="Q4-2023"/>
    <d v="2023-10-29T00:00:00"/>
    <d v="2023-10-29T00:00:00"/>
    <n v="17"/>
    <n v="0"/>
    <n v="0"/>
    <x v="1"/>
    <x v="2"/>
    <s v="Nagoya"/>
    <s v="Non-Profit"/>
    <x v="4"/>
    <x v="10"/>
    <x v="3"/>
    <x v="418"/>
    <n v="1102.19"/>
    <n v="1711.16"/>
    <n v="0.151"/>
    <n v="0.151"/>
    <n v="0"/>
    <n v="10"/>
    <n v="14527.748400000002"/>
    <n v="11021.900000000001"/>
    <n v="3505.8484000000008"/>
    <n v="0.24132083675127525"/>
    <e v="#NUM!"/>
    <e v="#NUM!"/>
    <e v="#NUM!"/>
  </r>
  <r>
    <s v="ORD-2025-276968"/>
    <x v="348"/>
    <x v="26"/>
    <d v="2023-02-01T00:00:00"/>
    <m/>
    <s v="Q1-2025"/>
    <d v="2025-03-17T00:00:00"/>
    <d v="2025-03-17T00:00:00"/>
    <n v="20"/>
    <n v="0"/>
    <n v="0"/>
    <x v="2"/>
    <x v="10"/>
    <s v="San Francisco"/>
    <s v="Non-Profit"/>
    <x v="2"/>
    <x v="10"/>
    <x v="3"/>
    <x v="419"/>
    <n v="1205.26"/>
    <n v="1696.35"/>
    <n v="1.9E-2"/>
    <n v="1.9E-2"/>
    <n v="0"/>
    <n v="6"/>
    <n v="9984.7160999999978"/>
    <n v="7231.5599999999995"/>
    <n v="2753.1560999999983"/>
    <n v="0.27573704374028213"/>
    <e v="#NUM!"/>
    <e v="#NUM!"/>
    <e v="#NUM!"/>
  </r>
  <r>
    <s v="ORD-2025-650841"/>
    <x v="349"/>
    <x v="13"/>
    <d v="2023-02-01T00:00:00"/>
    <m/>
    <s v="Q3-2025"/>
    <d v="2025-07-06T00:00:00"/>
    <d v="2025-07-06T00:00:00"/>
    <n v="3"/>
    <n v="1"/>
    <n v="1"/>
    <x v="0"/>
    <x v="1"/>
    <s v="Lagos"/>
    <s v="Consumer"/>
    <x v="1"/>
    <x v="15"/>
    <x v="4"/>
    <x v="420"/>
    <n v="1313.3"/>
    <n v="2884.34"/>
    <n v="0.157"/>
    <n v="0.157"/>
    <n v="0"/>
    <n v="42"/>
    <n v="102122.94203999999"/>
    <n v="55158.6"/>
    <n v="46964.342039999996"/>
    <n v="0.45988042551305253"/>
    <e v="#NUM!"/>
    <e v="#NUM!"/>
    <e v="#NUM!"/>
  </r>
  <r>
    <s v="ORD-2025-831576"/>
    <x v="165"/>
    <x v="11"/>
    <d v="2023-05-01T00:00:00"/>
    <m/>
    <s v="Q3-2025"/>
    <d v="2025-09-25T00:00:00"/>
    <d v="2025-09-25T00:00:00"/>
    <n v="10"/>
    <n v="0"/>
    <n v="0"/>
    <x v="1"/>
    <x v="4"/>
    <s v="Delhi"/>
    <s v="Consumer"/>
    <x v="0"/>
    <x v="8"/>
    <x v="3"/>
    <x v="421"/>
    <n v="1488.91"/>
    <n v="1483.74"/>
    <n v="0.16800000000000001"/>
    <n v="0.16800000000000001"/>
    <n v="0"/>
    <n v="24"/>
    <n v="29627.320319999999"/>
    <n v="35733.840000000004"/>
    <n v="-6106.5196800000049"/>
    <n v="-0.20611110333450519"/>
    <e v="#NUM!"/>
    <e v="#NUM!"/>
    <e v="#NUM!"/>
  </r>
  <r>
    <s v="ORD-2024-468655"/>
    <x v="350"/>
    <x v="31"/>
    <d v="2023-01-01T00:00:00"/>
    <m/>
    <s v="Q1-2024"/>
    <d v="2024-03-06T00:00:00"/>
    <d v="2024-03-06T00:00:00"/>
    <n v="16"/>
    <n v="0"/>
    <n v="0"/>
    <x v="1"/>
    <x v="9"/>
    <s v="Beijing"/>
    <s v="Education"/>
    <x v="2"/>
    <x v="7"/>
    <x v="1"/>
    <x v="422"/>
    <n v="1477.84"/>
    <n v="3197.47"/>
    <n v="0.24299999999999999"/>
    <n v="0.24299999999999999"/>
    <n v="1"/>
    <n v="24"/>
    <n v="58091.634960000003"/>
    <n v="35468.159999999996"/>
    <n v="22623.474960000007"/>
    <n v="0.38944462443823091"/>
    <e v="#NUM!"/>
    <e v="#NUM!"/>
    <e v="#NUM!"/>
  </r>
  <r>
    <s v="ORD-2024-515105"/>
    <x v="351"/>
    <x v="31"/>
    <d v="2023-05-01T00:00:00"/>
    <m/>
    <s v="Q1-2024"/>
    <d v="2024-03-26T00:00:00"/>
    <d v="2024-03-26T00:00:00"/>
    <n v="28"/>
    <n v="0"/>
    <n v="0"/>
    <x v="1"/>
    <x v="4"/>
    <s v="Mumbai"/>
    <s v="Education"/>
    <x v="2"/>
    <x v="3"/>
    <x v="4"/>
    <x v="423"/>
    <n v="1035.19"/>
    <n v="2322.6999999999998"/>
    <n v="0.17299999999999999"/>
    <n v="0.17299999999999999"/>
    <n v="0"/>
    <n v="8"/>
    <n v="15366.983199999999"/>
    <n v="8281.52"/>
    <n v="7085.4631999999983"/>
    <n v="0.46108355217047409"/>
    <e v="#NUM!"/>
    <e v="#NUM!"/>
    <e v="#NUM!"/>
  </r>
  <r>
    <s v="ORD-2025-803803"/>
    <x v="256"/>
    <x v="28"/>
    <d v="2023-02-01T00:00:00"/>
    <m/>
    <s v="Q3-2025"/>
    <d v="2025-09-05T00:00:00"/>
    <d v="2025-09-05T00:00:00"/>
    <n v="8"/>
    <n v="0"/>
    <n v="0"/>
    <x v="0"/>
    <x v="1"/>
    <s v="Port Harcourt"/>
    <s v="Small Business"/>
    <x v="2"/>
    <x v="6"/>
    <x v="4"/>
    <x v="424"/>
    <n v="1271.0999999999999"/>
    <n v="1932.42"/>
    <n v="0.25"/>
    <n v="0.25"/>
    <n v="1"/>
    <n v="21"/>
    <n v="30435.614999999998"/>
    <n v="26693.1"/>
    <n v="3742.5149999999994"/>
    <n v="0.12296498690760807"/>
    <e v="#NUM!"/>
    <e v="#NUM!"/>
    <e v="#NUM!"/>
  </r>
  <r>
    <s v="ORD-2024-993481"/>
    <x v="352"/>
    <x v="21"/>
    <d v="2023-05-01T00:00:00"/>
    <m/>
    <s v="Q3-2024"/>
    <d v="2024-09-12T00:00:00"/>
    <d v="2024-09-12T00:00:00"/>
    <n v="25"/>
    <n v="0"/>
    <n v="0"/>
    <x v="1"/>
    <x v="4"/>
    <s v="Mumbai"/>
    <s v="Consumer"/>
    <x v="2"/>
    <x v="0"/>
    <x v="3"/>
    <x v="425"/>
    <n v="1154.03"/>
    <n v="1590.36"/>
    <n v="0.3"/>
    <n v="0.314"/>
    <n v="1"/>
    <n v="18"/>
    <n v="20038.536"/>
    <n v="20772.54"/>
    <n v="-734.00400000000081"/>
    <n v="-3.6629622044245191E-2"/>
    <e v="#NUM!"/>
    <e v="#NUM!"/>
    <e v="#NUM!"/>
  </r>
  <r>
    <s v="ORD-2024-811752"/>
    <x v="353"/>
    <x v="31"/>
    <d v="2023-04-01T00:00:00"/>
    <m/>
    <s v="Q1-2024"/>
    <d v="2024-03-09T00:00:00"/>
    <d v="2024-03-09T00:00:00"/>
    <n v="13"/>
    <n v="0"/>
    <n v="0"/>
    <x v="3"/>
    <x v="7"/>
    <s v="Marseille"/>
    <s v="Small Business"/>
    <x v="3"/>
    <x v="6"/>
    <x v="5"/>
    <x v="426"/>
    <n v="322.44"/>
    <n v="395.61"/>
    <n v="0"/>
    <n v="0"/>
    <n v="0"/>
    <n v="34"/>
    <n v="13450.74"/>
    <n v="10962.96"/>
    <n v="2487.7800000000007"/>
    <n v="0.18495487980586947"/>
    <e v="#NUM!"/>
    <e v="#NUM!"/>
    <e v="#NUM!"/>
  </r>
  <r>
    <s v="ORD-2025-673091"/>
    <x v="354"/>
    <x v="8"/>
    <d v="2023-05-01T00:00:00"/>
    <m/>
    <s v="Q2-2025"/>
    <d v="2025-05-13T00:00:00"/>
    <d v="2025-05-13T00:00:00"/>
    <n v="6"/>
    <n v="1"/>
    <n v="1"/>
    <x v="1"/>
    <x v="4"/>
    <s v="Bengaluru"/>
    <s v="Enterprise"/>
    <x v="4"/>
    <x v="1"/>
    <x v="3"/>
    <x v="427"/>
    <n v="935.98"/>
    <n v="2077.69"/>
    <n v="0.17499999999999999"/>
    <n v="0.17499999999999999"/>
    <n v="0"/>
    <n v="24"/>
    <n v="41138.261999999995"/>
    <n v="22463.52"/>
    <n v="18674.741999999995"/>
    <n v="0.45395067978321491"/>
    <e v="#NUM!"/>
    <e v="#NUM!"/>
    <e v="#NUM!"/>
  </r>
  <r>
    <s v="ORD-2024-381197"/>
    <x v="355"/>
    <x v="18"/>
    <d v="2023-01-01T00:00:00"/>
    <m/>
    <s v="Q4-2024"/>
    <d v="2024-11-12T00:00:00"/>
    <d v="2024-11-12T00:00:00"/>
    <n v="11"/>
    <n v="0"/>
    <n v="0"/>
    <x v="3"/>
    <x v="6"/>
    <s v="Frankfurt"/>
    <s v="Consumer"/>
    <x v="1"/>
    <x v="5"/>
    <x v="1"/>
    <x v="428"/>
    <n v="599.84"/>
    <n v="1330.85"/>
    <n v="0.115"/>
    <n v="0.115"/>
    <n v="0"/>
    <n v="11"/>
    <n v="12955.824749999998"/>
    <n v="6598.2400000000007"/>
    <n v="6357.5847499999973"/>
    <n v="0.49071246892252063"/>
    <e v="#NUM!"/>
    <e v="#NUM!"/>
    <e v="#NUM!"/>
  </r>
  <r>
    <s v="ORD-2024-651852"/>
    <x v="356"/>
    <x v="6"/>
    <d v="2023-01-01T00:00:00"/>
    <m/>
    <s v="Q4-2024"/>
    <d v="2025-01-08T00:00:00"/>
    <d v="2025-01-08T00:00:00"/>
    <n v="11"/>
    <n v="0"/>
    <n v="0"/>
    <x v="1"/>
    <x v="9"/>
    <s v="Shenzhen"/>
    <s v="Enterprise"/>
    <x v="1"/>
    <x v="11"/>
    <x v="4"/>
    <x v="429"/>
    <n v="1201.31"/>
    <n v="2764.65"/>
    <n v="0"/>
    <n v="0"/>
    <n v="0"/>
    <n v="21"/>
    <n v="58057.65"/>
    <n v="25227.51"/>
    <n v="32830.14"/>
    <n v="0.56547483406579491"/>
    <e v="#NUM!"/>
    <e v="#NUM!"/>
    <e v="#NUM!"/>
  </r>
  <r>
    <s v="ORD-2023-659070"/>
    <x v="258"/>
    <x v="32"/>
    <d v="2023-01-01T00:00:00"/>
    <m/>
    <s v="Q4-2023"/>
    <d v="2023-10-21T00:00:00"/>
    <d v="2023-10-21T00:00:00"/>
    <n v="0"/>
    <n v="1"/>
    <n v="1"/>
    <x v="3"/>
    <x v="8"/>
    <s v="Manchester"/>
    <s v="Enterprise"/>
    <x v="3"/>
    <x v="1"/>
    <x v="5"/>
    <x v="430"/>
    <n v="384.19"/>
    <n v="278.35000000000002"/>
    <n v="5.6000000000000001E-2"/>
    <n v="5.6000000000000001E-2"/>
    <n v="0"/>
    <n v="10"/>
    <n v="2627.6239999999998"/>
    <n v="3841.9"/>
    <n v="-1214.2760000000003"/>
    <n v="-0.46211938998882657"/>
    <e v="#NUM!"/>
    <e v="#NUM!"/>
    <e v="#NUM!"/>
  </r>
  <r>
    <s v="ORD-2024-837651"/>
    <x v="16"/>
    <x v="6"/>
    <d v="2023-02-01T00:00:00"/>
    <m/>
    <s v="Q4-2024"/>
    <d v="2024-12-19T00:00:00"/>
    <d v="2024-12-19T00:00:00"/>
    <n v="9"/>
    <n v="0"/>
    <n v="0"/>
    <x v="0"/>
    <x v="1"/>
    <s v="Lagos"/>
    <s v="Corporate"/>
    <x v="0"/>
    <x v="7"/>
    <x v="5"/>
    <x v="431"/>
    <n v="488.68"/>
    <n v="984.36"/>
    <n v="5.8999999999999997E-2"/>
    <n v="5.8999999999999997E-2"/>
    <n v="0"/>
    <n v="14"/>
    <n v="12967.958640000001"/>
    <n v="6841.52"/>
    <n v="6126.4386400000003"/>
    <n v="0.47242891576649876"/>
    <e v="#NUM!"/>
    <e v="#NUM!"/>
    <e v="#NUM!"/>
  </r>
  <r>
    <s v="ORD-2024-581530"/>
    <x v="254"/>
    <x v="29"/>
    <d v="2023-01-01T00:00:00"/>
    <m/>
    <s v="Q3-2024"/>
    <d v="2024-09-18T00:00:00"/>
    <d v="2024-09-18T00:00:00"/>
    <n v="11"/>
    <n v="0"/>
    <n v="0"/>
    <x v="1"/>
    <x v="9"/>
    <s v="Beijing"/>
    <s v="Consumer"/>
    <x v="3"/>
    <x v="7"/>
    <x v="2"/>
    <x v="432"/>
    <n v="181.74"/>
    <n v="190.84"/>
    <n v="0.214"/>
    <n v="0.214"/>
    <n v="1"/>
    <n v="13"/>
    <n v="1950.0031200000001"/>
    <n v="2362.62"/>
    <n v="-412.61687999999981"/>
    <n v="-0.21159806144310159"/>
    <e v="#NUM!"/>
    <e v="#NUM!"/>
    <e v="#NUM!"/>
  </r>
  <r>
    <s v="ORD-2023-378104"/>
    <x v="357"/>
    <x v="32"/>
    <d v="2023-02-01T00:00:00"/>
    <m/>
    <s v="Q4-2023"/>
    <d v="2023-10-20T00:00:00"/>
    <d v="2023-10-20T00:00:00"/>
    <n v="2"/>
    <n v="1"/>
    <n v="1"/>
    <x v="0"/>
    <x v="0"/>
    <s v="Kisumu"/>
    <s v="Consumer"/>
    <x v="0"/>
    <x v="1"/>
    <x v="3"/>
    <x v="433"/>
    <n v="774.12"/>
    <n v="908.3"/>
    <n v="0"/>
    <n v="0"/>
    <n v="0"/>
    <n v="30"/>
    <n v="27249"/>
    <n v="23223.599999999999"/>
    <n v="4025.4000000000015"/>
    <n v="0.14772652207420461"/>
    <e v="#NUM!"/>
    <e v="#NUM!"/>
    <e v="#NUM!"/>
  </r>
  <r>
    <s v="ORD-2024-972318"/>
    <x v="358"/>
    <x v="6"/>
    <d v="2023-05-01T00:00:00"/>
    <m/>
    <s v="Q4-2024"/>
    <d v="2025-01-13T00:00:00"/>
    <d v="2025-01-13T00:00:00"/>
    <n v="20"/>
    <n v="0"/>
    <n v="0"/>
    <x v="1"/>
    <x v="4"/>
    <s v="Bengaluru"/>
    <s v="Corporate"/>
    <x v="2"/>
    <x v="14"/>
    <x v="2"/>
    <x v="434"/>
    <n v="126.15"/>
    <n v="284.23"/>
    <n v="0.113"/>
    <n v="0.113"/>
    <n v="0"/>
    <n v="22"/>
    <n v="5546.4642200000008"/>
    <n v="2775.3"/>
    <n v="2771.1642200000006"/>
    <n v="0.49962716968541088"/>
    <e v="#NUM!"/>
    <e v="#NUM!"/>
    <e v="#NUM!"/>
  </r>
  <r>
    <s v="ORD-2023-752962"/>
    <x v="67"/>
    <x v="12"/>
    <d v="2023-03-01T00:00:00"/>
    <m/>
    <s v="Q2-2023"/>
    <d v="2023-04-19T00:00:00"/>
    <d v="2023-04-24T00:00:00"/>
    <n v="3"/>
    <n v="1"/>
    <n v="1"/>
    <x v="1"/>
    <x v="2"/>
    <s v="Nagoya"/>
    <s v="Small Business"/>
    <x v="4"/>
    <x v="12"/>
    <x v="0"/>
    <x v="435"/>
    <n v="607.04"/>
    <n v="1229.3399999999999"/>
    <n v="0.14699999999999999"/>
    <n v="0.14699999999999999"/>
    <n v="0"/>
    <n v="7"/>
    <n v="7340.3891399999993"/>
    <n v="4249.28"/>
    <n v="3091.1091399999996"/>
    <n v="0.42110970972310058"/>
    <e v="#NUM!"/>
    <e v="#NUM!"/>
    <e v="#NUM!"/>
  </r>
  <r>
    <s v="ORD-2023-808024"/>
    <x v="359"/>
    <x v="4"/>
    <d v="2023-04-01T00:00:00"/>
    <m/>
    <s v="Q4-2023"/>
    <d v="2024-01-08T00:00:00"/>
    <d v="2024-01-08T00:00:00"/>
    <n v="9"/>
    <n v="0"/>
    <n v="0"/>
    <x v="3"/>
    <x v="7"/>
    <s v="Marseille"/>
    <s v="Consumer"/>
    <x v="2"/>
    <x v="4"/>
    <x v="6"/>
    <x v="436"/>
    <n v="861.1"/>
    <n v="1224.72"/>
    <n v="0.17399999999999999"/>
    <n v="0.17399999999999999"/>
    <n v="0"/>
    <n v="24"/>
    <n v="24278.849280000002"/>
    <n v="20666.400000000001"/>
    <n v="3612.4492800000007"/>
    <n v="0.14878997098827909"/>
    <e v="#NUM!"/>
    <e v="#NUM!"/>
    <e v="#NUM!"/>
  </r>
  <r>
    <s v="ORD-2023-156396"/>
    <x v="360"/>
    <x v="2"/>
    <d v="2023-02-01T00:00:00"/>
    <m/>
    <s v="Q1-2023"/>
    <d v="2023-03-12T00:00:00"/>
    <d v="2023-03-12T00:00:00"/>
    <n v="19"/>
    <n v="0"/>
    <n v="0"/>
    <x v="0"/>
    <x v="0"/>
    <s v="Nakuru"/>
    <s v="Corporate"/>
    <x v="1"/>
    <x v="9"/>
    <x v="2"/>
    <x v="437"/>
    <n v="352.65"/>
    <n v="485.86"/>
    <n v="4.1000000000000002E-2"/>
    <n v="4.1000000000000002E-2"/>
    <n v="0"/>
    <n v="6"/>
    <n v="2795.6384399999997"/>
    <n v="2115.8999999999996"/>
    <n v="679.73844000000008"/>
    <n v="0.24314247159943908"/>
    <e v="#NUM!"/>
    <e v="#NUM!"/>
    <e v="#NUM!"/>
  </r>
  <r>
    <s v="ORD-2023-184577"/>
    <x v="361"/>
    <x v="15"/>
    <d v="2023-01-01T00:00:00"/>
    <m/>
    <s v="Q2-2023"/>
    <d v="2023-06-03T00:00:00"/>
    <d v="2023-06-03T00:00:00"/>
    <n v="17"/>
    <n v="0"/>
    <n v="0"/>
    <x v="1"/>
    <x v="9"/>
    <s v="Beijing"/>
    <s v="Non-Profit"/>
    <x v="3"/>
    <x v="12"/>
    <x v="1"/>
    <x v="438"/>
    <n v="979.59"/>
    <n v="2210.94"/>
    <n v="0.15"/>
    <n v="0.15"/>
    <n v="0"/>
    <n v="11"/>
    <n v="20672.289000000001"/>
    <n v="10775.49"/>
    <n v="9896.7990000000009"/>
    <n v="0.47874712858358359"/>
    <e v="#NUM!"/>
    <e v="#NUM!"/>
    <e v="#NUM!"/>
  </r>
  <r>
    <s v="ORD-2024-446030"/>
    <x v="362"/>
    <x v="0"/>
    <d v="2023-05-01T00:00:00"/>
    <m/>
    <s v="Q1-2024"/>
    <d v="2024-03-26T00:00:00"/>
    <d v="2024-03-26T00:00:00"/>
    <n v="3"/>
    <n v="1"/>
    <n v="1"/>
    <x v="1"/>
    <x v="4"/>
    <s v="Bengaluru"/>
    <s v="Education"/>
    <x v="4"/>
    <x v="3"/>
    <x v="3"/>
    <x v="439"/>
    <n v="382.21"/>
    <n v="571.89"/>
    <n v="0.14799999999999999"/>
    <n v="0.14799999999999999"/>
    <n v="0"/>
    <n v="26"/>
    <n v="12668.50728"/>
    <n v="9937.4599999999991"/>
    <n v="2731.0472800000007"/>
    <n v="0.2155776698578809"/>
    <e v="#NUM!"/>
    <e v="#NUM!"/>
    <e v="#NUM!"/>
  </r>
  <r>
    <s v="ORD-2023-842820"/>
    <x v="363"/>
    <x v="27"/>
    <d v="2023-05-01T00:00:00"/>
    <m/>
    <s v="Q3-2023"/>
    <d v="2023-09-28T00:00:00"/>
    <d v="2023-09-28T00:00:00"/>
    <n v="8"/>
    <n v="0"/>
    <n v="0"/>
    <x v="1"/>
    <x v="4"/>
    <s v="Delhi"/>
    <s v="Corporate"/>
    <x v="4"/>
    <x v="5"/>
    <x v="6"/>
    <x v="440"/>
    <n v="1362.06"/>
    <n v="3398.37"/>
    <n v="0.157"/>
    <n v="0.157"/>
    <n v="0"/>
    <n v="11"/>
    <n v="31513.085009999999"/>
    <n v="14982.66"/>
    <n v="16530.425009999999"/>
    <n v="0.52455749745714919"/>
    <e v="#NUM!"/>
    <e v="#NUM!"/>
    <e v="#NUM!"/>
  </r>
  <r>
    <s v="ORD-2024-745424"/>
    <x v="364"/>
    <x v="21"/>
    <d v="2023-01-01T00:00:00"/>
    <m/>
    <s v="Q3-2024"/>
    <d v="2024-09-04T00:00:00"/>
    <d v="2024-09-04T00:00:00"/>
    <n v="13"/>
    <n v="0"/>
    <n v="0"/>
    <x v="3"/>
    <x v="6"/>
    <s v="Frankfurt"/>
    <s v="Non-Profit"/>
    <x v="0"/>
    <x v="4"/>
    <x v="1"/>
    <x v="441"/>
    <n v="90.04"/>
    <n v="194.62"/>
    <n v="4.2999999999999997E-2"/>
    <n v="4.2999999999999997E-2"/>
    <n v="0"/>
    <n v="32"/>
    <n v="5960.04288"/>
    <n v="2881.28"/>
    <n v="3078.7628799999998"/>
    <n v="0.51656723650954672"/>
    <e v="#NUM!"/>
    <e v="#NUM!"/>
    <e v="#NUM!"/>
  </r>
  <r>
    <s v="ORD-2024-510520"/>
    <x v="365"/>
    <x v="29"/>
    <d v="2023-04-01T00:00:00"/>
    <m/>
    <s v="Q3-2024"/>
    <d v="2024-10-03T00:00:00"/>
    <d v="2024-10-03T00:00:00"/>
    <n v="8"/>
    <n v="0"/>
    <n v="0"/>
    <x v="2"/>
    <x v="3"/>
    <s v="Toronto"/>
    <s v="Consumer"/>
    <x v="1"/>
    <x v="6"/>
    <x v="1"/>
    <x v="442"/>
    <n v="558.19000000000005"/>
    <n v="1031.6400000000001"/>
    <n v="0"/>
    <n v="0"/>
    <n v="0"/>
    <n v="21"/>
    <n v="21664.440000000002"/>
    <n v="11721.990000000002"/>
    <n v="9942.4500000000007"/>
    <n v="0.45892947152107322"/>
    <e v="#NUM!"/>
    <e v="#NUM!"/>
    <e v="#NUM!"/>
  </r>
  <r>
    <s v="ORD-2023-769774"/>
    <x v="366"/>
    <x v="23"/>
    <d v="2023-04-01T00:00:00"/>
    <m/>
    <s v="Q2-2023"/>
    <d v="2023-06-24T00:00:00"/>
    <d v="2023-06-24T00:00:00"/>
    <n v="11"/>
    <n v="0"/>
    <n v="0"/>
    <x v="2"/>
    <x v="3"/>
    <s v="Toronto"/>
    <s v="Corporate"/>
    <x v="1"/>
    <x v="0"/>
    <x v="1"/>
    <x v="443"/>
    <n v="247.07"/>
    <n v="495.19"/>
    <n v="2.8000000000000001E-2"/>
    <n v="2.8000000000000001E-2"/>
    <n v="0"/>
    <n v="4"/>
    <n v="1925.29872"/>
    <n v="988.28"/>
    <n v="937.01872000000003"/>
    <n v="0.48668744764968214"/>
    <e v="#NUM!"/>
    <e v="#NUM!"/>
    <e v="#NUM!"/>
  </r>
  <r>
    <s v="ORD-2023-580751"/>
    <x v="239"/>
    <x v="4"/>
    <d v="2023-03-01T00:00:00"/>
    <m/>
    <s v="Q4-2023"/>
    <d v="2024-01-13T00:00:00"/>
    <d v="2024-01-13T00:00:00"/>
    <n v="20"/>
    <n v="0"/>
    <n v="0"/>
    <x v="1"/>
    <x v="2"/>
    <s v="Nagoya"/>
    <s v="Education"/>
    <x v="4"/>
    <x v="5"/>
    <x v="4"/>
    <x v="444"/>
    <n v="625.37"/>
    <n v="1319.04"/>
    <n v="7.3999999999999996E-2"/>
    <n v="7.3999999999999996E-2"/>
    <n v="0"/>
    <n v="8"/>
    <n v="9771.4483199999995"/>
    <n v="5002.96"/>
    <n v="4768.4883199999995"/>
    <n v="0.48800220436513547"/>
    <e v="#NUM!"/>
    <e v="#NUM!"/>
    <e v="#NUM!"/>
  </r>
  <r>
    <s v="ORD-2025-473192"/>
    <x v="257"/>
    <x v="3"/>
    <d v="2023-01-01T00:00:00"/>
    <m/>
    <s v="Q1-2025"/>
    <d v="2025-04-29T00:00:00"/>
    <d v="2025-04-29T00:00:00"/>
    <n v="30"/>
    <n v="0"/>
    <n v="0"/>
    <x v="0"/>
    <x v="11"/>
    <s v="Durban"/>
    <s v="Consumer"/>
    <x v="2"/>
    <x v="1"/>
    <x v="5"/>
    <x v="445"/>
    <n v="194.6"/>
    <n v="314.87"/>
    <n v="0.29299999999999998"/>
    <n v="0.29299999999999998"/>
    <n v="1"/>
    <n v="25"/>
    <n v="5565.3272500000003"/>
    <n v="4865"/>
    <n v="700.32725000000028"/>
    <n v="0.1258375686712763"/>
    <e v="#NUM!"/>
    <e v="#NUM!"/>
    <e v="#NUM!"/>
  </r>
  <r>
    <s v="ORD-2024-886939"/>
    <x v="367"/>
    <x v="17"/>
    <d v="2023-04-01T00:00:00"/>
    <m/>
    <s v="Q2-2024"/>
    <d v="2024-06-24T00:00:00"/>
    <d v="2024-06-24T00:00:00"/>
    <n v="21"/>
    <n v="0"/>
    <n v="0"/>
    <x v="2"/>
    <x v="3"/>
    <s v="Toronto"/>
    <s v="Small Business"/>
    <x v="4"/>
    <x v="3"/>
    <x v="5"/>
    <x v="446"/>
    <n v="1205.5"/>
    <n v="2210.17"/>
    <n v="0.104"/>
    <n v="0.104"/>
    <n v="0"/>
    <n v="23"/>
    <n v="45547.183360000003"/>
    <n v="27726.5"/>
    <n v="17820.683360000003"/>
    <n v="0.39125763758314652"/>
    <e v="#NUM!"/>
    <e v="#NUM!"/>
    <e v="#NUM!"/>
  </r>
  <r>
    <s v="ORD-2024-566589"/>
    <x v="368"/>
    <x v="17"/>
    <d v="2023-02-01T00:00:00"/>
    <m/>
    <s v="Q2-2024"/>
    <d v="2024-07-09T00:00:00"/>
    <d v="2024-07-09T00:00:00"/>
    <n v="28"/>
    <n v="0"/>
    <n v="0"/>
    <x v="0"/>
    <x v="1"/>
    <s v="Port Harcourt"/>
    <s v="Corporate"/>
    <x v="2"/>
    <x v="2"/>
    <x v="3"/>
    <x v="447"/>
    <n v="895.54"/>
    <n v="1045"/>
    <n v="0.216"/>
    <n v="0.216"/>
    <n v="1"/>
    <n v="15"/>
    <n v="12289.2"/>
    <n v="13433.099999999999"/>
    <n v="-1143.8999999999978"/>
    <n v="-9.3081730299775234E-2"/>
    <e v="#NUM!"/>
    <e v="#NUM!"/>
    <e v="#NUM!"/>
  </r>
  <r>
    <s v="ORD-2023-109927"/>
    <x v="369"/>
    <x v="24"/>
    <d v="2023-05-01T00:00:00"/>
    <m/>
    <s v="Q3-2023"/>
    <d v="2023-07-21T00:00:00"/>
    <d v="2023-07-25T00:00:00"/>
    <n v="3"/>
    <n v="1"/>
    <n v="1"/>
    <x v="1"/>
    <x v="4"/>
    <s v="Delhi"/>
    <s v="Small Business"/>
    <x v="3"/>
    <x v="6"/>
    <x v="1"/>
    <x v="448"/>
    <n v="946.99"/>
    <n v="2132.19"/>
    <n v="0.16500000000000001"/>
    <n v="0.16500000000000001"/>
    <n v="0"/>
    <n v="7"/>
    <n v="12462.65055"/>
    <n v="6628.93"/>
    <n v="5833.72055"/>
    <n v="0.46809629513362228"/>
    <e v="#NUM!"/>
    <e v="#NUM!"/>
    <e v="#NUM!"/>
  </r>
  <r>
    <s v="ORD-2023-780206"/>
    <x v="370"/>
    <x v="5"/>
    <d v="2023-01-01T00:00:00"/>
    <m/>
    <s v="Q1-2023"/>
    <d v="2023-02-03T00:00:00"/>
    <d v="2023-02-03T00:00:00"/>
    <n v="15"/>
    <n v="0"/>
    <n v="0"/>
    <x v="3"/>
    <x v="8"/>
    <s v="London"/>
    <s v="Enterprise"/>
    <x v="3"/>
    <x v="3"/>
    <x v="6"/>
    <x v="449"/>
    <n v="873.06"/>
    <n v="2101.5500000000002"/>
    <n v="6.6000000000000003E-2"/>
    <n v="6.6000000000000003E-2"/>
    <n v="0"/>
    <n v="10"/>
    <n v="19628.476999999999"/>
    <n v="8730.5999999999985"/>
    <n v="10897.877"/>
    <n v="0.55520746719167269"/>
    <e v="#NUM!"/>
    <e v="#NUM!"/>
    <e v="#NUM!"/>
  </r>
  <r>
    <s v="ORD-2024-851993"/>
    <x v="371"/>
    <x v="7"/>
    <d v="2023-05-01T00:00:00"/>
    <m/>
    <s v="Q2-2024"/>
    <d v="2024-05-16T00:00:00"/>
    <d v="2024-05-16T00:00:00"/>
    <n v="15"/>
    <n v="0"/>
    <n v="0"/>
    <x v="1"/>
    <x v="4"/>
    <s v="Bengaluru"/>
    <s v="Small Business"/>
    <x v="0"/>
    <x v="4"/>
    <x v="0"/>
    <x v="450"/>
    <n v="901.19"/>
    <n v="2125.44"/>
    <n v="7.0999999999999994E-2"/>
    <n v="7.0999999999999994E-2"/>
    <n v="0"/>
    <n v="12"/>
    <n v="23694.405119999999"/>
    <n v="10814.28"/>
    <n v="12880.125119999999"/>
    <n v="0.54359352154100415"/>
    <e v="#NUM!"/>
    <e v="#NUM!"/>
    <e v="#NUM!"/>
  </r>
  <r>
    <s v="ORD-2025-417942"/>
    <x v="56"/>
    <x v="16"/>
    <d v="2023-03-01T00:00:00"/>
    <m/>
    <s v="Q2-2025"/>
    <d v="2025-06-24T00:00:00"/>
    <d v="2025-06-24T00:00:00"/>
    <n v="15"/>
    <n v="0"/>
    <n v="0"/>
    <x v="1"/>
    <x v="2"/>
    <s v="Nagoya"/>
    <s v="Corporate"/>
    <x v="4"/>
    <x v="5"/>
    <x v="3"/>
    <x v="451"/>
    <n v="400.39"/>
    <n v="712.75"/>
    <n v="0.115"/>
    <n v="0.115"/>
    <n v="0"/>
    <n v="19"/>
    <n v="11984.891250000001"/>
    <n v="7607.41"/>
    <n v="4377.4812500000007"/>
    <n v="0.36524997671547504"/>
    <e v="#NUM!"/>
    <e v="#NUM!"/>
    <e v="#NUM!"/>
  </r>
  <r>
    <s v="ORD-2023-172095"/>
    <x v="372"/>
    <x v="15"/>
    <d v="2023-02-01T00:00:00"/>
    <m/>
    <s v="Q2-2023"/>
    <d v="2023-06-21T00:00:00"/>
    <d v="2023-06-21T00:00:00"/>
    <n v="28"/>
    <n v="0"/>
    <n v="0"/>
    <x v="2"/>
    <x v="10"/>
    <s v="Austin"/>
    <s v="Small Business"/>
    <x v="2"/>
    <x v="3"/>
    <x v="5"/>
    <x v="452"/>
    <n v="813.97"/>
    <n v="1568.83"/>
    <n v="1.7000000000000001E-2"/>
    <n v="1.7000000000000001E-2"/>
    <n v="0"/>
    <n v="15"/>
    <n v="23132.398349999996"/>
    <n v="12209.550000000001"/>
    <n v="10922.848349999995"/>
    <n v="0.4721883215364911"/>
    <e v="#NUM!"/>
    <e v="#NUM!"/>
    <e v="#NUM!"/>
  </r>
  <r>
    <s v="ORD-2024-257550"/>
    <x v="6"/>
    <x v="6"/>
    <d v="2023-04-01T00:00:00"/>
    <m/>
    <s v="Q4-2024"/>
    <d v="2024-12-29T00:00:00"/>
    <d v="2024-12-29T00:00:00"/>
    <n v="2"/>
    <n v="1"/>
    <n v="1"/>
    <x v="2"/>
    <x v="3"/>
    <s v="Vancouver"/>
    <s v="Enterprise"/>
    <x v="2"/>
    <x v="0"/>
    <x v="6"/>
    <x v="453"/>
    <n v="1146.72"/>
    <n v="2074.34"/>
    <n v="0.111"/>
    <n v="0.111"/>
    <n v="0"/>
    <n v="8"/>
    <n v="14752.706080000002"/>
    <n v="9173.76"/>
    <n v="5578.9460800000015"/>
    <n v="0.37816425337472737"/>
    <e v="#NUM!"/>
    <e v="#NUM!"/>
    <e v="#NUM!"/>
  </r>
  <r>
    <s v="ORD-2023-581799"/>
    <x v="373"/>
    <x v="4"/>
    <d v="2023-01-01T00:00:00"/>
    <m/>
    <s v="Q4-2023"/>
    <d v="2023-12-12T00:00:00"/>
    <d v="2023-12-12T00:00:00"/>
    <n v="7"/>
    <n v="1"/>
    <n v="1"/>
    <x v="2"/>
    <x v="5"/>
    <s v="Brasília"/>
    <s v="Corporate"/>
    <x v="4"/>
    <x v="9"/>
    <x v="3"/>
    <x v="454"/>
    <n v="307.43"/>
    <n v="495.19"/>
    <n v="0"/>
    <n v="0"/>
    <n v="0"/>
    <n v="42"/>
    <n v="20797.98"/>
    <n v="12912.06"/>
    <n v="7885.92"/>
    <n v="0.37916759223732305"/>
    <e v="#NUM!"/>
    <e v="#NUM!"/>
    <e v="#NUM!"/>
  </r>
  <r>
    <s v="ORD-2023-880296"/>
    <x v="129"/>
    <x v="15"/>
    <d v="2023-01-01T00:00:00"/>
    <m/>
    <s v="Q2-2023"/>
    <d v="2023-05-19T00:00:00"/>
    <d v="2023-05-19T00:00:00"/>
    <n v="17"/>
    <n v="0"/>
    <n v="0"/>
    <x v="1"/>
    <x v="9"/>
    <s v="Shanghai"/>
    <s v="Non-Profit"/>
    <x v="4"/>
    <x v="1"/>
    <x v="5"/>
    <x v="455"/>
    <n v="714.28"/>
    <n v="757.59"/>
    <n v="0.13600000000000001"/>
    <n v="0.13600000000000001"/>
    <n v="0"/>
    <n v="12"/>
    <n v="7854.6931199999999"/>
    <n v="8571.36"/>
    <n v="-716.66688000000067"/>
    <n v="-9.1240595787910383E-2"/>
    <e v="#NUM!"/>
    <e v="#NUM!"/>
    <e v="#NUM!"/>
  </r>
  <r>
    <s v="ORD-2023-191563"/>
    <x v="134"/>
    <x v="30"/>
    <d v="2023-01-01T00:00:00"/>
    <m/>
    <s v="Q4-2023"/>
    <d v="2023-12-10T00:00:00"/>
    <d v="2023-12-10T00:00:00"/>
    <n v="10"/>
    <n v="0"/>
    <n v="0"/>
    <x v="3"/>
    <x v="6"/>
    <s v="Munich"/>
    <s v="Small Business"/>
    <x v="4"/>
    <x v="9"/>
    <x v="4"/>
    <x v="456"/>
    <n v="174.74"/>
    <n v="415.96"/>
    <n v="0.125"/>
    <n v="0.125"/>
    <n v="0"/>
    <n v="21"/>
    <n v="7643.2649999999994"/>
    <n v="3669.54"/>
    <n v="3973.7249999999995"/>
    <n v="0.51989889137691803"/>
    <e v="#NUM!"/>
    <e v="#NUM!"/>
    <e v="#NUM!"/>
  </r>
  <r>
    <s v="ORD-2024-202166"/>
    <x v="374"/>
    <x v="7"/>
    <d v="2023-04-01T00:00:00"/>
    <m/>
    <s v="Q2-2024"/>
    <d v="2024-05-18T00:00:00"/>
    <d v="2024-05-18T00:00:00"/>
    <n v="13"/>
    <n v="0"/>
    <n v="0"/>
    <x v="3"/>
    <x v="7"/>
    <s v="Marseille"/>
    <s v="Corporate"/>
    <x v="2"/>
    <x v="8"/>
    <x v="0"/>
    <x v="457"/>
    <n v="1264.04"/>
    <n v="1870.89"/>
    <n v="0"/>
    <n v="0"/>
    <n v="0"/>
    <n v="13"/>
    <n v="24321.57"/>
    <n v="16432.52"/>
    <n v="7889.0499999999993"/>
    <n v="0.32436433996653996"/>
    <e v="#NUM!"/>
    <e v="#NUM!"/>
    <e v="#NUM!"/>
  </r>
  <r>
    <s v="ORD-2023-539967"/>
    <x v="375"/>
    <x v="24"/>
    <d v="2023-03-01T00:00:00"/>
    <m/>
    <s v="Q3-2023"/>
    <d v="2023-07-19T00:00:00"/>
    <d v="2023-07-19T00:00:00"/>
    <n v="10"/>
    <n v="0"/>
    <n v="0"/>
    <x v="1"/>
    <x v="2"/>
    <s v="Tokyo"/>
    <s v="Enterprise"/>
    <x v="3"/>
    <x v="13"/>
    <x v="0"/>
    <x v="458"/>
    <n v="141.26"/>
    <n v="206.88"/>
    <n v="0.107"/>
    <n v="0.107"/>
    <n v="0"/>
    <n v="9"/>
    <n v="1662.6945600000001"/>
    <n v="1271.3399999999999"/>
    <n v="391.35456000000022"/>
    <n v="0.23537369365062469"/>
    <e v="#NUM!"/>
    <e v="#NUM!"/>
    <e v="#NUM!"/>
  </r>
  <r>
    <s v="ORD-2023-704111"/>
    <x v="361"/>
    <x v="15"/>
    <d v="2023-01-01T00:00:00"/>
    <m/>
    <s v="Q2-2023"/>
    <d v="2023-06-15T00:00:00"/>
    <d v="2023-06-15T00:00:00"/>
    <n v="29"/>
    <n v="0"/>
    <n v="0"/>
    <x v="0"/>
    <x v="11"/>
    <s v="Durban"/>
    <s v="Enterprise"/>
    <x v="0"/>
    <x v="11"/>
    <x v="6"/>
    <x v="459"/>
    <n v="40.89"/>
    <n v="62.82"/>
    <n v="0.129"/>
    <n v="0.129"/>
    <n v="0"/>
    <n v="17"/>
    <n v="930.17574000000002"/>
    <n v="695.13"/>
    <n v="235.04574000000002"/>
    <n v="0.25268960465470752"/>
    <e v="#NUM!"/>
    <e v="#NUM!"/>
    <e v="#NUM!"/>
  </r>
  <r>
    <s v="ORD-2024-356812"/>
    <x v="34"/>
    <x v="0"/>
    <d v="2023-01-01T00:00:00"/>
    <m/>
    <s v="Q1-2024"/>
    <d v="2024-04-03T00:00:00"/>
    <d v="2024-04-03T00:00:00"/>
    <n v="27"/>
    <n v="0"/>
    <n v="0"/>
    <x v="3"/>
    <x v="6"/>
    <s v="Frankfurt"/>
    <s v="Corporate"/>
    <x v="4"/>
    <x v="12"/>
    <x v="1"/>
    <x v="460"/>
    <n v="738.16"/>
    <n v="956.49"/>
    <n v="0.152"/>
    <n v="0.152"/>
    <n v="0"/>
    <n v="5"/>
    <n v="4055.5175999999997"/>
    <n v="3690.7999999999997"/>
    <n v="364.71759999999995"/>
    <n v="8.9931208780847108E-2"/>
    <e v="#NUM!"/>
    <e v="#NUM!"/>
    <e v="#NUM!"/>
  </r>
  <r>
    <s v="ORD-2025-306251"/>
    <x v="376"/>
    <x v="19"/>
    <d v="2023-01-01T00:00:00"/>
    <m/>
    <s v="Q2-2025"/>
    <d v="2025-04-19T00:00:00"/>
    <d v="2025-04-19T00:00:00"/>
    <n v="9"/>
    <n v="0"/>
    <n v="0"/>
    <x v="0"/>
    <x v="11"/>
    <s v="Durban"/>
    <s v="Enterprise"/>
    <x v="5"/>
    <x v="3"/>
    <x v="2"/>
    <x v="461"/>
    <n v="113.74"/>
    <n v="165.7"/>
    <n v="0.124"/>
    <n v="0.124"/>
    <n v="0"/>
    <n v="13"/>
    <n v="1886.9915999999998"/>
    <n v="1478.62"/>
    <n v="408.37159999999994"/>
    <n v="0.21641410592394794"/>
    <e v="#NUM!"/>
    <e v="#NUM!"/>
    <e v="#NUM!"/>
  </r>
  <r>
    <s v="ORD-2025-496178"/>
    <x v="377"/>
    <x v="13"/>
    <d v="2023-03-01T00:00:00"/>
    <m/>
    <s v="Q3-2025"/>
    <d v="2025-08-15T00:00:00"/>
    <d v="2025-08-15T00:00:00"/>
    <n v="19"/>
    <n v="0"/>
    <n v="0"/>
    <x v="1"/>
    <x v="2"/>
    <s v="Tokyo"/>
    <s v="Small Business"/>
    <x v="2"/>
    <x v="1"/>
    <x v="0"/>
    <x v="462"/>
    <n v="275.43"/>
    <n v="608.36"/>
    <n v="0.25700000000000001"/>
    <n v="0.25700000000000001"/>
    <n v="1"/>
    <n v="4"/>
    <n v="1808.04592"/>
    <n v="1101.72"/>
    <n v="706.32592"/>
    <n v="0.39065706915231446"/>
    <e v="#NUM!"/>
    <e v="#NUM!"/>
    <e v="#NUM!"/>
  </r>
  <r>
    <s v="ORD-2024-508213"/>
    <x v="378"/>
    <x v="18"/>
    <d v="2023-05-01T00:00:00"/>
    <m/>
    <s v="Q4-2024"/>
    <d v="2024-12-15T00:00:00"/>
    <d v="2024-12-15T00:00:00"/>
    <n v="23"/>
    <n v="0"/>
    <n v="0"/>
    <x v="0"/>
    <x v="0"/>
    <s v="Mombasa"/>
    <s v="Non-Profit"/>
    <x v="3"/>
    <x v="0"/>
    <x v="0"/>
    <x v="463"/>
    <n v="1335.76"/>
    <n v="2665.91"/>
    <n v="0.21099999999999999"/>
    <n v="0.21099999999999999"/>
    <n v="1"/>
    <n v="40"/>
    <n v="84136.119600000005"/>
    <n v="53430.400000000001"/>
    <n v="30705.719600000004"/>
    <n v="0.36495288522909253"/>
    <e v="#NUM!"/>
    <e v="#NUM!"/>
    <e v="#NUM!"/>
  </r>
  <r>
    <s v="ORD-2024-787018"/>
    <x v="303"/>
    <x v="17"/>
    <d v="2023-02-01T00:00:00"/>
    <m/>
    <s v="Q2-2024"/>
    <d v="2024-06-28T00:00:00"/>
    <d v="2024-06-28T00:00:00"/>
    <n v="5"/>
    <n v="1"/>
    <n v="1"/>
    <x v="0"/>
    <x v="1"/>
    <s v="Port Harcourt"/>
    <s v="Non-Profit"/>
    <x v="4"/>
    <x v="12"/>
    <x v="6"/>
    <x v="464"/>
    <n v="242.31"/>
    <n v="587.95000000000005"/>
    <n v="0.22900000000000001"/>
    <n v="0.22900000000000001"/>
    <n v="1"/>
    <n v="6"/>
    <n v="2719.8567000000003"/>
    <n v="1453.8600000000001"/>
    <n v="1265.9967000000001"/>
    <n v="0.46546448568411714"/>
    <e v="#NUM!"/>
    <e v="#NUM!"/>
    <e v="#NUM!"/>
  </r>
  <r>
    <s v="ORD-2023-728177"/>
    <x v="379"/>
    <x v="4"/>
    <d v="2023-05-01T00:00:00"/>
    <m/>
    <s v="Q4-2023"/>
    <d v="2024-01-14T00:00:00"/>
    <d v="2024-01-14T00:00:00"/>
    <n v="27"/>
    <n v="0"/>
    <n v="0"/>
    <x v="1"/>
    <x v="4"/>
    <s v="Mumbai"/>
    <s v="Consumer"/>
    <x v="3"/>
    <x v="14"/>
    <x v="2"/>
    <x v="465"/>
    <n v="1408.3"/>
    <n v="2193.13"/>
    <n v="7.0999999999999994E-2"/>
    <n v="7.0999999999999994E-2"/>
    <n v="0"/>
    <n v="7"/>
    <n v="14261.92439"/>
    <n v="9858.1"/>
    <n v="4403.8243899999998"/>
    <n v="0.30878191957656281"/>
    <e v="#NUM!"/>
    <e v="#NUM!"/>
    <e v="#NUM!"/>
  </r>
  <r>
    <s v="ORD-2025-795385"/>
    <x v="261"/>
    <x v="16"/>
    <d v="2023-01-01T00:00:00"/>
    <m/>
    <s v="Q2-2025"/>
    <d v="2025-06-05T00:00:00"/>
    <d v="2025-06-05T00:00:00"/>
    <n v="4"/>
    <n v="1"/>
    <n v="1"/>
    <x v="3"/>
    <x v="6"/>
    <s v="Munich"/>
    <s v="Enterprise"/>
    <x v="4"/>
    <x v="12"/>
    <x v="0"/>
    <x v="466"/>
    <n v="1171.42"/>
    <n v="2187.8000000000002"/>
    <n v="0.23"/>
    <n v="0.23"/>
    <n v="1"/>
    <n v="15"/>
    <n v="25269.09"/>
    <n v="17571.300000000003"/>
    <n v="7697.7899999999972"/>
    <n v="0.30463265594447592"/>
    <e v="#NUM!"/>
    <e v="#NUM!"/>
    <e v="#NUM!"/>
  </r>
  <r>
    <s v="ORD-2025-947929"/>
    <x v="380"/>
    <x v="3"/>
    <d v="2023-01-01T00:00:00"/>
    <m/>
    <s v="Q1-2025"/>
    <d v="2025-04-02T00:00:00"/>
    <d v="2025-04-02T00:00:00"/>
    <n v="10"/>
    <n v="0"/>
    <n v="0"/>
    <x v="3"/>
    <x v="6"/>
    <s v="Berlin"/>
    <s v="Enterprise"/>
    <x v="1"/>
    <x v="6"/>
    <x v="1"/>
    <x v="467"/>
    <n v="663.61"/>
    <n v="1002.11"/>
    <n v="4.5999999999999999E-2"/>
    <n v="4.5999999999999999E-2"/>
    <n v="0"/>
    <n v="17"/>
    <n v="16252.219979999998"/>
    <n v="11281.37"/>
    <n v="4970.8499799999972"/>
    <n v="0.30585667595670812"/>
    <e v="#NUM!"/>
    <e v="#NUM!"/>
    <e v="#NUM!"/>
  </r>
  <r>
    <s v="ORD-2023-931633"/>
    <x v="381"/>
    <x v="15"/>
    <d v="2023-05-01T00:00:00"/>
    <m/>
    <s v="Q2-2023"/>
    <d v="2023-05-22T00:00:00"/>
    <d v="2023-05-22T00:00:00"/>
    <n v="8"/>
    <n v="0"/>
    <n v="0"/>
    <x v="0"/>
    <x v="0"/>
    <s v="Mombasa"/>
    <s v="Small Business"/>
    <x v="3"/>
    <x v="9"/>
    <x v="1"/>
    <x v="468"/>
    <n v="432.01"/>
    <n v="913.78"/>
    <n v="4.9000000000000002E-2"/>
    <n v="4.9000000000000002E-2"/>
    <n v="0"/>
    <n v="12"/>
    <n v="10428.057360000001"/>
    <n v="5184.12"/>
    <n v="5243.9373600000008"/>
    <n v="0.50286809699711899"/>
    <e v="#NUM!"/>
    <e v="#NUM!"/>
    <e v="#NUM!"/>
  </r>
  <r>
    <s v="ORD-2023-243704"/>
    <x v="344"/>
    <x v="25"/>
    <d v="2023-04-01T00:00:00"/>
    <m/>
    <s v="Q3-2023"/>
    <d v="2023-09-19T00:00:00"/>
    <d v="2023-09-19T00:00:00"/>
    <n v="21"/>
    <n v="0"/>
    <n v="0"/>
    <x v="3"/>
    <x v="7"/>
    <s v="Lyon"/>
    <s v="Small Business"/>
    <x v="4"/>
    <x v="5"/>
    <x v="1"/>
    <x v="469"/>
    <n v="784.46"/>
    <n v="1843.51"/>
    <n v="0.13800000000000001"/>
    <n v="0.13800000000000001"/>
    <n v="0"/>
    <n v="23"/>
    <n v="36549.429260000004"/>
    <n v="18042.580000000002"/>
    <n v="18506.849260000003"/>
    <n v="0.50635125184441798"/>
    <e v="#NUM!"/>
    <e v="#NUM!"/>
    <e v="#NUM!"/>
  </r>
  <r>
    <s v="ORD-2025-779659"/>
    <x v="349"/>
    <x v="13"/>
    <d v="2023-01-01T00:00:00"/>
    <m/>
    <s v="Q3-2025"/>
    <d v="2025-07-23T00:00:00"/>
    <d v="2025-07-23T00:00:00"/>
    <n v="20"/>
    <n v="0"/>
    <n v="0"/>
    <x v="1"/>
    <x v="9"/>
    <s v="Beijing"/>
    <s v="Small Business"/>
    <x v="1"/>
    <x v="12"/>
    <x v="0"/>
    <x v="470"/>
    <n v="647.36"/>
    <n v="1383.6"/>
    <n v="7.3999999999999996E-2"/>
    <n v="7.3999999999999996E-2"/>
    <n v="0"/>
    <n v="12"/>
    <n v="15374.563199999999"/>
    <n v="7768.32"/>
    <n v="7606.243199999999"/>
    <n v="0.49472906000997802"/>
    <e v="#NUM!"/>
    <e v="#NUM!"/>
    <e v="#NUM!"/>
  </r>
  <r>
    <s v="ORD-2024-647571"/>
    <x v="382"/>
    <x v="31"/>
    <d v="2023-07-01T00:00:00"/>
    <m/>
    <s v="Q1-2024"/>
    <d v="2024-02-28T00:00:00"/>
    <d v="2024-02-28T00:00:00"/>
    <n v="22"/>
    <n v="0"/>
    <n v="0"/>
    <x v="0"/>
    <x v="0"/>
    <s v="Kisumu"/>
    <s v="Non-Profit"/>
    <x v="1"/>
    <x v="11"/>
    <x v="5"/>
    <x v="471"/>
    <n v="834.93"/>
    <n v="1588.53"/>
    <n v="0.126"/>
    <n v="0.126"/>
    <n v="0"/>
    <n v="6"/>
    <n v="8330.2513199999994"/>
    <n v="5009.58"/>
    <n v="3320.6713199999995"/>
    <n v="0.39862798761274343"/>
    <e v="#NUM!"/>
    <e v="#NUM!"/>
    <e v="#NUM!"/>
  </r>
  <r>
    <s v="ORD-2025-683043"/>
    <x v="383"/>
    <x v="28"/>
    <d v="2023-04-01T00:00:00"/>
    <m/>
    <s v="Q3-2025"/>
    <d v="2025-09-03T00:00:00"/>
    <d v="2025-09-03T00:00:00"/>
    <n v="21"/>
    <n v="0"/>
    <n v="0"/>
    <x v="3"/>
    <x v="7"/>
    <s v="Paris"/>
    <s v="Education"/>
    <x v="0"/>
    <x v="2"/>
    <x v="3"/>
    <x v="472"/>
    <n v="603.47"/>
    <n v="1344.05"/>
    <n v="0.20499999999999999"/>
    <n v="0.20499999999999999"/>
    <n v="1"/>
    <n v="18"/>
    <n v="19233.355499999998"/>
    <n v="10862.460000000001"/>
    <n v="8370.8954999999969"/>
    <n v="0.43522803392262976"/>
    <e v="#NUM!"/>
    <e v="#NUM!"/>
    <e v="#NUM!"/>
  </r>
  <r>
    <s v="ORD-2023-588455"/>
    <x v="206"/>
    <x v="15"/>
    <d v="2023-01-01T00:00:00"/>
    <m/>
    <s v="Q2-2023"/>
    <d v="2023-05-25T00:00:00"/>
    <d v="2023-05-25T00:00:00"/>
    <n v="2"/>
    <n v="1"/>
    <n v="1"/>
    <x v="2"/>
    <x v="5"/>
    <s v="Rio de Janeiro"/>
    <s v="Enterprise"/>
    <x v="0"/>
    <x v="12"/>
    <x v="1"/>
    <x v="473"/>
    <n v="690.49"/>
    <n v="1290.29"/>
    <n v="4.2000000000000003E-2"/>
    <n v="4.2000000000000003E-2"/>
    <n v="0"/>
    <n v="22"/>
    <n v="27194.152039999997"/>
    <n v="15190.78"/>
    <n v="12003.372039999997"/>
    <n v="0.44139534199647718"/>
    <e v="#NUM!"/>
    <e v="#NUM!"/>
    <e v="#NUM!"/>
  </r>
  <r>
    <s v="ORD-2024-641220"/>
    <x v="384"/>
    <x v="7"/>
    <d v="2023-04-01T00:00:00"/>
    <m/>
    <s v="Q2-2024"/>
    <d v="2024-05-16T00:00:00"/>
    <d v="2024-05-16T00:00:00"/>
    <n v="6"/>
    <n v="1"/>
    <n v="1"/>
    <x v="3"/>
    <x v="8"/>
    <s v="Birmingham"/>
    <s v="Non-Profit"/>
    <x v="4"/>
    <x v="3"/>
    <x v="4"/>
    <x v="474"/>
    <n v="210.76"/>
    <n v="221.58"/>
    <n v="8.8999999999999996E-2"/>
    <n v="8.8999999999999996E-2"/>
    <n v="0"/>
    <n v="5"/>
    <n v="1009.2969000000002"/>
    <n v="1053.8"/>
    <n v="-44.50309999999979"/>
    <n v="-4.4093170205912434E-2"/>
    <e v="#NUM!"/>
    <e v="#NUM!"/>
    <e v="#NUM!"/>
  </r>
  <r>
    <s v="ORD-2023-799597"/>
    <x v="210"/>
    <x v="22"/>
    <d v="2023-01-01T00:00:00"/>
    <m/>
    <s v="Q1-2023"/>
    <d v="2023-03-18T00:00:00"/>
    <d v="2023-03-18T00:00:00"/>
    <n v="4"/>
    <n v="1"/>
    <n v="1"/>
    <x v="3"/>
    <x v="6"/>
    <s v="Frankfurt"/>
    <s v="Enterprise"/>
    <x v="4"/>
    <x v="8"/>
    <x v="0"/>
    <x v="475"/>
    <n v="472.33"/>
    <n v="360.34"/>
    <n v="0.16500000000000001"/>
    <n v="0.16500000000000001"/>
    <n v="0"/>
    <n v="14"/>
    <n v="4212.3745999999992"/>
    <n v="6612.62"/>
    <n v="-2400.2454000000007"/>
    <n v="-0.56980815523861561"/>
    <e v="#NUM!"/>
    <e v="#NUM!"/>
    <e v="#NUM!"/>
  </r>
  <r>
    <s v="ORD-2023-569862"/>
    <x v="385"/>
    <x v="24"/>
    <d v="2023-04-01T00:00:00"/>
    <m/>
    <s v="Q3-2023"/>
    <d v="2023-08-13T00:00:00"/>
    <d v="2023-08-13T00:00:00"/>
    <n v="28"/>
    <n v="0"/>
    <n v="0"/>
    <x v="3"/>
    <x v="8"/>
    <s v="Manchester"/>
    <s v="Non-Profit"/>
    <x v="1"/>
    <x v="1"/>
    <x v="4"/>
    <x v="476"/>
    <n v="1039.03"/>
    <n v="2545.81"/>
    <n v="0.216"/>
    <n v="0.216"/>
    <n v="1"/>
    <n v="21"/>
    <n v="41914.215840000004"/>
    <n v="21819.63"/>
    <n v="20094.585840000003"/>
    <n v="0.47942172929364774"/>
    <e v="#NUM!"/>
    <e v="#NUM!"/>
    <e v="#NUM!"/>
  </r>
  <r>
    <s v="ORD-2023-609394"/>
    <x v="386"/>
    <x v="12"/>
    <d v="2023-01-01T00:00:00"/>
    <m/>
    <s v="Q2-2023"/>
    <d v="2023-04-19T00:00:00"/>
    <d v="2023-04-19T00:00:00"/>
    <n v="3"/>
    <n v="1"/>
    <n v="1"/>
    <x v="3"/>
    <x v="6"/>
    <s v="Munich"/>
    <s v="Corporate"/>
    <x v="4"/>
    <x v="5"/>
    <x v="6"/>
    <x v="477"/>
    <n v="553.61"/>
    <n v="699.47"/>
    <n v="0.02"/>
    <n v="0.02"/>
    <n v="0"/>
    <n v="33"/>
    <n v="22620.859800000002"/>
    <n v="18269.13"/>
    <n v="4351.729800000001"/>
    <n v="0.19237685209472014"/>
    <e v="#NUM!"/>
    <e v="#NUM!"/>
    <e v="#NUM!"/>
  </r>
  <r>
    <s v="ORD-2024-105586"/>
    <x v="278"/>
    <x v="9"/>
    <d v="2023-03-01T00:00:00"/>
    <m/>
    <s v="Q1-2024"/>
    <d v="2024-01-15T00:00:00"/>
    <d v="2024-01-15T00:00:00"/>
    <n v="13"/>
    <n v="0"/>
    <n v="0"/>
    <x v="1"/>
    <x v="2"/>
    <s v="Nagoya"/>
    <s v="Small Business"/>
    <x v="2"/>
    <x v="3"/>
    <x v="2"/>
    <x v="478"/>
    <n v="1219.06"/>
    <n v="2738.69"/>
    <n v="7.5999999999999998E-2"/>
    <n v="7.5999999999999998E-2"/>
    <n v="0"/>
    <n v="16"/>
    <n v="40488.792960000006"/>
    <n v="19504.96"/>
    <n v="20983.832960000007"/>
    <n v="0.51826274447673737"/>
    <e v="#NUM!"/>
    <e v="#NUM!"/>
    <e v="#NUM!"/>
  </r>
  <r>
    <s v="ORD-2024-207792"/>
    <x v="208"/>
    <x v="29"/>
    <d v="2023-03-01T00:00:00"/>
    <m/>
    <s v="Q3-2024"/>
    <d v="2024-09-07T00:00:00"/>
    <d v="2024-09-07T00:00:00"/>
    <n v="4"/>
    <n v="1"/>
    <n v="1"/>
    <x v="1"/>
    <x v="2"/>
    <s v="Tokyo"/>
    <s v="Small Business"/>
    <x v="3"/>
    <x v="13"/>
    <x v="1"/>
    <x v="479"/>
    <n v="43.23"/>
    <n v="94.78"/>
    <n v="9.0999999999999998E-2"/>
    <n v="9.0999999999999998E-2"/>
    <n v="0"/>
    <n v="55"/>
    <n v="4738.5261"/>
    <n v="2377.6499999999996"/>
    <n v="2360.8761000000004"/>
    <n v="0.49823005090127082"/>
    <e v="#NUM!"/>
    <e v="#NUM!"/>
    <e v="#NUM!"/>
  </r>
  <r>
    <s v="ORD-2025-417336"/>
    <x v="387"/>
    <x v="28"/>
    <d v="2023-04-01T00:00:00"/>
    <m/>
    <s v="Q3-2025"/>
    <d v="2025-09-03T00:00:00"/>
    <d v="2025-09-03T00:00:00"/>
    <n v="4"/>
    <n v="1"/>
    <n v="1"/>
    <x v="3"/>
    <x v="7"/>
    <s v="Marseille"/>
    <s v="Small Business"/>
    <x v="2"/>
    <x v="1"/>
    <x v="4"/>
    <x v="480"/>
    <n v="1286.56"/>
    <n v="2777.35"/>
    <n v="0.13200000000000001"/>
    <n v="0.13200000000000001"/>
    <n v="0"/>
    <n v="15"/>
    <n v="36161.097000000002"/>
    <n v="19298.399999999998"/>
    <n v="16862.697000000004"/>
    <n v="0.46632150014696744"/>
    <e v="#NUM!"/>
    <e v="#NUM!"/>
    <e v="#NUM!"/>
  </r>
  <r>
    <s v="ORD-2025-252117"/>
    <x v="86"/>
    <x v="19"/>
    <d v="2023-01-01T00:00:00"/>
    <m/>
    <s v="Q2-2025"/>
    <d v="2025-05-19T00:00:00"/>
    <d v="2025-05-19T00:00:00"/>
    <n v="21"/>
    <n v="0"/>
    <n v="0"/>
    <x v="3"/>
    <x v="6"/>
    <s v="Berlin"/>
    <s v="Corporate"/>
    <x v="3"/>
    <x v="5"/>
    <x v="3"/>
    <x v="481"/>
    <n v="350.76"/>
    <n v="492.18"/>
    <n v="5.2999999999999999E-2"/>
    <n v="5.2999999999999999E-2"/>
    <n v="0"/>
    <n v="11"/>
    <n v="5127.0390600000001"/>
    <n v="3858.3599999999997"/>
    <n v="1268.6790600000004"/>
    <n v="0.24744868239798437"/>
    <e v="#NUM!"/>
    <e v="#NUM!"/>
    <e v="#NUM!"/>
  </r>
  <r>
    <s v="ORD-2023-867175"/>
    <x v="388"/>
    <x v="25"/>
    <d v="2023-01-01T00:00:00"/>
    <m/>
    <s v="Q3-2023"/>
    <d v="2023-08-15T00:00:00"/>
    <d v="2023-08-15T00:00:00"/>
    <n v="5"/>
    <n v="1"/>
    <n v="1"/>
    <x v="2"/>
    <x v="5"/>
    <s v="São Paulo"/>
    <s v="Education"/>
    <x v="4"/>
    <x v="3"/>
    <x v="2"/>
    <x v="482"/>
    <n v="1307.52"/>
    <n v="1921.65"/>
    <n v="0.123"/>
    <n v="0.123"/>
    <n v="0"/>
    <n v="13"/>
    <n v="21908.731650000002"/>
    <n v="16997.759999999998"/>
    <n v="4910.9716500000031"/>
    <n v="0.22415590863289445"/>
    <e v="#NUM!"/>
    <e v="#NUM!"/>
    <e v="#NUM!"/>
  </r>
  <r>
    <s v="ORD-2024-382152"/>
    <x v="389"/>
    <x v="6"/>
    <d v="2023-04-01T00:00:00"/>
    <m/>
    <s v="Q4-2024"/>
    <d v="2024-12-08T00:00:00"/>
    <d v="2024-12-08T00:00:00"/>
    <n v="0"/>
    <n v="1"/>
    <n v="1"/>
    <x v="3"/>
    <x v="7"/>
    <s v="Lyon"/>
    <s v="Enterprise"/>
    <x v="0"/>
    <x v="10"/>
    <x v="0"/>
    <x v="483"/>
    <n v="257.44"/>
    <n v="290.33"/>
    <n v="9.1999999999999998E-2"/>
    <n v="9.1999999999999998E-2"/>
    <n v="0"/>
    <n v="23"/>
    <n v="6063.2517199999993"/>
    <n v="5921.12"/>
    <n v="142.1317199999994"/>
    <n v="2.3441500792581216E-2"/>
    <e v="#NUM!"/>
    <e v="#NUM!"/>
    <e v="#NUM!"/>
  </r>
  <r>
    <s v="ORD-2023-597666"/>
    <x v="390"/>
    <x v="32"/>
    <d v="2023-04-01T00:00:00"/>
    <m/>
    <s v="Q4-2023"/>
    <d v="2023-11-24T00:00:00"/>
    <d v="2023-11-24T00:00:00"/>
    <n v="30"/>
    <n v="0"/>
    <n v="0"/>
    <x v="3"/>
    <x v="7"/>
    <s v="Paris"/>
    <s v="Enterprise"/>
    <x v="3"/>
    <x v="0"/>
    <x v="3"/>
    <x v="484"/>
    <n v="287.85000000000002"/>
    <n v="602.91999999999996"/>
    <n v="0.222"/>
    <n v="0.222"/>
    <n v="1"/>
    <n v="11"/>
    <n v="5159.7893599999998"/>
    <n v="3166.3500000000004"/>
    <n v="1993.4393599999994"/>
    <n v="0.38634122847216373"/>
    <e v="#NUM!"/>
    <e v="#NUM!"/>
    <e v="#NUM!"/>
  </r>
  <r>
    <s v="ORD-2024-371409"/>
    <x v="391"/>
    <x v="18"/>
    <d v="2023-04-01T00:00:00"/>
    <m/>
    <s v="Q4-2024"/>
    <d v="2024-11-28T00:00:00"/>
    <d v="2024-11-28T00:00:00"/>
    <n v="11"/>
    <n v="0"/>
    <n v="0"/>
    <x v="2"/>
    <x v="3"/>
    <s v="Ottawa"/>
    <s v="Consumer"/>
    <x v="3"/>
    <x v="8"/>
    <x v="1"/>
    <x v="485"/>
    <n v="1008.16"/>
    <n v="2077.5"/>
    <n v="7.3999999999999996E-2"/>
    <n v="7.3999999999999996E-2"/>
    <n v="0"/>
    <n v="15"/>
    <n v="28856.475000000002"/>
    <n v="15122.4"/>
    <n v="13734.075000000003"/>
    <n v="0.47594430712691005"/>
    <e v="#NUM!"/>
    <e v="#NUM!"/>
    <e v="#NUM!"/>
  </r>
  <r>
    <s v="ORD-2024-973420"/>
    <x v="392"/>
    <x v="7"/>
    <d v="2023-04-01T00:00:00"/>
    <m/>
    <s v="Q2-2024"/>
    <d v="2024-05-24T00:00:00"/>
    <d v="2024-05-24T00:00:00"/>
    <n v="12"/>
    <n v="0"/>
    <n v="0"/>
    <x v="3"/>
    <x v="8"/>
    <s v="Manchester"/>
    <s v="Education"/>
    <x v="2"/>
    <x v="11"/>
    <x v="1"/>
    <x v="486"/>
    <n v="111.02"/>
    <n v="172.88"/>
    <n v="0.19700000000000001"/>
    <n v="0.19700000000000001"/>
    <n v="0"/>
    <n v="29"/>
    <n v="4025.8565599999993"/>
    <n v="3219.58"/>
    <n v="806.27655999999934"/>
    <n v="0.20027453735212053"/>
    <e v="#NUM!"/>
    <e v="#NUM!"/>
    <e v="#NUM!"/>
  </r>
  <r>
    <s v="ORD-2025-254721"/>
    <x v="393"/>
    <x v="8"/>
    <d v="2023-03-01T00:00:00"/>
    <m/>
    <s v="Q2-2025"/>
    <d v="2025-06-05T00:00:00"/>
    <d v="2025-06-05T00:00:00"/>
    <n v="21"/>
    <n v="0"/>
    <n v="0"/>
    <x v="1"/>
    <x v="2"/>
    <s v="Osaka"/>
    <s v="Enterprise"/>
    <x v="4"/>
    <x v="10"/>
    <x v="3"/>
    <x v="487"/>
    <n v="1466.5"/>
    <n v="2778.74"/>
    <n v="0.13500000000000001"/>
    <n v="0.13500000000000001"/>
    <n v="0"/>
    <n v="4"/>
    <n v="9614.4403999999995"/>
    <n v="5866"/>
    <n v="3748.4403999999995"/>
    <n v="0.38987608680792279"/>
    <e v="#NUM!"/>
    <e v="#NUM!"/>
    <e v="#NUM!"/>
  </r>
  <r>
    <s v="ORD-2024-247032"/>
    <x v="394"/>
    <x v="20"/>
    <d v="2023-02-01T00:00:00"/>
    <m/>
    <s v="Q2-2024"/>
    <d v="2024-05-19T00:00:00"/>
    <d v="2024-05-19T00:00:00"/>
    <n v="28"/>
    <n v="0"/>
    <n v="0"/>
    <x v="0"/>
    <x v="1"/>
    <s v="Lagos"/>
    <s v="Corporate"/>
    <x v="3"/>
    <x v="8"/>
    <x v="6"/>
    <x v="488"/>
    <n v="187.22"/>
    <n v="309.47000000000003"/>
    <n v="0"/>
    <n v="0"/>
    <n v="0"/>
    <n v="5"/>
    <n v="1547.3500000000001"/>
    <n v="936.1"/>
    <n v="611.25000000000011"/>
    <n v="0.39503021294471197"/>
    <e v="#NUM!"/>
    <e v="#NUM!"/>
    <e v="#NUM!"/>
  </r>
  <r>
    <s v="ORD-2024-792353"/>
    <x v="395"/>
    <x v="21"/>
    <d v="2023-04-01T00:00:00"/>
    <m/>
    <s v="Q3-2024"/>
    <d v="2024-09-07T00:00:00"/>
    <d v="2024-09-07T00:00:00"/>
    <n v="19"/>
    <n v="0"/>
    <n v="0"/>
    <x v="3"/>
    <x v="7"/>
    <s v="Lyon"/>
    <s v="Corporate"/>
    <x v="4"/>
    <x v="1"/>
    <x v="0"/>
    <x v="489"/>
    <n v="297.58999999999997"/>
    <n v="666.41"/>
    <n v="0"/>
    <n v="0"/>
    <n v="0"/>
    <n v="10"/>
    <n v="6664.0999999999995"/>
    <n v="2975.8999999999996"/>
    <n v="3688.2"/>
    <n v="0.55344307558409989"/>
    <e v="#NUM!"/>
    <e v="#NUM!"/>
    <e v="#NUM!"/>
  </r>
  <r>
    <s v="ORD-2025-703623"/>
    <x v="318"/>
    <x v="13"/>
    <d v="2023-03-01T00:00:00"/>
    <m/>
    <s v="Q3-2025"/>
    <d v="2025-08-19T00:00:00"/>
    <d v="2025-08-19T00:00:00"/>
    <n v="27"/>
    <n v="0"/>
    <n v="0"/>
    <x v="1"/>
    <x v="2"/>
    <s v="Nagoya"/>
    <s v="Consumer"/>
    <x v="2"/>
    <x v="5"/>
    <x v="6"/>
    <x v="490"/>
    <n v="896.09"/>
    <n v="744.27"/>
    <n v="8.3000000000000004E-2"/>
    <n v="8.3000000000000004E-2"/>
    <n v="0"/>
    <n v="11"/>
    <n v="7507.4514899999995"/>
    <n v="9856.99"/>
    <n v="-2349.5385100000003"/>
    <n v="-0.31296086469950679"/>
    <e v="#NUM!"/>
    <e v="#NUM!"/>
    <e v="#NUM!"/>
  </r>
  <r>
    <s v="ORD-2024-516704"/>
    <x v="396"/>
    <x v="0"/>
    <d v="2023-01-01T00:00:00"/>
    <m/>
    <s v="Q1-2024"/>
    <d v="2024-02-29T00:00:00"/>
    <d v="2024-03-04T00:00:00"/>
    <n v="3"/>
    <n v="1"/>
    <n v="1"/>
    <x v="2"/>
    <x v="5"/>
    <s v="São Paulo"/>
    <s v="Non-Profit"/>
    <x v="4"/>
    <x v="2"/>
    <x v="3"/>
    <x v="491"/>
    <n v="5.34"/>
    <n v="12.69"/>
    <n v="0.13200000000000001"/>
    <n v="0.13200000000000001"/>
    <n v="0"/>
    <n v="10"/>
    <n v="110.14919999999999"/>
    <n v="53.4"/>
    <n v="56.749199999999995"/>
    <n v="0.51520301554618642"/>
    <e v="#NUM!"/>
    <e v="#NUM!"/>
    <e v="#NUM!"/>
  </r>
  <r>
    <s v="ORD-2024-578646"/>
    <x v="397"/>
    <x v="7"/>
    <d v="2023-05-01T00:00:00"/>
    <m/>
    <s v="Q2-2024"/>
    <d v="2024-06-17T00:00:00"/>
    <d v="2024-06-17T00:00:00"/>
    <n v="21"/>
    <n v="0"/>
    <n v="0"/>
    <x v="1"/>
    <x v="4"/>
    <s v="Delhi"/>
    <s v="Small Business"/>
    <x v="1"/>
    <x v="10"/>
    <x v="6"/>
    <x v="492"/>
    <n v="465.02"/>
    <n v="651.55999999999995"/>
    <n v="4.2000000000000003E-2"/>
    <n v="4.2000000000000003E-2"/>
    <n v="0"/>
    <n v="19"/>
    <n v="11859.695119999998"/>
    <n v="8835.3799999999992"/>
    <n v="3024.3151199999993"/>
    <n v="0.25500783025187918"/>
    <e v="#NUM!"/>
    <e v="#NUM!"/>
    <e v="#NUM!"/>
  </r>
  <r>
    <s v="ORD-2024-433936"/>
    <x v="398"/>
    <x v="21"/>
    <d v="2023-02-01T00:00:00"/>
    <m/>
    <s v="Q3-2024"/>
    <d v="2024-08-17T00:00:00"/>
    <d v="2024-08-17T00:00:00"/>
    <n v="13"/>
    <n v="0"/>
    <n v="0"/>
    <x v="2"/>
    <x v="10"/>
    <s v="Austin"/>
    <s v="Consumer"/>
    <x v="0"/>
    <x v="14"/>
    <x v="5"/>
    <x v="493"/>
    <n v="352.79"/>
    <n v="754.22"/>
    <n v="0.113"/>
    <n v="0.113"/>
    <n v="0"/>
    <n v="7"/>
    <n v="4682.9519799999998"/>
    <n v="2469.5300000000002"/>
    <n v="2213.4219799999996"/>
    <n v="0.47265528014233443"/>
    <e v="#NUM!"/>
    <e v="#NUM!"/>
    <e v="#NUM!"/>
  </r>
  <r>
    <s v="ORD-2023-434071"/>
    <x v="263"/>
    <x v="23"/>
    <d v="2023-01-01T00:00:00"/>
    <m/>
    <s v="Q2-2023"/>
    <d v="2023-07-04T00:00:00"/>
    <d v="2023-07-04T00:00:00"/>
    <n v="14"/>
    <n v="0"/>
    <n v="0"/>
    <x v="2"/>
    <x v="5"/>
    <s v="Brasília"/>
    <s v="Non-Profit"/>
    <x v="4"/>
    <x v="0"/>
    <x v="2"/>
    <x v="494"/>
    <n v="1292.8599999999999"/>
    <n v="2981.01"/>
    <n v="0.14199999999999999"/>
    <n v="0.14199999999999999"/>
    <n v="0"/>
    <n v="12"/>
    <n v="30692.47896"/>
    <n v="15514.32"/>
    <n v="15178.158960000001"/>
    <n v="0.49452372288927687"/>
    <e v="#NUM!"/>
    <e v="#NUM!"/>
    <e v="#NUM!"/>
  </r>
  <r>
    <s v="ORD-2024-728474"/>
    <x v="190"/>
    <x v="29"/>
    <d v="2023-04-01T00:00:00"/>
    <m/>
    <s v="Q3-2024"/>
    <d v="2024-09-13T00:00:00"/>
    <d v="2024-09-13T00:00:00"/>
    <n v="4"/>
    <n v="1"/>
    <n v="1"/>
    <x v="3"/>
    <x v="8"/>
    <s v="London"/>
    <s v="Consumer"/>
    <x v="2"/>
    <x v="9"/>
    <x v="2"/>
    <x v="495"/>
    <n v="1133.08"/>
    <n v="976.17"/>
    <n v="4.2000000000000003E-2"/>
    <n v="4.2000000000000003E-2"/>
    <n v="0"/>
    <n v="27"/>
    <n v="25249.613219999999"/>
    <n v="30593.159999999996"/>
    <n v="-5343.5467799999969"/>
    <n v="-0.21162885678452373"/>
    <e v="#NUM!"/>
    <e v="#NUM!"/>
    <e v="#NUM!"/>
  </r>
  <r>
    <s v="ORD-2023-406606"/>
    <x v="390"/>
    <x v="32"/>
    <d v="2023-01-01T00:00:00"/>
    <m/>
    <s v="Q4-2023"/>
    <d v="2023-10-28T00:00:00"/>
    <d v="2023-10-28T00:00:00"/>
    <n v="3"/>
    <n v="1"/>
    <n v="1"/>
    <x v="2"/>
    <x v="5"/>
    <s v="Brasília"/>
    <s v="Corporate"/>
    <x v="3"/>
    <x v="4"/>
    <x v="6"/>
    <x v="496"/>
    <n v="509.31"/>
    <n v="1145.9000000000001"/>
    <n v="5.7000000000000002E-2"/>
    <n v="5.7000000000000002E-2"/>
    <n v="0"/>
    <n v="8"/>
    <n v="8644.6696000000011"/>
    <n v="4074.48"/>
    <n v="4570.1896000000015"/>
    <n v="0.52867140231709964"/>
    <e v="#NUM!"/>
    <e v="#NUM!"/>
    <e v="#NUM!"/>
  </r>
  <r>
    <s v="ORD-2025-823055"/>
    <x v="17"/>
    <x v="11"/>
    <d v="2023-01-01T00:00:00"/>
    <m/>
    <s v="Q3-2025"/>
    <d v="2025-10-05T00:00:00"/>
    <d v="2025-10-05T00:00:00"/>
    <n v="27"/>
    <n v="0"/>
    <n v="0"/>
    <x v="2"/>
    <x v="5"/>
    <s v="Rio de Janeiro"/>
    <s v="Education"/>
    <x v="1"/>
    <x v="0"/>
    <x v="5"/>
    <x v="497"/>
    <n v="660.78"/>
    <n v="1630.39"/>
    <n v="0.218"/>
    <n v="0.218"/>
    <n v="1"/>
    <n v="13"/>
    <n v="16574.544740000001"/>
    <n v="8590.14"/>
    <n v="7984.4047400000018"/>
    <n v="0.48172694123724097"/>
    <e v="#NUM!"/>
    <e v="#NUM!"/>
    <e v="#NUM!"/>
  </r>
  <r>
    <s v="ORD-2023-573656"/>
    <x v="129"/>
    <x v="15"/>
    <d v="2023-05-01T00:00:00"/>
    <m/>
    <s v="Q2-2023"/>
    <d v="2023-05-16T00:00:00"/>
    <d v="2023-05-16T00:00:00"/>
    <n v="14"/>
    <n v="0"/>
    <n v="0"/>
    <x v="1"/>
    <x v="4"/>
    <s v="Bengaluru"/>
    <s v="Non-Profit"/>
    <x v="0"/>
    <x v="4"/>
    <x v="5"/>
    <x v="498"/>
    <n v="475.37"/>
    <n v="963.73"/>
    <n v="4.1000000000000002E-2"/>
    <n v="4.1000000000000002E-2"/>
    <n v="0"/>
    <n v="22"/>
    <n v="20332.775539999999"/>
    <n v="10458.14"/>
    <n v="9874.6355399999993"/>
    <n v="0.48565113604750881"/>
    <e v="#NUM!"/>
    <e v="#NUM!"/>
    <e v="#NUM!"/>
  </r>
  <r>
    <s v="ORD-2024-567435"/>
    <x v="399"/>
    <x v="20"/>
    <d v="2023-04-01T00:00:00"/>
    <m/>
    <s v="Q2-2024"/>
    <d v="2024-04-24T00:00:00"/>
    <d v="2024-04-29T00:00:00"/>
    <n v="3"/>
    <n v="1"/>
    <n v="1"/>
    <x v="3"/>
    <x v="8"/>
    <s v="London"/>
    <s v="Non-Profit"/>
    <x v="3"/>
    <x v="13"/>
    <x v="3"/>
    <x v="499"/>
    <n v="1232.77"/>
    <n v="891.73"/>
    <n v="0.16700000000000001"/>
    <n v="0.16700000000000001"/>
    <n v="0"/>
    <n v="10"/>
    <n v="7428.1108999999988"/>
    <n v="12327.7"/>
    <n v="-4899.589100000002"/>
    <n v="-0.65960096260813805"/>
    <e v="#NUM!"/>
    <e v="#NUM!"/>
    <e v="#NUM!"/>
  </r>
  <r>
    <s v="ORD-2023-744942"/>
    <x v="29"/>
    <x v="2"/>
    <d v="2023-01-01T00:00:00"/>
    <m/>
    <s v="Q1-2023"/>
    <d v="2023-03-18T00:00:00"/>
    <d v="2023-03-18T00:00:00"/>
    <n v="23"/>
    <n v="0"/>
    <n v="0"/>
    <x v="1"/>
    <x v="9"/>
    <s v="Beijing"/>
    <s v="Education"/>
    <x v="3"/>
    <x v="11"/>
    <x v="1"/>
    <x v="500"/>
    <n v="770.11"/>
    <n v="1667.82"/>
    <n v="6.9000000000000006E-2"/>
    <n v="6.9000000000000006E-2"/>
    <n v="0"/>
    <n v="7"/>
    <n v="10869.182940000001"/>
    <n v="5390.77"/>
    <n v="5478.4129400000002"/>
    <n v="0.50403171703355287"/>
    <e v="#NUM!"/>
    <e v="#NUM!"/>
    <e v="#NUM!"/>
  </r>
  <r>
    <s v="ORD-2025-331237"/>
    <x v="400"/>
    <x v="3"/>
    <d v="2023-01-01T00:00:00"/>
    <m/>
    <s v="Q1-2025"/>
    <d v="2025-03-25T00:00:00"/>
    <d v="2025-03-25T00:00:00"/>
    <n v="1"/>
    <n v="1"/>
    <n v="1"/>
    <x v="1"/>
    <x v="9"/>
    <s v="Beijing"/>
    <s v="Non-Profit"/>
    <x v="1"/>
    <x v="3"/>
    <x v="2"/>
    <x v="501"/>
    <n v="1133.03"/>
    <n v="1921.51"/>
    <n v="0.10100000000000001"/>
    <n v="0.10100000000000001"/>
    <n v="0"/>
    <n v="5"/>
    <n v="8637.1874499999994"/>
    <n v="5665.15"/>
    <n v="2972.0374499999998"/>
    <n v="0.3440978289755654"/>
    <e v="#NUM!"/>
    <e v="#NUM!"/>
    <e v="#NUM!"/>
  </r>
  <r>
    <s v="ORD-2025-680118"/>
    <x v="401"/>
    <x v="3"/>
    <d v="2023-01-01T00:00:00"/>
    <m/>
    <s v="Q1-2025"/>
    <d v="2025-03-27T00:00:00"/>
    <d v="2025-03-27T00:00:00"/>
    <n v="17"/>
    <n v="0"/>
    <n v="0"/>
    <x v="2"/>
    <x v="5"/>
    <s v="Rio de Janeiro"/>
    <s v="Enterprise"/>
    <x v="4"/>
    <x v="9"/>
    <x v="2"/>
    <x v="502"/>
    <n v="996.73"/>
    <n v="1217.43"/>
    <n v="7.0000000000000007E-2"/>
    <n v="7.0000000000000007E-2"/>
    <n v="0"/>
    <n v="9"/>
    <n v="10189.8891"/>
    <n v="8970.57"/>
    <n v="1219.3191000000006"/>
    <n v="0.11965970267527255"/>
    <e v="#NUM!"/>
    <e v="#NUM!"/>
    <e v="#NUM!"/>
  </r>
  <r>
    <s v="ORD-2024-310809"/>
    <x v="402"/>
    <x v="20"/>
    <d v="2023-02-01T00:00:00"/>
    <m/>
    <s v="Q2-2024"/>
    <d v="2024-04-09T00:00:00"/>
    <d v="2024-04-09T00:00:00"/>
    <n v="4"/>
    <n v="1"/>
    <n v="1"/>
    <x v="0"/>
    <x v="1"/>
    <s v="Lagos"/>
    <s v="Non-Profit"/>
    <x v="4"/>
    <x v="11"/>
    <x v="0"/>
    <x v="503"/>
    <n v="395.07"/>
    <n v="970.27"/>
    <n v="0.123"/>
    <n v="0.123"/>
    <n v="0"/>
    <n v="38"/>
    <n v="32335.21802"/>
    <n v="15012.66"/>
    <n v="17322.55802"/>
    <n v="0.53571799049833657"/>
    <e v="#NUM!"/>
    <e v="#NUM!"/>
    <e v="#NUM!"/>
  </r>
  <r>
    <s v="ORD-2025-474368"/>
    <x v="60"/>
    <x v="19"/>
    <d v="2023-02-01T00:00:00"/>
    <m/>
    <s v="Q2-2025"/>
    <d v="2025-05-17T00:00:00"/>
    <d v="2025-05-17T00:00:00"/>
    <n v="20"/>
    <n v="0"/>
    <n v="0"/>
    <x v="2"/>
    <x v="10"/>
    <s v="Austin"/>
    <s v="Corporate"/>
    <x v="4"/>
    <x v="13"/>
    <x v="3"/>
    <x v="504"/>
    <n v="932.26"/>
    <n v="1624.67"/>
    <n v="0.23499999999999999"/>
    <n v="0.23499999999999999"/>
    <n v="1"/>
    <n v="28"/>
    <n v="34800.431400000001"/>
    <n v="26103.279999999999"/>
    <n v="8697.1514000000025"/>
    <n v="0.24991504559337163"/>
    <e v="#NUM!"/>
    <e v="#NUM!"/>
    <e v="#NUM!"/>
  </r>
  <r>
    <s v="ORD-2024-732543"/>
    <x v="403"/>
    <x v="1"/>
    <d v="2023-01-01T00:00:00"/>
    <m/>
    <s v="Q4-2024"/>
    <d v="2024-10-28T00:00:00"/>
    <d v="2024-10-28T00:00:00"/>
    <n v="4"/>
    <n v="1"/>
    <n v="1"/>
    <x v="1"/>
    <x v="9"/>
    <s v="Shanghai"/>
    <s v="Small Business"/>
    <x v="3"/>
    <x v="2"/>
    <x v="2"/>
    <x v="505"/>
    <n v="1331.77"/>
    <n v="2606.11"/>
    <n v="0.02"/>
    <n v="0.02"/>
    <n v="0"/>
    <n v="6"/>
    <n v="15323.926799999999"/>
    <n v="7990.62"/>
    <n v="7333.3067999999994"/>
    <n v="0.47855271665745619"/>
    <e v="#NUM!"/>
    <e v="#NUM!"/>
    <e v="#NUM!"/>
  </r>
  <r>
    <s v="ORD-2023-867166"/>
    <x v="289"/>
    <x v="12"/>
    <d v="2023-04-01T00:00:00"/>
    <m/>
    <s v="Q2-2023"/>
    <d v="2023-04-20T00:00:00"/>
    <d v="2023-04-20T00:00:00"/>
    <n v="7"/>
    <n v="1"/>
    <n v="1"/>
    <x v="3"/>
    <x v="7"/>
    <s v="Lyon"/>
    <s v="Small Business"/>
    <x v="1"/>
    <x v="8"/>
    <x v="4"/>
    <x v="506"/>
    <n v="227.02"/>
    <n v="434.72"/>
    <n v="9.8000000000000004E-2"/>
    <n v="9.8000000000000004E-2"/>
    <n v="0"/>
    <n v="10"/>
    <n v="3921.1744000000008"/>
    <n v="2270.2000000000003"/>
    <n v="1650.9744000000005"/>
    <n v="0.42104079838938052"/>
    <e v="#NUM!"/>
    <e v="#NUM!"/>
    <e v="#NUM!"/>
  </r>
  <r>
    <s v="ORD-2024-776337"/>
    <x v="404"/>
    <x v="18"/>
    <d v="2023-05-01T00:00:00"/>
    <m/>
    <s v="Q4-2024"/>
    <d v="2024-11-21T00:00:00"/>
    <d v="2024-11-21T00:00:00"/>
    <n v="9"/>
    <n v="0"/>
    <n v="0"/>
    <x v="1"/>
    <x v="4"/>
    <s v="Mumbai"/>
    <s v="Corporate"/>
    <x v="4"/>
    <x v="10"/>
    <x v="4"/>
    <x v="507"/>
    <n v="903.41"/>
    <n v="1860.41"/>
    <n v="0.108"/>
    <n v="0.108"/>
    <n v="0"/>
    <n v="5"/>
    <n v="8297.4286000000011"/>
    <n v="4517.05"/>
    <n v="3780.3786000000009"/>
    <n v="0.455608451996803"/>
    <e v="#NUM!"/>
    <e v="#NUM!"/>
    <e v="#NUM!"/>
  </r>
  <r>
    <s v="ORD-2023-913592"/>
    <x v="405"/>
    <x v="15"/>
    <d v="2023-05-01T00:00:00"/>
    <m/>
    <s v="Q2-2023"/>
    <d v="2023-05-14T00:00:00"/>
    <d v="2023-05-14T00:00:00"/>
    <n v="4"/>
    <n v="1"/>
    <n v="1"/>
    <x v="1"/>
    <x v="4"/>
    <s v="Delhi"/>
    <s v="Non-Profit"/>
    <x v="3"/>
    <x v="0"/>
    <x v="5"/>
    <x v="508"/>
    <n v="622.6"/>
    <n v="833.69"/>
    <n v="0.20899999999999999"/>
    <n v="0.20899999999999999"/>
    <n v="1"/>
    <n v="14"/>
    <n v="9232.2830599999998"/>
    <n v="8716.4"/>
    <n v="515.88306000000011"/>
    <n v="5.5878167582959715E-2"/>
    <e v="#NUM!"/>
    <e v="#NUM!"/>
    <e v="#NUM!"/>
  </r>
  <r>
    <s v="ORD-2024-961501"/>
    <x v="262"/>
    <x v="0"/>
    <d v="2023-02-01T00:00:00"/>
    <m/>
    <s v="Q1-2024"/>
    <d v="2024-03-23T00:00:00"/>
    <d v="2024-03-23T00:00:00"/>
    <n v="21"/>
    <n v="0"/>
    <n v="0"/>
    <x v="2"/>
    <x v="10"/>
    <s v="Chicago"/>
    <s v="Small Business"/>
    <x v="1"/>
    <x v="9"/>
    <x v="0"/>
    <x v="509"/>
    <n v="225.01"/>
    <n v="333.48"/>
    <n v="0.11899999999999999"/>
    <n v="0.11899999999999999"/>
    <n v="0"/>
    <n v="12"/>
    <n v="3525.5505600000001"/>
    <n v="2700.12"/>
    <n v="825.43056000000024"/>
    <n v="0.23412813004729685"/>
    <e v="#NUM!"/>
    <e v="#NUM!"/>
    <e v="#NUM!"/>
  </r>
  <r>
    <s v="ORD-2024-964950"/>
    <x v="406"/>
    <x v="1"/>
    <d v="2023-04-01T00:00:00"/>
    <m/>
    <s v="Q4-2024"/>
    <d v="2024-10-11T00:00:00"/>
    <d v="2024-10-11T00:00:00"/>
    <n v="1"/>
    <n v="1"/>
    <n v="1"/>
    <x v="3"/>
    <x v="8"/>
    <s v="Manchester"/>
    <s v="Non-Profit"/>
    <x v="3"/>
    <x v="4"/>
    <x v="0"/>
    <x v="510"/>
    <n v="1389.46"/>
    <n v="1784.7"/>
    <n v="0.14599999999999999"/>
    <n v="0.14599999999999999"/>
    <n v="0"/>
    <n v="33"/>
    <n v="50296.415399999998"/>
    <n v="45852.18"/>
    <n v="4444.2353999999978"/>
    <n v="8.8360877503011831E-2"/>
    <e v="#NUM!"/>
    <e v="#NUM!"/>
    <e v="#NUM!"/>
  </r>
  <r>
    <s v="ORD-2023-349264"/>
    <x v="407"/>
    <x v="23"/>
    <d v="2023-01-01T00:00:00"/>
    <m/>
    <s v="Q2-2023"/>
    <d v="2023-06-08T00:00:00"/>
    <d v="2023-06-08T00:00:00"/>
    <n v="7"/>
    <n v="1"/>
    <n v="1"/>
    <x v="3"/>
    <x v="6"/>
    <s v="Frankfurt"/>
    <s v="Consumer"/>
    <x v="1"/>
    <x v="8"/>
    <x v="3"/>
    <x v="511"/>
    <n v="804.17"/>
    <n v="1072.29"/>
    <n v="3.2000000000000001E-2"/>
    <n v="3.2000000000000001E-2"/>
    <n v="0"/>
    <n v="5"/>
    <n v="5189.8836000000001"/>
    <n v="4020.85"/>
    <n v="1169.0336000000002"/>
    <n v="0.2252523736755869"/>
    <e v="#NUM!"/>
    <e v="#NUM!"/>
    <e v="#NUM!"/>
  </r>
  <r>
    <s v="ORD-2025-137394"/>
    <x v="408"/>
    <x v="10"/>
    <d v="2023-05-01T00:00:00"/>
    <m/>
    <s v="Q1-2025"/>
    <d v="2025-01-05T00:00:00"/>
    <d v="2025-01-05T00:00:00"/>
    <n v="1"/>
    <n v="1"/>
    <n v="1"/>
    <x v="1"/>
    <x v="4"/>
    <s v="Delhi"/>
    <s v="Education"/>
    <x v="0"/>
    <x v="2"/>
    <x v="0"/>
    <x v="512"/>
    <n v="1428.33"/>
    <n v="3028.05"/>
    <n v="0"/>
    <n v="0"/>
    <n v="0"/>
    <n v="11"/>
    <n v="33308.550000000003"/>
    <n v="15711.63"/>
    <n v="17596.920000000006"/>
    <n v="0.52830039134096207"/>
    <e v="#NUM!"/>
    <e v="#NUM!"/>
    <e v="#NUM!"/>
  </r>
  <r>
    <s v="ORD-2025-635337"/>
    <x v="117"/>
    <x v="28"/>
    <d v="2023-05-01T00:00:00"/>
    <m/>
    <s v="Q3-2025"/>
    <d v="2025-08-28T00:00:00"/>
    <d v="2025-08-28T00:00:00"/>
    <n v="23"/>
    <n v="0"/>
    <n v="0"/>
    <x v="1"/>
    <x v="4"/>
    <s v="Mumbai"/>
    <s v="Non-Profit"/>
    <x v="3"/>
    <x v="13"/>
    <x v="4"/>
    <x v="513"/>
    <n v="638.54"/>
    <n v="987.24"/>
    <n v="0"/>
    <n v="0"/>
    <n v="0"/>
    <n v="11"/>
    <n v="10859.64"/>
    <n v="7023.94"/>
    <n v="3835.7"/>
    <n v="0.35320692030306716"/>
    <e v="#NUM!"/>
    <e v="#NUM!"/>
    <e v="#NUM!"/>
  </r>
  <r>
    <s v="ORD-2023-568013"/>
    <x v="322"/>
    <x v="27"/>
    <d v="2023-03-01T00:00:00"/>
    <m/>
    <s v="Q3-2023"/>
    <d v="2023-10-30T00:00:00"/>
    <d v="2023-10-30T00:00:00"/>
    <n v="30"/>
    <n v="0"/>
    <n v="0"/>
    <x v="1"/>
    <x v="2"/>
    <s v="Tokyo"/>
    <s v="Enterprise"/>
    <x v="1"/>
    <x v="14"/>
    <x v="1"/>
    <x v="514"/>
    <n v="649.13"/>
    <n v="975.43"/>
    <n v="0.157"/>
    <n v="0.157"/>
    <n v="0"/>
    <n v="27"/>
    <n v="22201.762229999997"/>
    <n v="17526.509999999998"/>
    <n v="4675.2522299999982"/>
    <n v="0.21058023149543473"/>
    <e v="#NUM!"/>
    <e v="#NUM!"/>
    <e v="#NUM!"/>
  </r>
  <r>
    <s v="ORD-2025-828263"/>
    <x v="252"/>
    <x v="8"/>
    <d v="2023-02-01T00:00:00"/>
    <m/>
    <s v="Q2-2025"/>
    <d v="2025-05-30T00:00:00"/>
    <d v="2025-05-30T00:00:00"/>
    <n v="13"/>
    <n v="0"/>
    <n v="0"/>
    <x v="0"/>
    <x v="1"/>
    <s v="Lagos"/>
    <s v="Consumer"/>
    <x v="3"/>
    <x v="9"/>
    <x v="6"/>
    <x v="515"/>
    <n v="66.400000000000006"/>
    <n v="141.43"/>
    <n v="0.107"/>
    <n v="0.107"/>
    <n v="0"/>
    <n v="8"/>
    <n v="1010.3759200000001"/>
    <n v="531.20000000000005"/>
    <n v="479.17592000000002"/>
    <n v="0.47425508715607551"/>
    <e v="#NUM!"/>
    <e v="#NUM!"/>
    <e v="#NUM!"/>
  </r>
  <r>
    <s v="ORD-2024-402240"/>
    <x v="371"/>
    <x v="7"/>
    <d v="2023-01-01T00:00:00"/>
    <m/>
    <s v="Q2-2024"/>
    <d v="2024-05-26T00:00:00"/>
    <d v="2024-05-26T00:00:00"/>
    <n v="25"/>
    <n v="0"/>
    <n v="0"/>
    <x v="3"/>
    <x v="6"/>
    <s v="Berlin"/>
    <s v="Non-Profit"/>
    <x v="0"/>
    <x v="5"/>
    <x v="2"/>
    <x v="516"/>
    <n v="930.71"/>
    <n v="1625.42"/>
    <n v="0.13800000000000001"/>
    <n v="0.13800000000000001"/>
    <n v="0"/>
    <n v="7"/>
    <n v="9807.7842799999999"/>
    <n v="6514.97"/>
    <n v="3292.8142799999996"/>
    <n v="0.33573477821231196"/>
    <e v="#NUM!"/>
    <e v="#NUM!"/>
    <e v="#NUM!"/>
  </r>
  <r>
    <s v="ORD-2023-125739"/>
    <x v="409"/>
    <x v="15"/>
    <d v="2023-02-01T00:00:00"/>
    <m/>
    <s v="Q2-2023"/>
    <d v="2023-05-18T00:00:00"/>
    <d v="2023-05-18T00:00:00"/>
    <n v="17"/>
    <n v="0"/>
    <n v="0"/>
    <x v="0"/>
    <x v="1"/>
    <s v="Port Harcourt"/>
    <s v="Corporate"/>
    <x v="4"/>
    <x v="9"/>
    <x v="0"/>
    <x v="517"/>
    <n v="327.97"/>
    <n v="299.94"/>
    <n v="4.9000000000000002E-2"/>
    <n v="4.9000000000000002E-2"/>
    <n v="0"/>
    <n v="3"/>
    <n v="855.72881999999993"/>
    <n v="983.91000000000008"/>
    <n v="-128.18118000000015"/>
    <n v="-0.14979182306843442"/>
    <e v="#NUM!"/>
    <e v="#NUM!"/>
    <e v="#NUM!"/>
  </r>
  <r>
    <s v="ORD-2024-892879"/>
    <x v="410"/>
    <x v="14"/>
    <d v="2023-04-01T00:00:00"/>
    <m/>
    <s v="Q3-2024"/>
    <d v="2024-08-08T00:00:00"/>
    <d v="2024-08-08T00:00:00"/>
    <n v="30"/>
    <n v="0"/>
    <n v="0"/>
    <x v="3"/>
    <x v="7"/>
    <s v="Marseille"/>
    <s v="Corporate"/>
    <x v="4"/>
    <x v="1"/>
    <x v="0"/>
    <x v="518"/>
    <n v="1062.3800000000001"/>
    <n v="1503.96"/>
    <n v="0.18"/>
    <n v="0.18"/>
    <n v="0"/>
    <n v="6"/>
    <n v="7399.4832000000006"/>
    <n v="6374.2800000000007"/>
    <n v="1025.2031999999999"/>
    <n v="0.13855064905073369"/>
    <e v="#NUM!"/>
    <e v="#NUM!"/>
    <e v="#NUM!"/>
  </r>
  <r>
    <s v="ORD-2023-472050"/>
    <x v="405"/>
    <x v="15"/>
    <d v="2023-05-01T00:00:00"/>
    <m/>
    <s v="Q2-2023"/>
    <d v="2023-05-27T00:00:00"/>
    <d v="2023-05-27T00:00:00"/>
    <n v="17"/>
    <n v="0"/>
    <n v="0"/>
    <x v="1"/>
    <x v="4"/>
    <s v="Mumbai"/>
    <s v="Consumer"/>
    <x v="0"/>
    <x v="12"/>
    <x v="4"/>
    <x v="519"/>
    <n v="1286.1600000000001"/>
    <n v="3101.11"/>
    <n v="0.1"/>
    <n v="0.1"/>
    <n v="0"/>
    <n v="23"/>
    <n v="64192.976999999999"/>
    <n v="29581.68"/>
    <n v="34611.296999999999"/>
    <n v="0.53917575749758417"/>
    <e v="#NUM!"/>
    <e v="#NUM!"/>
    <e v="#NUM!"/>
  </r>
  <r>
    <s v="ORD-2024-468615"/>
    <x v="410"/>
    <x v="14"/>
    <d v="2023-01-01T00:00:00"/>
    <m/>
    <s v="Q3-2024"/>
    <d v="2024-07-12T00:00:00"/>
    <d v="2024-07-12T00:00:00"/>
    <n v="3"/>
    <n v="1"/>
    <n v="1"/>
    <x v="1"/>
    <x v="9"/>
    <s v="Shanghai"/>
    <s v="Small Business"/>
    <x v="0"/>
    <x v="14"/>
    <x v="6"/>
    <x v="520"/>
    <n v="748.39"/>
    <n v="979.42"/>
    <n v="0"/>
    <n v="0"/>
    <n v="0"/>
    <n v="23"/>
    <n v="22526.66"/>
    <n v="17212.97"/>
    <n v="5313.6899999999987"/>
    <n v="0.23588450307324738"/>
    <e v="#NUM!"/>
    <e v="#NUM!"/>
    <e v="#NUM!"/>
  </r>
  <r>
    <s v="ORD-2024-833375"/>
    <x v="411"/>
    <x v="20"/>
    <d v="2023-07-01T00:00:00"/>
    <m/>
    <s v="Q2-2024"/>
    <d v="2024-05-10T00:00:00"/>
    <d v="2024-05-10T00:00:00"/>
    <n v="16"/>
    <n v="0"/>
    <n v="0"/>
    <x v="0"/>
    <x v="0"/>
    <s v="Kisumu"/>
    <s v="Non-Profit"/>
    <x v="1"/>
    <x v="13"/>
    <x v="5"/>
    <x v="521"/>
    <n v="513.30999999999995"/>
    <n v="1186.26"/>
    <n v="9.4E-2"/>
    <n v="9.4E-2"/>
    <n v="0"/>
    <n v="15"/>
    <n v="16121.273400000002"/>
    <n v="7699.65"/>
    <n v="8421.6234000000022"/>
    <n v="0.52239194702820446"/>
    <e v="#NUM!"/>
    <e v="#NUM!"/>
    <e v="#NUM!"/>
  </r>
  <r>
    <s v="ORD-2024-206311"/>
    <x v="94"/>
    <x v="9"/>
    <d v="2023-02-01T00:00:00"/>
    <m/>
    <s v="Q1-2024"/>
    <d v="2024-01-15T00:00:00"/>
    <d v="2024-01-15T00:00:00"/>
    <n v="2"/>
    <n v="1"/>
    <n v="1"/>
    <x v="2"/>
    <x v="10"/>
    <s v="San Francisco"/>
    <s v="Non-Profit"/>
    <x v="4"/>
    <x v="6"/>
    <x v="0"/>
    <x v="522"/>
    <n v="1061.3699999999999"/>
    <n v="1938.33"/>
    <n v="0.17"/>
    <n v="0.17"/>
    <n v="0"/>
    <n v="4"/>
    <n v="6435.2555999999995"/>
    <n v="4245.4799999999996"/>
    <n v="2189.7755999999999"/>
    <n v="0.34027795259600879"/>
    <e v="#NUM!"/>
    <e v="#NUM!"/>
    <e v="#NUM!"/>
  </r>
  <r>
    <s v="ORD-2024-364080"/>
    <x v="412"/>
    <x v="20"/>
    <d v="2023-07-01T00:00:00"/>
    <m/>
    <s v="Q2-2024"/>
    <d v="2024-04-27T00:00:00"/>
    <d v="2024-04-27T00:00:00"/>
    <n v="11"/>
    <n v="0"/>
    <n v="0"/>
    <x v="0"/>
    <x v="0"/>
    <s v="Nakuru"/>
    <s v="Enterprise"/>
    <x v="1"/>
    <x v="14"/>
    <x v="1"/>
    <x v="523"/>
    <n v="401.3"/>
    <n v="826.47"/>
    <n v="0.22500000000000001"/>
    <n v="0.22500000000000001"/>
    <n v="1"/>
    <n v="13"/>
    <n v="8326.6852500000005"/>
    <n v="5216.9000000000005"/>
    <n v="3109.7852499999999"/>
    <n v="0.37347217489696755"/>
    <e v="#NUM!"/>
    <e v="#NUM!"/>
    <e v="#NUM!"/>
  </r>
  <r>
    <s v="ORD-2025-460466"/>
    <x v="413"/>
    <x v="26"/>
    <d v="2023-02-01T00:00:00"/>
    <m/>
    <s v="Q1-2025"/>
    <d v="2025-02-16T00:00:00"/>
    <d v="2025-02-16T00:00:00"/>
    <n v="9"/>
    <n v="0"/>
    <n v="0"/>
    <x v="0"/>
    <x v="1"/>
    <s v="Lagos"/>
    <s v="Small Business"/>
    <x v="3"/>
    <x v="0"/>
    <x v="1"/>
    <x v="524"/>
    <n v="90.68"/>
    <n v="118.17"/>
    <n v="0.13500000000000001"/>
    <n v="0.13500000000000001"/>
    <n v="0"/>
    <n v="21"/>
    <n v="2146.5580500000001"/>
    <n v="1904.2800000000002"/>
    <n v="242.27804999999989"/>
    <n v="0.11286815653552899"/>
    <e v="#NUM!"/>
    <e v="#NUM!"/>
    <e v="#NUM!"/>
  </r>
  <r>
    <s v="ORD-2023-700699"/>
    <x v="414"/>
    <x v="5"/>
    <d v="2023-01-01T00:00:00"/>
    <m/>
    <s v="Q1-2023"/>
    <d v="2023-01-26T00:00:00"/>
    <d v="2023-01-26T00:00:00"/>
    <n v="14"/>
    <n v="0"/>
    <n v="0"/>
    <x v="1"/>
    <x v="9"/>
    <s v="Shenzhen"/>
    <s v="Non-Profit"/>
    <x v="0"/>
    <x v="12"/>
    <x v="1"/>
    <x v="525"/>
    <n v="1083.0899999999999"/>
    <n v="1425.87"/>
    <n v="0"/>
    <n v="0"/>
    <n v="0"/>
    <n v="8"/>
    <n v="11406.96"/>
    <n v="8664.7199999999993"/>
    <n v="2742.24"/>
    <n v="0.24040059752992909"/>
    <e v="#NUM!"/>
    <e v="#NUM!"/>
    <e v="#NUM!"/>
  </r>
  <r>
    <s v="ORD-2024-713332"/>
    <x v="415"/>
    <x v="17"/>
    <d v="2023-07-01T00:00:00"/>
    <m/>
    <s v="Q2-2024"/>
    <d v="2024-06-23T00:00:00"/>
    <d v="2024-06-23T00:00:00"/>
    <n v="18"/>
    <n v="0"/>
    <n v="0"/>
    <x v="0"/>
    <x v="0"/>
    <s v="Nairobi"/>
    <s v="Consumer"/>
    <x v="3"/>
    <x v="14"/>
    <x v="4"/>
    <x v="526"/>
    <n v="1208.74"/>
    <n v="1594.78"/>
    <n v="5.8999999999999997E-2"/>
    <n v="5.8999999999999997E-2"/>
    <n v="0"/>
    <n v="39"/>
    <n v="58526.83122"/>
    <n v="47140.86"/>
    <n v="11385.971219999999"/>
    <n v="0.1945427589817838"/>
    <e v="#NUM!"/>
    <e v="#NUM!"/>
    <e v="#NUM!"/>
  </r>
  <r>
    <s v="ORD-2023-640022"/>
    <x v="416"/>
    <x v="25"/>
    <d v="2023-01-01T00:00:00"/>
    <m/>
    <s v="Q3-2023"/>
    <d v="2023-09-20T00:00:00"/>
    <d v="2023-09-20T00:00:00"/>
    <n v="27"/>
    <n v="0"/>
    <n v="0"/>
    <x v="0"/>
    <x v="11"/>
    <s v="Durban"/>
    <s v="Small Business"/>
    <x v="2"/>
    <x v="12"/>
    <x v="1"/>
    <x v="527"/>
    <n v="1399.64"/>
    <n v="3342.11"/>
    <n v="0"/>
    <n v="0"/>
    <n v="0"/>
    <n v="10"/>
    <n v="33421.1"/>
    <n v="13996.400000000001"/>
    <n v="19424.699999999997"/>
    <n v="0.58121067229983447"/>
    <e v="#NUM!"/>
    <e v="#NUM!"/>
    <e v="#NUM!"/>
  </r>
  <r>
    <s v="ORD-2024-532184"/>
    <x v="246"/>
    <x v="9"/>
    <d v="2023-03-01T00:00:00"/>
    <m/>
    <s v="Q1-2024"/>
    <d v="2024-02-08T00:00:00"/>
    <d v="2024-02-08T00:00:00"/>
    <n v="14"/>
    <n v="0"/>
    <n v="0"/>
    <x v="1"/>
    <x v="2"/>
    <s v="Osaka"/>
    <s v="Consumer"/>
    <x v="2"/>
    <x v="2"/>
    <x v="2"/>
    <x v="528"/>
    <n v="937.16"/>
    <n v="1069.77"/>
    <n v="3.7999999999999999E-2"/>
    <n v="3.7999999999999999E-2"/>
    <n v="0"/>
    <n v="9"/>
    <n v="9262.0686600000008"/>
    <n v="8434.44"/>
    <n v="827.62866000000031"/>
    <n v="8.9356783066645962E-2"/>
    <e v="#NUM!"/>
    <e v="#NUM!"/>
    <e v="#NUM!"/>
  </r>
  <r>
    <s v="ORD-2025-926547"/>
    <x v="417"/>
    <x v="3"/>
    <d v="2023-01-01T00:00:00"/>
    <m/>
    <s v="Q1-2025"/>
    <d v="2025-03-26T00:00:00"/>
    <d v="2025-03-26T00:00:00"/>
    <n v="15"/>
    <n v="0"/>
    <n v="0"/>
    <x v="3"/>
    <x v="6"/>
    <s v="Berlin"/>
    <s v="Small Business"/>
    <x v="1"/>
    <x v="2"/>
    <x v="3"/>
    <x v="529"/>
    <n v="116.97"/>
    <n v="140.82"/>
    <n v="0.122"/>
    <n v="0.122"/>
    <n v="0"/>
    <n v="5"/>
    <n v="618.19979999999987"/>
    <n v="584.85"/>
    <n v="33.349799999999846"/>
    <n v="5.3946636669891926E-2"/>
    <e v="#NUM!"/>
    <e v="#NUM!"/>
    <e v="#NUM!"/>
  </r>
  <r>
    <s v="ORD-2025-778145"/>
    <x v="221"/>
    <x v="19"/>
    <d v="2023-04-01T00:00:00"/>
    <m/>
    <s v="Q2-2025"/>
    <d v="2025-05-12T00:00:00"/>
    <d v="2025-05-12T00:00:00"/>
    <n v="20"/>
    <n v="0"/>
    <n v="0"/>
    <x v="3"/>
    <x v="7"/>
    <s v="Lyon"/>
    <s v="Enterprise"/>
    <x v="2"/>
    <x v="11"/>
    <x v="5"/>
    <x v="530"/>
    <n v="59.51"/>
    <n v="67.040000000000006"/>
    <n v="0.114"/>
    <n v="0.114"/>
    <n v="0"/>
    <n v="9"/>
    <n v="534.57695999999999"/>
    <n v="535.59"/>
    <n v="-1.0130400000000463"/>
    <n v="-1.8950311663264469E-3"/>
    <e v="#NUM!"/>
    <e v="#NUM!"/>
    <e v="#NUM!"/>
  </r>
  <r>
    <s v="ORD-2023-525643"/>
    <x v="418"/>
    <x v="25"/>
    <d v="2023-01-01T00:00:00"/>
    <m/>
    <s v="Q3-2023"/>
    <d v="2023-09-03T00:00:00"/>
    <d v="2023-09-03T00:00:00"/>
    <n v="17"/>
    <n v="0"/>
    <n v="0"/>
    <x v="0"/>
    <x v="11"/>
    <s v="Durban"/>
    <s v="Enterprise"/>
    <x v="0"/>
    <x v="8"/>
    <x v="3"/>
    <x v="531"/>
    <n v="676.37"/>
    <n v="1276.67"/>
    <n v="6.6000000000000003E-2"/>
    <n v="6.6000000000000003E-2"/>
    <n v="0"/>
    <n v="10"/>
    <n v="11924.0978"/>
    <n v="6763.7"/>
    <n v="5160.3977999999997"/>
    <n v="0.4327705027712872"/>
    <e v="#NUM!"/>
    <e v="#NUM!"/>
    <e v="#NUM!"/>
  </r>
  <r>
    <s v="ORD-2025-312803"/>
    <x v="35"/>
    <x v="16"/>
    <d v="2023-01-01T00:00:00"/>
    <m/>
    <s v="Q2-2025"/>
    <d v="2025-07-14T00:00:00"/>
    <d v="2025-07-14T00:00:00"/>
    <n v="20"/>
    <n v="0"/>
    <n v="0"/>
    <x v="0"/>
    <x v="11"/>
    <s v="Johannesburg"/>
    <s v="Enterprise"/>
    <x v="2"/>
    <x v="1"/>
    <x v="4"/>
    <x v="532"/>
    <n v="1151.06"/>
    <n v="2821.36"/>
    <n v="0.248"/>
    <n v="0.248"/>
    <n v="1"/>
    <n v="20"/>
    <n v="42433.254400000005"/>
    <n v="23021.199999999997"/>
    <n v="19412.054400000008"/>
    <n v="0.45747267501594235"/>
    <e v="#NUM!"/>
    <e v="#NUM!"/>
    <e v="#NUM!"/>
  </r>
  <r>
    <s v="ORD-2025-149156"/>
    <x v="419"/>
    <x v="10"/>
    <d v="2023-01-01T00:00:00"/>
    <m/>
    <s v="Q1-2025"/>
    <d v="2025-02-06T00:00:00"/>
    <d v="2025-02-06T00:00:00"/>
    <n v="27"/>
    <n v="0"/>
    <n v="0"/>
    <x v="2"/>
    <x v="5"/>
    <s v="Brasília"/>
    <s v="Non-Profit"/>
    <x v="0"/>
    <x v="5"/>
    <x v="4"/>
    <x v="533"/>
    <n v="725.62"/>
    <n v="1559.19"/>
    <n v="0.19"/>
    <n v="0.19"/>
    <n v="0"/>
    <n v="12"/>
    <n v="15155.326800000001"/>
    <n v="8707.44"/>
    <n v="6447.8868000000002"/>
    <n v="0.42545349797405885"/>
    <e v="#NUM!"/>
    <e v="#NUM!"/>
    <e v="#NUM!"/>
  </r>
  <r>
    <s v="ORD-2023-215819"/>
    <x v="305"/>
    <x v="24"/>
    <d v="2023-04-01T00:00:00"/>
    <m/>
    <s v="Q3-2023"/>
    <d v="2023-07-11T00:00:00"/>
    <d v="2023-07-11T00:00:00"/>
    <n v="10"/>
    <n v="0"/>
    <n v="0"/>
    <x v="3"/>
    <x v="7"/>
    <s v="Paris"/>
    <s v="Corporate"/>
    <x v="4"/>
    <x v="9"/>
    <x v="2"/>
    <x v="534"/>
    <n v="479.5"/>
    <n v="656.66"/>
    <n v="0.14899999999999999"/>
    <n v="0.14899999999999999"/>
    <n v="0"/>
    <n v="14"/>
    <n v="7823.4472399999995"/>
    <n v="6713"/>
    <n v="1110.4472399999995"/>
    <n v="0.14193835606412289"/>
    <e v="#NUM!"/>
    <e v="#NUM!"/>
    <e v="#NUM!"/>
  </r>
  <r>
    <s v="ORD-2024-353078"/>
    <x v="420"/>
    <x v="21"/>
    <d v="2023-02-01T00:00:00"/>
    <m/>
    <s v="Q3-2024"/>
    <d v="2024-08-26T00:00:00"/>
    <d v="2024-08-26T00:00:00"/>
    <n v="10"/>
    <n v="0"/>
    <n v="0"/>
    <x v="2"/>
    <x v="10"/>
    <s v="Chicago"/>
    <s v="Corporate"/>
    <x v="3"/>
    <x v="4"/>
    <x v="4"/>
    <x v="386"/>
    <n v="1291.7"/>
    <n v="2657.84"/>
    <n v="8.6999999999999994E-2"/>
    <n v="8.6999999999999994E-2"/>
    <n v="0"/>
    <n v="21"/>
    <n v="50958.766320000002"/>
    <n v="27125.7"/>
    <n v="23833.066320000002"/>
    <n v="0.46769315745083367"/>
    <e v="#NUM!"/>
    <e v="#NUM!"/>
    <e v="#NUM!"/>
  </r>
  <r>
    <s v="ORD-2023-621393"/>
    <x v="421"/>
    <x v="24"/>
    <d v="2023-01-01T00:00:00"/>
    <m/>
    <s v="Q3-2023"/>
    <d v="2023-07-13T00:00:00"/>
    <d v="2023-07-13T00:00:00"/>
    <n v="6"/>
    <n v="1"/>
    <n v="1"/>
    <x v="0"/>
    <x v="11"/>
    <s v="Cape Town"/>
    <s v="Small Business"/>
    <x v="2"/>
    <x v="5"/>
    <x v="6"/>
    <x v="535"/>
    <n v="612.59"/>
    <n v="1424.74"/>
    <n v="4.3999999999999997E-2"/>
    <n v="4.3999999999999997E-2"/>
    <n v="0"/>
    <n v="15"/>
    <n v="20430.771599999996"/>
    <n v="9188.85"/>
    <n v="11241.921599999996"/>
    <n v="0.55024459281802152"/>
    <e v="#NUM!"/>
    <e v="#NUM!"/>
    <e v="#NUM!"/>
  </r>
  <r>
    <s v="ORD-2023-974506"/>
    <x v="422"/>
    <x v="4"/>
    <d v="2023-01-01T00:00:00"/>
    <m/>
    <s v="Q4-2023"/>
    <d v="2024-01-01T00:00:00"/>
    <d v="2024-01-01T00:00:00"/>
    <n v="4"/>
    <n v="1"/>
    <n v="1"/>
    <x v="0"/>
    <x v="11"/>
    <s v="Cape Town"/>
    <s v="Education"/>
    <x v="3"/>
    <x v="8"/>
    <x v="1"/>
    <x v="536"/>
    <n v="1141.8"/>
    <n v="2318.7399999999998"/>
    <n v="0.107"/>
    <n v="0.107"/>
    <n v="0"/>
    <n v="32"/>
    <n v="66260.314239999992"/>
    <n v="36537.599999999999"/>
    <n v="29722.714239999994"/>
    <n v="0.44857490612468304"/>
    <e v="#NUM!"/>
    <e v="#NUM!"/>
    <e v="#NUM!"/>
  </r>
  <r>
    <s v="ORD-2023-811823"/>
    <x v="423"/>
    <x v="5"/>
    <d v="2023-01-01T00:00:00"/>
    <m/>
    <s v="Q1-2023"/>
    <d v="2023-02-15T00:00:00"/>
    <d v="2023-02-15T00:00:00"/>
    <n v="20"/>
    <n v="0"/>
    <n v="0"/>
    <x v="3"/>
    <x v="6"/>
    <s v="Berlin"/>
    <s v="Small Business"/>
    <x v="1"/>
    <x v="7"/>
    <x v="2"/>
    <x v="537"/>
    <n v="492.62"/>
    <n v="366.7"/>
    <n v="8.8999999999999996E-2"/>
    <n v="8.8999999999999996E-2"/>
    <n v="0"/>
    <n v="10"/>
    <n v="3340.6370000000002"/>
    <n v="4926.2"/>
    <n v="-1585.5629999999996"/>
    <n v="-0.47462894052840809"/>
    <e v="#NUM!"/>
    <e v="#NUM!"/>
    <e v="#NUM!"/>
  </r>
  <r>
    <s v="ORD-2023-286720"/>
    <x v="424"/>
    <x v="24"/>
    <d v="2023-07-01T00:00:00"/>
    <m/>
    <s v="Q3-2023"/>
    <d v="2023-07-09T00:00:00"/>
    <d v="2023-07-09T00:00:00"/>
    <n v="1"/>
    <n v="1"/>
    <n v="1"/>
    <x v="0"/>
    <x v="0"/>
    <s v="Nairobi"/>
    <s v="Consumer"/>
    <x v="1"/>
    <x v="14"/>
    <x v="4"/>
    <x v="538"/>
    <n v="1258.72"/>
    <n v="2797.41"/>
    <n v="0"/>
    <n v="0"/>
    <n v="0"/>
    <n v="7"/>
    <n v="19581.87"/>
    <n v="8811.0400000000009"/>
    <n v="10770.829999999998"/>
    <n v="0.55004093071805704"/>
    <e v="#NUM!"/>
    <e v="#NUM!"/>
    <e v="#NUM!"/>
  </r>
  <r>
    <s v="ORD-2024-626925"/>
    <x v="116"/>
    <x v="17"/>
    <d v="2023-08-01T00:00:00"/>
    <m/>
    <s v="Q2-2024"/>
    <d v="2024-06-09T00:00:00"/>
    <d v="2024-06-09T00:00:00"/>
    <n v="2"/>
    <n v="1"/>
    <n v="1"/>
    <x v="1"/>
    <x v="9"/>
    <s v="Shanghai"/>
    <s v="Corporate"/>
    <x v="0"/>
    <x v="7"/>
    <x v="5"/>
    <x v="539"/>
    <n v="1370.28"/>
    <n v="2209.66"/>
    <n v="0.13300000000000001"/>
    <n v="0.13300000000000001"/>
    <n v="0"/>
    <n v="16"/>
    <n v="30652.403519999996"/>
    <n v="21924.48"/>
    <n v="8727.9235199999966"/>
    <n v="0.28473863442079589"/>
    <e v="#NUM!"/>
    <e v="#NUM!"/>
    <e v="#NUM!"/>
  </r>
  <r>
    <s v="ORD-2023-960380"/>
    <x v="425"/>
    <x v="2"/>
    <d v="2023-02-01T00:00:00"/>
    <m/>
    <s v="Q1-2023"/>
    <d v="2023-02-12T00:00:00"/>
    <d v="2023-02-12T00:00:00"/>
    <n v="1"/>
    <n v="1"/>
    <n v="1"/>
    <x v="0"/>
    <x v="1"/>
    <s v="Port Harcourt"/>
    <s v="Non-Profit"/>
    <x v="4"/>
    <x v="14"/>
    <x v="6"/>
    <x v="540"/>
    <n v="944.61"/>
    <n v="839.04"/>
    <n v="5.8999999999999997E-2"/>
    <n v="5.8999999999999997E-2"/>
    <n v="0"/>
    <n v="6"/>
    <n v="4737.2198399999997"/>
    <n v="5667.66"/>
    <n v="-930.44016000000011"/>
    <n v="-0.19641059343363726"/>
    <e v="#NUM!"/>
    <e v="#NUM!"/>
    <e v="#NUM!"/>
  </r>
  <r>
    <s v="ORD-2023-453699"/>
    <x v="305"/>
    <x v="24"/>
    <d v="2023-02-01T00:00:00"/>
    <m/>
    <s v="Q3-2023"/>
    <d v="2023-07-08T00:00:00"/>
    <d v="2023-07-08T00:00:00"/>
    <n v="7"/>
    <n v="1"/>
    <n v="1"/>
    <x v="3"/>
    <x v="6"/>
    <s v="Frankfurt"/>
    <s v="Small Business"/>
    <x v="3"/>
    <x v="13"/>
    <x v="4"/>
    <x v="541"/>
    <n v="460.21"/>
    <n v="1139.1500000000001"/>
    <n v="0.115"/>
    <n v="0.115"/>
    <n v="0"/>
    <n v="14"/>
    <n v="14114.068500000001"/>
    <n v="6442.94"/>
    <n v="7671.1285000000016"/>
    <n v="0.54350937151821255"/>
    <e v="#NUM!"/>
    <e v="#NUM!"/>
    <e v="#NUM!"/>
  </r>
  <r>
    <s v="ORD-2025-960931"/>
    <x v="426"/>
    <x v="28"/>
    <d v="2023-02-01T00:00:00"/>
    <m/>
    <s v="Q3-2025"/>
    <d v="2025-08-26T00:00:00"/>
    <d v="2025-08-26T00:00:00"/>
    <n v="6"/>
    <n v="1"/>
    <n v="1"/>
    <x v="2"/>
    <x v="10"/>
    <s v="New York"/>
    <s v="Corporate"/>
    <x v="0"/>
    <x v="12"/>
    <x v="2"/>
    <x v="542"/>
    <n v="1304.95"/>
    <n v="1712.03"/>
    <n v="0.21199999999999999"/>
    <n v="0.21199999999999999"/>
    <n v="1"/>
    <n v="8"/>
    <n v="10792.637119999999"/>
    <n v="10439.6"/>
    <n v="353.03711999999905"/>
    <n v="3.2710922833287949E-2"/>
    <e v="#NUM!"/>
    <e v="#NUM!"/>
    <e v="#NUM!"/>
  </r>
  <r>
    <s v="ORD-2024-419248"/>
    <x v="427"/>
    <x v="0"/>
    <d v="2023-01-01T00:00:00"/>
    <m/>
    <s v="Q1-2024"/>
    <d v="2024-03-16T00:00:00"/>
    <d v="2024-03-16T00:00:00"/>
    <n v="12"/>
    <n v="0"/>
    <n v="0"/>
    <x v="0"/>
    <x v="11"/>
    <s v="Johannesburg"/>
    <s v="Enterprise"/>
    <x v="3"/>
    <x v="12"/>
    <x v="5"/>
    <x v="543"/>
    <n v="441.08"/>
    <n v="1054.29"/>
    <n v="0.23699999999999999"/>
    <n v="0.23699999999999999"/>
    <n v="1"/>
    <n v="6"/>
    <n v="4826.5396199999996"/>
    <n v="2646.48"/>
    <n v="2180.0596199999995"/>
    <n v="0.45168169985932899"/>
    <e v="#NUM!"/>
    <e v="#NUM!"/>
    <e v="#NUM!"/>
  </r>
  <r>
    <s v="ORD-2023-488227"/>
    <x v="428"/>
    <x v="27"/>
    <d v="2023-04-01T00:00:00"/>
    <m/>
    <s v="Q3-2023"/>
    <d v="2023-10-02T00:00:00"/>
    <d v="2023-10-02T00:00:00"/>
    <n v="24"/>
    <n v="0"/>
    <n v="0"/>
    <x v="2"/>
    <x v="3"/>
    <s v="Toronto"/>
    <s v="Education"/>
    <x v="4"/>
    <x v="8"/>
    <x v="6"/>
    <x v="544"/>
    <n v="1299.03"/>
    <n v="2451.2199999999998"/>
    <n v="0.20799999999999999"/>
    <n v="0.20799999999999999"/>
    <n v="1"/>
    <n v="8"/>
    <n v="15530.929919999999"/>
    <n v="10392.24"/>
    <n v="5138.6899199999989"/>
    <n v="0.3308681416032041"/>
    <e v="#NUM!"/>
    <e v="#NUM!"/>
    <e v="#NUM!"/>
  </r>
  <r>
    <s v="ORD-2023-472078"/>
    <x v="2"/>
    <x v="2"/>
    <d v="2023-02-01T00:00:00"/>
    <m/>
    <s v="Q1-2023"/>
    <d v="2023-03-06T00:00:00"/>
    <d v="2023-03-06T00:00:00"/>
    <n v="6"/>
    <n v="1"/>
    <n v="1"/>
    <x v="3"/>
    <x v="6"/>
    <s v="Frankfurt"/>
    <s v="Small Business"/>
    <x v="2"/>
    <x v="14"/>
    <x v="1"/>
    <x v="545"/>
    <n v="880.02"/>
    <n v="1251.21"/>
    <n v="0.123"/>
    <n v="0.123"/>
    <n v="0"/>
    <n v="29"/>
    <n v="31822.023930000003"/>
    <n v="25520.579999999998"/>
    <n v="6301.4439300000049"/>
    <n v="0.19802146915172672"/>
    <e v="#NUM!"/>
    <e v="#NUM!"/>
    <e v="#NUM!"/>
  </r>
  <r>
    <s v="ORD-2024-202877"/>
    <x v="292"/>
    <x v="14"/>
    <d v="2023-01-01T00:00:00"/>
    <m/>
    <s v="Q3-2024"/>
    <d v="2024-08-03T00:00:00"/>
    <d v="2024-08-03T00:00:00"/>
    <n v="21"/>
    <n v="0"/>
    <n v="0"/>
    <x v="2"/>
    <x v="5"/>
    <s v="Rio de Janeiro"/>
    <s v="Corporate"/>
    <x v="2"/>
    <x v="12"/>
    <x v="5"/>
    <x v="546"/>
    <n v="702.98"/>
    <n v="1104.8"/>
    <n v="0.17499999999999999"/>
    <n v="0.17499999999999999"/>
    <n v="0"/>
    <n v="12"/>
    <n v="10937.519999999999"/>
    <n v="8435.76"/>
    <n v="2501.7599999999984"/>
    <n v="0.22873192460448061"/>
    <e v="#NUM!"/>
    <e v="#NUM!"/>
    <e v="#NUM!"/>
  </r>
  <r>
    <s v="ORD-2024-140633"/>
    <x v="429"/>
    <x v="6"/>
    <d v="2023-04-01T00:00:00"/>
    <m/>
    <s v="Q4-2024"/>
    <d v="2024-12-26T00:00:00"/>
    <d v="2024-12-26T00:00:00"/>
    <n v="19"/>
    <n v="0"/>
    <n v="0"/>
    <x v="3"/>
    <x v="8"/>
    <s v="London"/>
    <s v="Enterprise"/>
    <x v="1"/>
    <x v="14"/>
    <x v="2"/>
    <x v="547"/>
    <n v="1035.24"/>
    <n v="2383.41"/>
    <n v="0.17"/>
    <n v="0.17"/>
    <n v="0"/>
    <n v="15"/>
    <n v="29673.454499999993"/>
    <n v="15528.6"/>
    <n v="14144.854499999992"/>
    <n v="0.47668378145860962"/>
    <e v="#NUM!"/>
    <e v="#NUM!"/>
    <e v="#NUM!"/>
  </r>
  <r>
    <s v="ORD-2025-419532"/>
    <x v="430"/>
    <x v="28"/>
    <d v="2023-01-01T00:00:00"/>
    <m/>
    <s v="Q3-2025"/>
    <d v="2025-08-23T00:00:00"/>
    <d v="2025-08-23T00:00:00"/>
    <n v="17"/>
    <n v="0"/>
    <n v="0"/>
    <x v="2"/>
    <x v="5"/>
    <s v="Brasília"/>
    <s v="Consumer"/>
    <x v="3"/>
    <x v="8"/>
    <x v="5"/>
    <x v="548"/>
    <n v="86.64"/>
    <n v="213.06"/>
    <n v="0.21199999999999999"/>
    <n v="0.21199999999999999"/>
    <n v="1"/>
    <n v="11"/>
    <n v="1846.8040799999999"/>
    <n v="953.04"/>
    <n v="893.76407999999992"/>
    <n v="0.48395175735154322"/>
    <e v="#NUM!"/>
    <e v="#NUM!"/>
    <e v="#NUM!"/>
  </r>
  <r>
    <s v="ORD-2023-139236"/>
    <x v="431"/>
    <x v="22"/>
    <d v="2023-03-01T00:00:00"/>
    <m/>
    <s v="Q1-2023"/>
    <d v="2023-03-20T00:00:00"/>
    <d v="2023-03-20T00:00:00"/>
    <n v="17"/>
    <n v="0"/>
    <n v="0"/>
    <x v="1"/>
    <x v="2"/>
    <s v="Nagoya"/>
    <s v="Small Business"/>
    <x v="1"/>
    <x v="14"/>
    <x v="2"/>
    <x v="549"/>
    <n v="1171.17"/>
    <n v="2030.64"/>
    <n v="0.157"/>
    <n v="0.157"/>
    <n v="0"/>
    <n v="11"/>
    <n v="18830.12472"/>
    <n v="12882.87"/>
    <n v="5947.254719999999"/>
    <n v="0.31583724528830415"/>
    <e v="#NUM!"/>
    <e v="#NUM!"/>
    <e v="#NUM!"/>
  </r>
  <r>
    <s v="ORD-2025-337268"/>
    <x v="432"/>
    <x v="26"/>
    <d v="2023-12-01T00:00:00"/>
    <m/>
    <s v="Q1-2025"/>
    <d v="2025-03-17T00:00:00"/>
    <d v="2025-03-17T00:00:00"/>
    <n v="29"/>
    <n v="0"/>
    <n v="0"/>
    <x v="3"/>
    <x v="6"/>
    <s v="Munich"/>
    <s v="Consumer"/>
    <x v="0"/>
    <x v="4"/>
    <x v="6"/>
    <x v="550"/>
    <n v="730.42"/>
    <n v="956.7"/>
    <n v="4.2000000000000003E-2"/>
    <n v="4.2000000000000003E-2"/>
    <n v="0"/>
    <n v="22"/>
    <n v="20163.409200000002"/>
    <n v="16069.24"/>
    <n v="4094.1692000000021"/>
    <n v="0.20304945256975698"/>
    <e v="#NUM!"/>
    <e v="#NUM!"/>
    <e v="#NUM!"/>
  </r>
  <r>
    <s v="ORD-2025-332931"/>
    <x v="146"/>
    <x v="26"/>
    <d v="2023-09-01T00:00:00"/>
    <m/>
    <s v="Q1-2025"/>
    <d v="2025-03-01T00:00:00"/>
    <d v="2025-03-01T00:00:00"/>
    <n v="14"/>
    <n v="0"/>
    <n v="0"/>
    <x v="0"/>
    <x v="0"/>
    <s v="Mombasa"/>
    <s v="Education"/>
    <x v="4"/>
    <x v="4"/>
    <x v="6"/>
    <x v="551"/>
    <n v="1162.8599999999999"/>
    <n v="1447.68"/>
    <n v="8.6999999999999994E-2"/>
    <n v="8.6999999999999994E-2"/>
    <n v="0"/>
    <n v="12"/>
    <n v="15860.782080000001"/>
    <n v="13954.32"/>
    <n v="1906.4620800000012"/>
    <n v="0.12019975247021369"/>
    <e v="#NUM!"/>
    <e v="#NUM!"/>
    <e v="#NUM!"/>
  </r>
  <r>
    <s v="ORD-2024-536442"/>
    <x v="433"/>
    <x v="21"/>
    <d v="2023-04-01T00:00:00"/>
    <m/>
    <s v="Q3-2024"/>
    <d v="2024-09-26T00:00:00"/>
    <d v="2024-09-26T00:00:00"/>
    <n v="26"/>
    <n v="0"/>
    <n v="0"/>
    <x v="1"/>
    <x v="2"/>
    <s v="Tokyo"/>
    <s v="Education"/>
    <x v="1"/>
    <x v="2"/>
    <x v="3"/>
    <x v="552"/>
    <n v="1189.03"/>
    <n v="2949.62"/>
    <n v="0.125"/>
    <n v="0.125"/>
    <n v="0"/>
    <n v="13"/>
    <n v="33551.927499999998"/>
    <n v="15457.39"/>
    <n v="18094.537499999999"/>
    <n v="0.53929949330034765"/>
    <e v="#NUM!"/>
    <e v="#NUM!"/>
    <e v="#NUM!"/>
  </r>
  <r>
    <s v="ORD-2023-957692"/>
    <x v="238"/>
    <x v="15"/>
    <d v="2023-05-01T00:00:00"/>
    <m/>
    <s v="Q2-2023"/>
    <d v="2023-05-20T00:00:00"/>
    <d v="2023-05-20T00:00:00"/>
    <n v="13"/>
    <n v="0"/>
    <n v="0"/>
    <x v="1"/>
    <x v="4"/>
    <s v="Mumbai"/>
    <s v="Enterprise"/>
    <x v="0"/>
    <x v="14"/>
    <x v="6"/>
    <x v="553"/>
    <n v="1443.28"/>
    <n v="2580.5700000000002"/>
    <n v="0"/>
    <n v="0"/>
    <n v="0"/>
    <n v="18"/>
    <n v="46450.26"/>
    <n v="25979.040000000001"/>
    <n v="20471.22"/>
    <n v="0.4407127107577008"/>
    <e v="#NUM!"/>
    <e v="#NUM!"/>
    <e v="#NUM!"/>
  </r>
  <r>
    <s v="ORD-2025-874124"/>
    <x v="78"/>
    <x v="8"/>
    <d v="2023-04-01T00:00:00"/>
    <m/>
    <s v="Q2-2025"/>
    <d v="2025-05-12T00:00:00"/>
    <d v="2025-05-17T00:00:00"/>
    <n v="3"/>
    <n v="1"/>
    <n v="1"/>
    <x v="2"/>
    <x v="3"/>
    <s v="Vancouver"/>
    <s v="Non-Profit"/>
    <x v="3"/>
    <x v="9"/>
    <x v="1"/>
    <x v="554"/>
    <n v="883.5"/>
    <n v="1978.91"/>
    <n v="5.3999999999999999E-2"/>
    <n v="5.3999999999999999E-2"/>
    <n v="0"/>
    <n v="27"/>
    <n v="50545.319219999998"/>
    <n v="23854.5"/>
    <n v="26690.819219999998"/>
    <n v="0.52805718970390547"/>
    <e v="#NUM!"/>
    <e v="#NUM!"/>
    <e v="#NUM!"/>
  </r>
  <r>
    <s v="ORD-2024-687073"/>
    <x v="0"/>
    <x v="0"/>
    <d v="2023-02-01T00:00:00"/>
    <m/>
    <s v="Q1-2024"/>
    <d v="2024-03-29T00:00:00"/>
    <d v="2024-03-29T00:00:00"/>
    <n v="18"/>
    <n v="0"/>
    <n v="0"/>
    <x v="2"/>
    <x v="10"/>
    <s v="New York"/>
    <s v="Corporate"/>
    <x v="0"/>
    <x v="12"/>
    <x v="5"/>
    <x v="555"/>
    <n v="710.98"/>
    <n v="1481.45"/>
    <n v="0.21099999999999999"/>
    <n v="0.21099999999999999"/>
    <n v="1"/>
    <n v="9"/>
    <n v="10519.776450000001"/>
    <n v="6398.82"/>
    <n v="4120.9564500000015"/>
    <n v="0.39173422264120461"/>
    <e v="#NUM!"/>
    <e v="#NUM!"/>
    <e v="#NUM!"/>
  </r>
  <r>
    <s v="ORD-2024-555229"/>
    <x v="22"/>
    <x v="7"/>
    <d v="2023-09-01T00:00:00"/>
    <m/>
    <s v="Q2-2024"/>
    <d v="2024-05-22T00:00:00"/>
    <d v="2024-05-22T00:00:00"/>
    <n v="4"/>
    <n v="1"/>
    <n v="1"/>
    <x v="0"/>
    <x v="0"/>
    <s v="Nairobi"/>
    <s v="Corporate"/>
    <x v="4"/>
    <x v="10"/>
    <x v="6"/>
    <x v="556"/>
    <n v="857.42"/>
    <n v="1658.92"/>
    <n v="0.122"/>
    <n v="0.122"/>
    <n v="0"/>
    <n v="9"/>
    <n v="13108.78584"/>
    <n v="7716.78"/>
    <n v="5392.0058400000007"/>
    <n v="0.41132763215544305"/>
    <e v="#NUM!"/>
    <e v="#NUM!"/>
    <e v="#NUM!"/>
  </r>
  <r>
    <s v="ORD-2024-872291"/>
    <x v="434"/>
    <x v="9"/>
    <d v="2023-06-01T00:00:00"/>
    <m/>
    <s v="Q1-2024"/>
    <d v="2024-01-12T00:00:00"/>
    <d v="2024-01-12T00:00:00"/>
    <n v="4"/>
    <n v="1"/>
    <n v="1"/>
    <x v="1"/>
    <x v="4"/>
    <s v="Bengaluru"/>
    <s v="Corporate"/>
    <x v="4"/>
    <x v="6"/>
    <x v="1"/>
    <x v="557"/>
    <n v="802.32"/>
    <n v="602.34"/>
    <n v="0.12"/>
    <n v="0.12"/>
    <n v="0"/>
    <n v="25"/>
    <n v="13251.48"/>
    <n v="20058"/>
    <n v="-6806.52"/>
    <n v="-0.51364224977134632"/>
    <e v="#NUM!"/>
    <e v="#NUM!"/>
    <e v="#NUM!"/>
  </r>
  <r>
    <s v="ORD-2024-250862"/>
    <x v="40"/>
    <x v="1"/>
    <d v="2023-02-01T00:00:00"/>
    <m/>
    <s v="Q4-2024"/>
    <d v="2024-11-05T00:00:00"/>
    <d v="2024-11-05T00:00:00"/>
    <n v="11"/>
    <n v="0"/>
    <n v="0"/>
    <x v="2"/>
    <x v="10"/>
    <s v="New York"/>
    <s v="Corporate"/>
    <x v="3"/>
    <x v="13"/>
    <x v="0"/>
    <x v="558"/>
    <n v="446.66"/>
    <n v="527.64"/>
    <n v="0.14499999999999999"/>
    <n v="0.14499999999999999"/>
    <n v="0"/>
    <n v="15"/>
    <n v="6766.9829999999993"/>
    <n v="6699.9000000000005"/>
    <n v="67.082999999998719"/>
    <n v="9.9132804087137105E-3"/>
    <e v="#NUM!"/>
    <e v="#NUM!"/>
    <e v="#NUM!"/>
  </r>
  <r>
    <s v="ORD-2024-331226"/>
    <x v="25"/>
    <x v="18"/>
    <d v="2023-09-01T00:00:00"/>
    <m/>
    <s v="Q4-2024"/>
    <d v="2024-12-19T00:00:00"/>
    <d v="2024-12-19T00:00:00"/>
    <n v="19"/>
    <n v="0"/>
    <n v="0"/>
    <x v="0"/>
    <x v="0"/>
    <s v="Kisumu"/>
    <s v="Corporate"/>
    <x v="1"/>
    <x v="4"/>
    <x v="3"/>
    <x v="559"/>
    <n v="1195.98"/>
    <n v="1841.9"/>
    <n v="5.5E-2"/>
    <n v="5.5E-2"/>
    <n v="0"/>
    <n v="19"/>
    <n v="33071.3145"/>
    <n v="22723.62"/>
    <n v="10347.694500000001"/>
    <n v="0.31289032977506842"/>
    <e v="#NUM!"/>
    <e v="#NUM!"/>
    <e v="#NUM!"/>
  </r>
  <r>
    <s v="ORD-2023-356427"/>
    <x v="289"/>
    <x v="12"/>
    <d v="2023-04-01T00:00:00"/>
    <m/>
    <s v="Q2-2023"/>
    <d v="2023-05-02T00:00:00"/>
    <d v="2023-05-02T00:00:00"/>
    <n v="19"/>
    <n v="0"/>
    <n v="0"/>
    <x v="2"/>
    <x v="3"/>
    <s v="Montreal"/>
    <s v="Consumer"/>
    <x v="3"/>
    <x v="6"/>
    <x v="5"/>
    <x v="560"/>
    <n v="671.05"/>
    <n v="1645.48"/>
    <n v="0.13700000000000001"/>
    <n v="0.13700000000000001"/>
    <n v="0"/>
    <n v="6"/>
    <n v="8520.2954399999999"/>
    <n v="4026.2999999999997"/>
    <n v="4493.9954400000006"/>
    <n v="0.52744596377517172"/>
    <e v="#NUM!"/>
    <e v="#NUM!"/>
    <e v="#NUM!"/>
  </r>
  <r>
    <s v="ORD-2025-659650"/>
    <x v="184"/>
    <x v="26"/>
    <d v="2023-04-01T00:00:00"/>
    <m/>
    <s v="Q1-2025"/>
    <d v="2025-02-08T00:00:00"/>
    <d v="2025-02-08T00:00:00"/>
    <n v="4"/>
    <n v="1"/>
    <n v="1"/>
    <x v="3"/>
    <x v="8"/>
    <s v="Manchester"/>
    <s v="Enterprise"/>
    <x v="2"/>
    <x v="4"/>
    <x v="2"/>
    <x v="561"/>
    <n v="586.21"/>
    <n v="727.22"/>
    <n v="6.8000000000000005E-2"/>
    <n v="6.8000000000000005E-2"/>
    <n v="0"/>
    <n v="15"/>
    <n v="10166.535600000001"/>
    <n v="8793.1500000000015"/>
    <n v="1373.3855999999996"/>
    <n v="0.13508884973559721"/>
    <e v="#NUM!"/>
    <e v="#NUM!"/>
    <e v="#NUM!"/>
  </r>
  <r>
    <s v="ORD-2024-207669"/>
    <x v="435"/>
    <x v="9"/>
    <d v="2023-04-01T00:00:00"/>
    <m/>
    <s v="Q1-2024"/>
    <d v="2024-02-04T00:00:00"/>
    <d v="2024-02-04T00:00:00"/>
    <n v="11"/>
    <n v="0"/>
    <n v="0"/>
    <x v="3"/>
    <x v="8"/>
    <s v="Manchester"/>
    <s v="Consumer"/>
    <x v="0"/>
    <x v="5"/>
    <x v="4"/>
    <x v="562"/>
    <n v="525.34"/>
    <n v="1233.79"/>
    <n v="0.14299999999999999"/>
    <n v="0.14299999999999999"/>
    <n v="0"/>
    <n v="4"/>
    <n v="4229.4321199999995"/>
    <n v="2101.36"/>
    <n v="2128.0721199999994"/>
    <n v="0.50315788494082736"/>
    <e v="#NUM!"/>
    <e v="#NUM!"/>
    <e v="#NUM!"/>
  </r>
  <r>
    <s v="ORD-2024-979401"/>
    <x v="436"/>
    <x v="31"/>
    <d v="2023-09-01T00:00:00"/>
    <m/>
    <s v="Q1-2024"/>
    <d v="2024-02-09T00:00:00"/>
    <d v="2024-02-09T00:00:00"/>
    <n v="1"/>
    <n v="1"/>
    <n v="1"/>
    <x v="0"/>
    <x v="0"/>
    <s v="Mombasa"/>
    <s v="Corporate"/>
    <x v="4"/>
    <x v="9"/>
    <x v="0"/>
    <x v="563"/>
    <n v="1233.52"/>
    <n v="1543.76"/>
    <n v="0.126"/>
    <n v="0.126"/>
    <n v="0"/>
    <n v="13"/>
    <n v="17540.201120000002"/>
    <n v="16035.76"/>
    <n v="1504.4411200000013"/>
    <n v="8.5771030201277493E-2"/>
    <e v="#NUM!"/>
    <e v="#NUM!"/>
    <e v="#NUM!"/>
  </r>
  <r>
    <s v="ORD-2025-929414"/>
    <x v="437"/>
    <x v="16"/>
    <d v="2023-10-01T00:00:00"/>
    <m/>
    <s v="Q2-2025"/>
    <d v="2025-07-11T00:00:00"/>
    <d v="2025-07-11T00:00:00"/>
    <n v="15"/>
    <n v="0"/>
    <n v="0"/>
    <x v="0"/>
    <x v="1"/>
    <s v="Port Harcourt"/>
    <s v="Small Business"/>
    <x v="1"/>
    <x v="8"/>
    <x v="4"/>
    <x v="564"/>
    <n v="1170.1500000000001"/>
    <n v="2115.19"/>
    <n v="9.1999999999999998E-2"/>
    <n v="9.1999999999999998E-2"/>
    <n v="0"/>
    <n v="23"/>
    <n v="44173.627960000005"/>
    <n v="26913.45"/>
    <n v="17260.177960000005"/>
    <n v="0.39073489674946776"/>
    <e v="#NUM!"/>
    <e v="#NUM!"/>
    <e v="#NUM!"/>
  </r>
  <r>
    <s v="ORD-2024-766980"/>
    <x v="272"/>
    <x v="18"/>
    <d v="2023-04-01T00:00:00"/>
    <m/>
    <s v="Q4-2024"/>
    <d v="2024-11-07T00:00:00"/>
    <d v="2024-11-07T00:00:00"/>
    <n v="3"/>
    <n v="1"/>
    <n v="1"/>
    <x v="3"/>
    <x v="7"/>
    <s v="Lyon"/>
    <s v="Corporate"/>
    <x v="1"/>
    <x v="7"/>
    <x v="5"/>
    <x v="565"/>
    <n v="740.68"/>
    <n v="1837.19"/>
    <n v="0.19700000000000001"/>
    <n v="0.19700000000000001"/>
    <n v="0"/>
    <n v="17"/>
    <n v="25079.480689999997"/>
    <n v="12591.56"/>
    <n v="12487.920689999997"/>
    <n v="0.4979337827748298"/>
    <e v="#NUM!"/>
    <e v="#NUM!"/>
    <e v="#NUM!"/>
  </r>
  <r>
    <s v="ORD-2024-437164"/>
    <x v="438"/>
    <x v="31"/>
    <d v="2023-02-01T00:00:00"/>
    <m/>
    <s v="Q1-2024"/>
    <d v="2024-02-20T00:00:00"/>
    <d v="2024-02-20T00:00:00"/>
    <n v="0"/>
    <n v="1"/>
    <n v="1"/>
    <x v="2"/>
    <x v="10"/>
    <s v="New York"/>
    <s v="Enterprise"/>
    <x v="1"/>
    <x v="0"/>
    <x v="2"/>
    <x v="566"/>
    <n v="1407.05"/>
    <n v="2858.93"/>
    <n v="0"/>
    <n v="0"/>
    <n v="0"/>
    <n v="12"/>
    <n v="34307.159999999996"/>
    <n v="16884.599999999999"/>
    <n v="17422.559999999998"/>
    <n v="0.50784034586366222"/>
    <e v="#NUM!"/>
    <e v="#NUM!"/>
    <e v="#NUM!"/>
  </r>
  <r>
    <s v="ORD-2025-169093"/>
    <x v="439"/>
    <x v="19"/>
    <d v="2023-04-01T00:00:00"/>
    <m/>
    <s v="Q2-2025"/>
    <d v="2025-04-14T00:00:00"/>
    <d v="2025-04-14T00:00:00"/>
    <n v="1"/>
    <n v="1"/>
    <n v="1"/>
    <x v="1"/>
    <x v="2"/>
    <s v="Osaka"/>
    <s v="Enterprise"/>
    <x v="1"/>
    <x v="3"/>
    <x v="0"/>
    <x v="567"/>
    <n v="138.9"/>
    <n v="289.92"/>
    <n v="2.9000000000000001E-2"/>
    <n v="2.9000000000000001E-2"/>
    <n v="0"/>
    <n v="12"/>
    <n v="3378.1478400000001"/>
    <n v="1666.8000000000002"/>
    <n v="1711.3478399999999"/>
    <n v="0.50659353025828491"/>
    <e v="#NUM!"/>
    <e v="#NUM!"/>
    <e v="#NUM!"/>
  </r>
  <r>
    <s v="ORD-2023-868460"/>
    <x v="407"/>
    <x v="23"/>
    <d v="2023-06-01T00:00:00"/>
    <m/>
    <s v="Q2-2023"/>
    <d v="2023-06-01T00:00:00"/>
    <d v="2023-06-01T00:00:00"/>
    <n v="0"/>
    <n v="1"/>
    <n v="1"/>
    <x v="1"/>
    <x v="4"/>
    <s v="Bengaluru"/>
    <s v="Corporate"/>
    <x v="0"/>
    <x v="6"/>
    <x v="6"/>
    <x v="568"/>
    <n v="669.37"/>
    <n v="997.2"/>
    <n v="8.2000000000000003E-2"/>
    <n v="8.2000000000000003E-2"/>
    <n v="0"/>
    <n v="5"/>
    <n v="4577.1480000000001"/>
    <n v="3346.85"/>
    <n v="1230.2980000000002"/>
    <n v="0.26879139586484863"/>
    <e v="#NUM!"/>
    <e v="#NUM!"/>
    <e v="#NUM!"/>
  </r>
  <r>
    <s v="ORD-2025-177994"/>
    <x v="400"/>
    <x v="3"/>
    <d v="2023-11-01T00:00:00"/>
    <m/>
    <s v="Q1-2025"/>
    <d v="2025-04-04T00:00:00"/>
    <d v="2025-04-04T00:00:00"/>
    <n v="11"/>
    <n v="0"/>
    <n v="0"/>
    <x v="1"/>
    <x v="4"/>
    <s v="Mumbai"/>
    <s v="Education"/>
    <x v="2"/>
    <x v="1"/>
    <x v="3"/>
    <x v="569"/>
    <n v="23.83"/>
    <n v="47.29"/>
    <n v="6.4000000000000001E-2"/>
    <n v="6.4000000000000001E-2"/>
    <n v="0"/>
    <n v="19"/>
    <n v="841.00536"/>
    <n v="452.77"/>
    <n v="388.23536000000001"/>
    <n v="0.46163244429262618"/>
    <e v="#NUM!"/>
    <e v="#NUM!"/>
    <e v="#NUM!"/>
  </r>
  <r>
    <s v="ORD-2024-355095"/>
    <x v="278"/>
    <x v="9"/>
    <d v="2023-06-01T00:00:00"/>
    <m/>
    <s v="Q1-2024"/>
    <d v="2024-01-02T00:00:00"/>
    <d v="2024-01-02T00:00:00"/>
    <n v="0"/>
    <n v="1"/>
    <n v="1"/>
    <x v="2"/>
    <x v="3"/>
    <s v="Vancouver"/>
    <s v="Education"/>
    <x v="4"/>
    <x v="8"/>
    <x v="4"/>
    <x v="570"/>
    <n v="444.41"/>
    <n v="754.24"/>
    <n v="0.20699999999999999"/>
    <n v="0.20699999999999999"/>
    <n v="1"/>
    <n v="32"/>
    <n v="19139.594240000002"/>
    <n v="14221.12"/>
    <n v="4918.4742400000014"/>
    <n v="0.25697902360546598"/>
    <e v="#NUM!"/>
    <e v="#NUM!"/>
    <e v="#NUM!"/>
  </r>
  <r>
    <s v="ORD-2023-126505"/>
    <x v="201"/>
    <x v="4"/>
    <d v="2023-06-01T00:00:00"/>
    <m/>
    <s v="Q4-2023"/>
    <d v="2024-01-01T00:00:00"/>
    <d v="2024-01-01T00:00:00"/>
    <n v="13"/>
    <n v="0"/>
    <n v="0"/>
    <x v="2"/>
    <x v="3"/>
    <s v="Toronto"/>
    <s v="Enterprise"/>
    <x v="0"/>
    <x v="11"/>
    <x v="5"/>
    <x v="571"/>
    <n v="856.1"/>
    <n v="901.48"/>
    <n v="5.6000000000000001E-2"/>
    <n v="5.6000000000000001E-2"/>
    <n v="0"/>
    <n v="17"/>
    <n v="14466.95104"/>
    <n v="14553.7"/>
    <n v="-86.748960000000807"/>
    <n v="-5.9963540182134192E-3"/>
    <e v="#NUM!"/>
    <e v="#NUM!"/>
    <e v="#NUM!"/>
  </r>
  <r>
    <s v="ORD-2023-340056"/>
    <x v="440"/>
    <x v="12"/>
    <d v="2023-04-01T00:00:00"/>
    <m/>
    <s v="Q2-2023"/>
    <d v="2023-04-26T00:00:00"/>
    <d v="2023-04-26T00:00:00"/>
    <n v="0"/>
    <n v="1"/>
    <n v="1"/>
    <x v="3"/>
    <x v="7"/>
    <s v="Marseille"/>
    <s v="Consumer"/>
    <x v="4"/>
    <x v="12"/>
    <x v="0"/>
    <x v="572"/>
    <n v="81.489999999999995"/>
    <n v="113.08"/>
    <n v="0.121"/>
    <n v="0.121"/>
    <n v="0"/>
    <n v="5"/>
    <n v="496.98660000000001"/>
    <n v="407.45"/>
    <n v="89.536600000000021"/>
    <n v="0.18015898215364362"/>
    <e v="#NUM!"/>
    <e v="#NUM!"/>
    <e v="#NUM!"/>
  </r>
  <r>
    <s v="ORD-2025-281413"/>
    <x v="441"/>
    <x v="28"/>
    <d v="2023-06-01T00:00:00"/>
    <m/>
    <s v="Q3-2025"/>
    <d v="2025-08-16T00:00:00"/>
    <d v="2025-08-16T00:00:00"/>
    <n v="13"/>
    <n v="0"/>
    <n v="0"/>
    <x v="2"/>
    <x v="3"/>
    <s v="Montreal"/>
    <s v="Enterprise"/>
    <x v="3"/>
    <x v="7"/>
    <x v="2"/>
    <x v="573"/>
    <n v="698.66"/>
    <n v="868.62"/>
    <n v="7.1999999999999995E-2"/>
    <n v="7.1999999999999995E-2"/>
    <n v="0"/>
    <n v="15"/>
    <n v="12091.190399999999"/>
    <n v="10479.9"/>
    <n v="1611.2903999999999"/>
    <n v="0.13326151906432637"/>
    <e v="#NUM!"/>
    <e v="#NUM!"/>
    <e v="#NUM!"/>
  </r>
  <r>
    <s v="ORD-2023-713614"/>
    <x v="442"/>
    <x v="25"/>
    <d v="2023-06-01T00:00:00"/>
    <m/>
    <s v="Q3-2023"/>
    <d v="2023-08-19T00:00:00"/>
    <d v="2023-08-19T00:00:00"/>
    <n v="17"/>
    <n v="0"/>
    <n v="0"/>
    <x v="2"/>
    <x v="3"/>
    <s v="Vancouver"/>
    <s v="Corporate"/>
    <x v="1"/>
    <x v="9"/>
    <x v="2"/>
    <x v="574"/>
    <n v="175.38"/>
    <n v="347.9"/>
    <n v="7.1999999999999995E-2"/>
    <n v="7.1999999999999995E-2"/>
    <n v="0"/>
    <n v="43"/>
    <n v="13882.6016"/>
    <n v="7541.34"/>
    <n v="6341.2615999999998"/>
    <n v="0.45677761148169804"/>
    <e v="#NUM!"/>
    <e v="#NUM!"/>
    <e v="#NUM!"/>
  </r>
  <r>
    <s v="ORD-2023-173313"/>
    <x v="250"/>
    <x v="23"/>
    <d v="2023-04-01T00:00:00"/>
    <m/>
    <s v="Q2-2023"/>
    <d v="2023-07-12T00:00:00"/>
    <d v="2023-07-12T00:00:00"/>
    <n v="27"/>
    <n v="0"/>
    <n v="0"/>
    <x v="3"/>
    <x v="8"/>
    <s v="Manchester"/>
    <s v="Consumer"/>
    <x v="4"/>
    <x v="2"/>
    <x v="6"/>
    <x v="575"/>
    <n v="751.28"/>
    <n v="1111.8800000000001"/>
    <n v="0.13500000000000001"/>
    <n v="0.13500000000000001"/>
    <n v="0"/>
    <n v="7"/>
    <n v="6732.4334000000008"/>
    <n v="5258.96"/>
    <n v="1473.4734000000008"/>
    <n v="0.21886193482433863"/>
    <e v="#NUM!"/>
    <e v="#NUM!"/>
    <e v="#NUM!"/>
  </r>
  <r>
    <s v="ORD-2024-496601"/>
    <x v="443"/>
    <x v="18"/>
    <d v="2023-04-01T00:00:00"/>
    <m/>
    <s v="Q4-2024"/>
    <d v="2024-11-24T00:00:00"/>
    <d v="2024-11-24T00:00:00"/>
    <n v="13"/>
    <n v="0"/>
    <n v="0"/>
    <x v="3"/>
    <x v="8"/>
    <s v="London"/>
    <s v="Corporate"/>
    <x v="0"/>
    <x v="6"/>
    <x v="2"/>
    <x v="576"/>
    <n v="164.53"/>
    <n v="327.72"/>
    <n v="6.7000000000000004E-2"/>
    <n v="6.7000000000000004E-2"/>
    <n v="0"/>
    <n v="14"/>
    <n v="4280.6786400000001"/>
    <n v="2303.42"/>
    <n v="1977.25864"/>
    <n v="0.46190307805960412"/>
    <e v="#NUM!"/>
    <e v="#NUM!"/>
    <e v="#NUM!"/>
  </r>
  <r>
    <s v="ORD-2025-155182"/>
    <x v="444"/>
    <x v="13"/>
    <d v="2023-09-01T00:00:00"/>
    <m/>
    <s v="Q3-2025"/>
    <d v="2025-08-03T00:00:00"/>
    <d v="2025-08-03T00:00:00"/>
    <n v="23"/>
    <n v="0"/>
    <n v="0"/>
    <x v="0"/>
    <x v="0"/>
    <s v="Nakuru"/>
    <s v="Small Business"/>
    <x v="0"/>
    <x v="0"/>
    <x v="3"/>
    <x v="577"/>
    <n v="389.93"/>
    <n v="486.13"/>
    <n v="0.13200000000000001"/>
    <n v="0.13200000000000001"/>
    <n v="0"/>
    <n v="17"/>
    <n v="7173.3342799999991"/>
    <n v="6628.81"/>
    <n v="544.52427999999873"/>
    <n v="7.5909508569562828E-2"/>
    <e v="#NUM!"/>
    <e v="#NUM!"/>
    <e v="#NUM!"/>
  </r>
  <r>
    <s v="ORD-2023-244375"/>
    <x v="445"/>
    <x v="23"/>
    <d v="2023-01-01T00:00:00"/>
    <m/>
    <s v="Q2-2023"/>
    <d v="2023-07-01T00:00:00"/>
    <d v="2023-07-01T00:00:00"/>
    <n v="28"/>
    <n v="0"/>
    <n v="0"/>
    <x v="2"/>
    <x v="5"/>
    <s v="Brasília"/>
    <s v="Small Business"/>
    <x v="2"/>
    <x v="8"/>
    <x v="0"/>
    <x v="578"/>
    <n v="860.4"/>
    <n v="2066.6"/>
    <n v="0.01"/>
    <n v="0.01"/>
    <n v="0"/>
    <n v="3"/>
    <n v="6137.8019999999988"/>
    <n v="2581.1999999999998"/>
    <n v="3556.601999999999"/>
    <n v="0.57945857491004105"/>
    <e v="#NUM!"/>
    <e v="#NUM!"/>
    <e v="#NUM!"/>
  </r>
  <r>
    <s v="ORD-2023-856322"/>
    <x v="446"/>
    <x v="5"/>
    <d v="2023-01-01T00:00:00"/>
    <m/>
    <s v="Q1-2023"/>
    <d v="2023-02-06T00:00:00"/>
    <d v="2023-02-06T00:00:00"/>
    <n v="8"/>
    <n v="0"/>
    <n v="0"/>
    <x v="2"/>
    <x v="5"/>
    <s v="Brasília"/>
    <s v="Corporate"/>
    <x v="2"/>
    <x v="14"/>
    <x v="5"/>
    <x v="579"/>
    <n v="41.84"/>
    <n v="86.2"/>
    <n v="0.22600000000000001"/>
    <n v="0.22600000000000001"/>
    <n v="1"/>
    <n v="27"/>
    <n v="1801.4076000000002"/>
    <n v="1129.68"/>
    <n v="671.72760000000017"/>
    <n v="0.37289039970742882"/>
    <e v="#NUM!"/>
    <e v="#NUM!"/>
    <e v="#NUM!"/>
  </r>
  <r>
    <s v="ORD-2024-594527"/>
    <x v="330"/>
    <x v="29"/>
    <d v="2023-04-01T00:00:00"/>
    <m/>
    <s v="Q3-2024"/>
    <d v="2024-09-04T00:00:00"/>
    <d v="2024-09-09T00:00:00"/>
    <n v="3"/>
    <n v="1"/>
    <n v="1"/>
    <x v="1"/>
    <x v="2"/>
    <s v="Osaka"/>
    <s v="Corporate"/>
    <x v="4"/>
    <x v="8"/>
    <x v="4"/>
    <x v="580"/>
    <n v="1368.17"/>
    <n v="2307.75"/>
    <n v="0.16300000000000001"/>
    <n v="0.16300000000000001"/>
    <n v="0"/>
    <n v="21"/>
    <n v="40563.321749999996"/>
    <n v="28731.57"/>
    <n v="11831.751749999996"/>
    <n v="0.29168596750831921"/>
    <e v="#NUM!"/>
    <e v="#NUM!"/>
    <e v="#NUM!"/>
  </r>
  <r>
    <s v="ORD-2024-689872"/>
    <x v="447"/>
    <x v="21"/>
    <d v="2023-09-01T00:00:00"/>
    <m/>
    <s v="Q3-2024"/>
    <d v="2024-08-09T00:00:00"/>
    <d v="2024-08-09T00:00:00"/>
    <n v="6"/>
    <n v="1"/>
    <n v="1"/>
    <x v="0"/>
    <x v="0"/>
    <s v="Mombasa"/>
    <s v="Consumer"/>
    <x v="2"/>
    <x v="10"/>
    <x v="4"/>
    <x v="581"/>
    <n v="643.21"/>
    <n v="1112.81"/>
    <n v="0.14099999999999999"/>
    <n v="0.14099999999999999"/>
    <n v="0"/>
    <n v="4"/>
    <n v="3823.6151599999998"/>
    <n v="2572.84"/>
    <n v="1250.7751599999997"/>
    <n v="0.32711847496702562"/>
    <e v="#NUM!"/>
    <e v="#NUM!"/>
    <e v="#NUM!"/>
  </r>
  <r>
    <s v="ORD-2025-246692"/>
    <x v="448"/>
    <x v="19"/>
    <d v="2023-09-01T00:00:00"/>
    <m/>
    <s v="Q2-2025"/>
    <d v="2025-04-17T00:00:00"/>
    <d v="2025-04-17T00:00:00"/>
    <n v="0"/>
    <n v="1"/>
    <n v="1"/>
    <x v="2"/>
    <x v="5"/>
    <s v="São Paulo"/>
    <s v="Corporate"/>
    <x v="3"/>
    <x v="4"/>
    <x v="3"/>
    <x v="582"/>
    <n v="719.41"/>
    <n v="1125.99"/>
    <n v="4.1000000000000002E-2"/>
    <n v="4.1000000000000002E-2"/>
    <n v="0"/>
    <n v="21"/>
    <n v="22676.312610000001"/>
    <n v="15107.609999999999"/>
    <n v="7568.7026100000021"/>
    <n v="0.33377131194876403"/>
    <e v="#NUM!"/>
    <e v="#NUM!"/>
    <e v="#NUM!"/>
  </r>
  <r>
    <s v="ORD-2023-378676"/>
    <x v="449"/>
    <x v="15"/>
    <d v="2023-02-01T00:00:00"/>
    <m/>
    <s v="Q2-2023"/>
    <d v="2023-05-16T00:00:00"/>
    <d v="2023-05-16T00:00:00"/>
    <n v="13"/>
    <n v="0"/>
    <n v="0"/>
    <x v="2"/>
    <x v="10"/>
    <s v="New York"/>
    <s v="Corporate"/>
    <x v="2"/>
    <x v="4"/>
    <x v="3"/>
    <x v="583"/>
    <n v="64.5"/>
    <n v="123.62"/>
    <n v="0"/>
    <n v="0"/>
    <n v="0"/>
    <n v="3"/>
    <n v="370.86"/>
    <n v="193.5"/>
    <n v="177.36"/>
    <n v="0.47823976702798904"/>
    <e v="#NUM!"/>
    <e v="#NUM!"/>
    <e v="#NUM!"/>
  </r>
  <r>
    <s v="ORD-2024-243988"/>
    <x v="450"/>
    <x v="0"/>
    <d v="2023-10-01T00:00:00"/>
    <m/>
    <s v="Q1-2024"/>
    <d v="2024-04-06T00:00:00"/>
    <d v="2024-04-06T00:00:00"/>
    <n v="24"/>
    <n v="0"/>
    <n v="0"/>
    <x v="0"/>
    <x v="1"/>
    <s v="Abuja"/>
    <s v="Consumer"/>
    <x v="3"/>
    <x v="4"/>
    <x v="0"/>
    <x v="584"/>
    <n v="1232.78"/>
    <n v="1731.75"/>
    <n v="9.2999999999999999E-2"/>
    <n v="9.2999999999999999E-2"/>
    <n v="0"/>
    <n v="16"/>
    <n v="25131.155999999999"/>
    <n v="19724.48"/>
    <n v="5406.6759999999995"/>
    <n v="0.21513837246484005"/>
    <e v="#NUM!"/>
    <e v="#NUM!"/>
    <e v="#NUM!"/>
  </r>
  <r>
    <s v="ORD-2024-572312"/>
    <x v="248"/>
    <x v="17"/>
    <d v="2023-04-01T00:00:00"/>
    <m/>
    <s v="Q2-2024"/>
    <d v="2024-06-21T00:00:00"/>
    <d v="2024-06-21T00:00:00"/>
    <n v="5"/>
    <n v="1"/>
    <n v="1"/>
    <x v="1"/>
    <x v="2"/>
    <s v="Tokyo"/>
    <s v="Small Business"/>
    <x v="3"/>
    <x v="9"/>
    <x v="3"/>
    <x v="585"/>
    <n v="1367.13"/>
    <n v="3062.01"/>
    <n v="0.10299999999999999"/>
    <n v="0.10299999999999999"/>
    <n v="0"/>
    <n v="25"/>
    <n v="68665.574250000005"/>
    <n v="34178.25"/>
    <n v="34487.324250000005"/>
    <n v="0.50225057645971705"/>
    <e v="#NUM!"/>
    <e v="#NUM!"/>
    <e v="#NUM!"/>
  </r>
  <r>
    <s v="ORD-2025-281062"/>
    <x v="146"/>
    <x v="26"/>
    <d v="2023-04-01T00:00:00"/>
    <m/>
    <s v="Q1-2025"/>
    <d v="2025-02-27T00:00:00"/>
    <d v="2025-02-27T00:00:00"/>
    <n v="12"/>
    <n v="0"/>
    <n v="0"/>
    <x v="3"/>
    <x v="7"/>
    <s v="Lyon"/>
    <s v="Non-Profit"/>
    <x v="4"/>
    <x v="11"/>
    <x v="6"/>
    <x v="586"/>
    <n v="1027.26"/>
    <n v="2200.41"/>
    <n v="8.7999999999999995E-2"/>
    <n v="8.7999999999999995E-2"/>
    <n v="0"/>
    <n v="6"/>
    <n v="12040.64352"/>
    <n v="6163.5599999999995"/>
    <n v="5877.0835200000001"/>
    <n v="0.48810377204822358"/>
    <e v="#NUM!"/>
    <e v="#NUM!"/>
    <e v="#NUM!"/>
  </r>
  <r>
    <s v="ORD-2023-727290"/>
    <x v="451"/>
    <x v="12"/>
    <d v="2023-04-01T00:00:00"/>
    <m/>
    <s v="Q2-2023"/>
    <d v="2023-04-16T00:00:00"/>
    <d v="2023-04-16T00:00:00"/>
    <n v="13"/>
    <n v="0"/>
    <n v="0"/>
    <x v="3"/>
    <x v="7"/>
    <s v="Marseille"/>
    <s v="Non-Profit"/>
    <x v="2"/>
    <x v="12"/>
    <x v="6"/>
    <x v="587"/>
    <n v="790.54"/>
    <n v="601.49"/>
    <n v="0"/>
    <n v="0"/>
    <n v="0"/>
    <n v="15"/>
    <n v="9022.35"/>
    <n v="11858.099999999999"/>
    <n v="-2835.7499999999982"/>
    <n v="-0.31430281467688553"/>
    <e v="#NUM!"/>
    <e v="#NUM!"/>
    <e v="#NUM!"/>
  </r>
  <r>
    <s v="ORD-2025-993993"/>
    <x v="387"/>
    <x v="28"/>
    <d v="2023-07-01T00:00:00"/>
    <m/>
    <s v="Q3-2025"/>
    <d v="2025-09-22T00:00:00"/>
    <d v="2025-09-22T00:00:00"/>
    <n v="23"/>
    <n v="0"/>
    <n v="0"/>
    <x v="3"/>
    <x v="7"/>
    <s v="Marseille"/>
    <s v="Corporate"/>
    <x v="4"/>
    <x v="6"/>
    <x v="0"/>
    <x v="588"/>
    <n v="663.9"/>
    <n v="947.77"/>
    <n v="0.17399999999999999"/>
    <n v="0.17399999999999999"/>
    <n v="0"/>
    <n v="15"/>
    <n v="11742.8703"/>
    <n v="9958.5"/>
    <n v="1784.3703000000005"/>
    <n v="0.1519535049280073"/>
    <e v="#NUM!"/>
    <e v="#NUM!"/>
    <e v="#NUM!"/>
  </r>
  <r>
    <s v="ORD-2023-619493"/>
    <x v="452"/>
    <x v="2"/>
    <d v="2023-02-01T00:00:00"/>
    <m/>
    <s v="Q1-2023"/>
    <d v="2023-02-26T00:00:00"/>
    <d v="2023-03-02T00:00:00"/>
    <n v="3"/>
    <n v="1"/>
    <n v="1"/>
    <x v="2"/>
    <x v="10"/>
    <s v="San Francisco"/>
    <s v="Non-Profit"/>
    <x v="1"/>
    <x v="4"/>
    <x v="2"/>
    <x v="589"/>
    <n v="1015.91"/>
    <n v="2331.48"/>
    <n v="0.14599999999999999"/>
    <n v="0.14599999999999999"/>
    <n v="0"/>
    <n v="26"/>
    <n v="51768.181920000003"/>
    <n v="26413.66"/>
    <n v="25354.521920000003"/>
    <n v="0.48977037592669626"/>
    <e v="#NUM!"/>
    <e v="#NUM!"/>
    <e v="#NUM!"/>
  </r>
  <r>
    <s v="ORD-2024-947056"/>
    <x v="453"/>
    <x v="14"/>
    <d v="2023-04-01T00:00:00"/>
    <m/>
    <s v="Q3-2024"/>
    <d v="2024-08-15T00:00:00"/>
    <d v="2024-08-15T00:00:00"/>
    <n v="15"/>
    <n v="0"/>
    <n v="0"/>
    <x v="1"/>
    <x v="2"/>
    <s v="Tokyo"/>
    <s v="Corporate"/>
    <x v="2"/>
    <x v="9"/>
    <x v="5"/>
    <x v="590"/>
    <n v="1252.52"/>
    <n v="1417.24"/>
    <n v="0.192"/>
    <n v="0.192"/>
    <n v="0"/>
    <n v="5"/>
    <n v="5725.6496000000006"/>
    <n v="6262.6"/>
    <n v="-536.95039999999972"/>
    <n v="-9.3779821943696953E-2"/>
    <e v="#NUM!"/>
    <e v="#NUM!"/>
    <e v="#NUM!"/>
  </r>
  <r>
    <s v="ORD-2025-856556"/>
    <x v="324"/>
    <x v="16"/>
    <d v="2023-07-01T00:00:00"/>
    <m/>
    <s v="Q2-2025"/>
    <d v="2025-07-12T00:00:00"/>
    <d v="2025-07-12T00:00:00"/>
    <n v="27"/>
    <n v="0"/>
    <n v="0"/>
    <x v="3"/>
    <x v="7"/>
    <s v="Marseille"/>
    <s v="Consumer"/>
    <x v="4"/>
    <x v="0"/>
    <x v="6"/>
    <x v="591"/>
    <n v="318.83"/>
    <n v="699.5"/>
    <n v="0.08"/>
    <n v="0.08"/>
    <n v="0"/>
    <n v="13"/>
    <n v="8366.02"/>
    <n v="4144.79"/>
    <n v="4221.2300000000005"/>
    <n v="0.50456848059172699"/>
    <e v="#NUM!"/>
    <e v="#NUM!"/>
    <e v="#NUM!"/>
  </r>
  <r>
    <s v="ORD-2024-442776"/>
    <x v="24"/>
    <x v="17"/>
    <d v="2023-09-01T00:00:00"/>
    <m/>
    <s v="Q2-2024"/>
    <d v="2024-07-21T00:00:00"/>
    <d v="2024-07-21T00:00:00"/>
    <n v="21"/>
    <n v="0"/>
    <n v="0"/>
    <x v="0"/>
    <x v="0"/>
    <s v="Kisumu"/>
    <s v="Small Business"/>
    <x v="0"/>
    <x v="11"/>
    <x v="4"/>
    <x v="592"/>
    <n v="753.43"/>
    <n v="1787.2"/>
    <n v="7.2999999999999995E-2"/>
    <n v="7.2999999999999995E-2"/>
    <n v="0"/>
    <n v="9"/>
    <n v="14910.609600000002"/>
    <n v="6780.87"/>
    <n v="8129.7396000000017"/>
    <n v="0.54523187301476939"/>
    <e v="#NUM!"/>
    <e v="#NUM!"/>
    <e v="#NUM!"/>
  </r>
  <r>
    <s v="ORD-2025-705398"/>
    <x v="454"/>
    <x v="26"/>
    <d v="2023-06-01T00:00:00"/>
    <m/>
    <s v="Q1-2025"/>
    <d v="2025-02-15T00:00:00"/>
    <d v="2025-02-20T00:00:00"/>
    <n v="3"/>
    <n v="1"/>
    <n v="1"/>
    <x v="2"/>
    <x v="3"/>
    <s v="Toronto"/>
    <s v="Small Business"/>
    <x v="0"/>
    <x v="14"/>
    <x v="0"/>
    <x v="593"/>
    <n v="1133.47"/>
    <n v="1698.75"/>
    <n v="4.2999999999999997E-2"/>
    <n v="4.2999999999999997E-2"/>
    <n v="0"/>
    <n v="5"/>
    <n v="8128.5187499999993"/>
    <n v="5667.35"/>
    <n v="2461.1687499999989"/>
    <n v="0.30278194904821976"/>
    <e v="#NUM!"/>
    <e v="#NUM!"/>
    <e v="#NUM!"/>
  </r>
  <r>
    <s v="ORD-2023-689428"/>
    <x v="455"/>
    <x v="5"/>
    <d v="2023-01-01T00:00:00"/>
    <m/>
    <s v="Q1-2023"/>
    <d v="2023-01-30T00:00:00"/>
    <d v="2023-01-30T00:00:00"/>
    <n v="23"/>
    <n v="0"/>
    <n v="0"/>
    <x v="0"/>
    <x v="11"/>
    <s v="Cape Town"/>
    <s v="Consumer"/>
    <x v="1"/>
    <x v="8"/>
    <x v="1"/>
    <x v="594"/>
    <n v="299.02"/>
    <n v="724.7"/>
    <n v="0.14000000000000001"/>
    <n v="0.14000000000000001"/>
    <n v="0"/>
    <n v="5"/>
    <n v="3116.21"/>
    <n v="1495.1"/>
    <n v="1621.1100000000001"/>
    <n v="0.52021847051386139"/>
    <e v="#NUM!"/>
    <e v="#NUM!"/>
    <e v="#NUM!"/>
  </r>
  <r>
    <s v="ORD-2025-683247"/>
    <x v="401"/>
    <x v="3"/>
    <d v="2023-04-01T00:00:00"/>
    <m/>
    <s v="Q1-2025"/>
    <d v="2025-04-04T00:00:00"/>
    <d v="2025-04-04T00:00:00"/>
    <n v="25"/>
    <n v="0"/>
    <n v="0"/>
    <x v="1"/>
    <x v="2"/>
    <s v="Osaka"/>
    <s v="Corporate"/>
    <x v="4"/>
    <x v="10"/>
    <x v="1"/>
    <x v="595"/>
    <n v="783.72"/>
    <n v="1355.94"/>
    <n v="0.187"/>
    <n v="0.187"/>
    <n v="0"/>
    <n v="4"/>
    <n v="4409.5168800000001"/>
    <n v="3134.88"/>
    <n v="1274.63688"/>
    <n v="0.28906497348525856"/>
    <e v="#NUM!"/>
    <e v="#NUM!"/>
    <e v="#NUM!"/>
  </r>
  <r>
    <s v="ORD-2024-585443"/>
    <x v="456"/>
    <x v="21"/>
    <d v="2023-09-01T00:00:00"/>
    <m/>
    <s v="Q3-2024"/>
    <d v="2024-08-15T00:00:00"/>
    <d v="2024-08-20T00:00:00"/>
    <n v="3"/>
    <n v="1"/>
    <n v="1"/>
    <x v="2"/>
    <x v="5"/>
    <s v="Rio de Janeiro"/>
    <s v="Consumer"/>
    <x v="4"/>
    <x v="12"/>
    <x v="5"/>
    <x v="596"/>
    <n v="165.3"/>
    <n v="275.07"/>
    <n v="0.13300000000000001"/>
    <n v="0.13300000000000001"/>
    <n v="0"/>
    <n v="25"/>
    <n v="5962.1422499999999"/>
    <n v="4132.5"/>
    <n v="1829.6422499999999"/>
    <n v="0.30687665159280625"/>
    <e v="#NUM!"/>
    <e v="#NUM!"/>
    <e v="#NUM!"/>
  </r>
  <r>
    <s v="ORD-2024-907733"/>
    <x v="306"/>
    <x v="0"/>
    <d v="2023-04-01T00:00:00"/>
    <m/>
    <s v="Q1-2024"/>
    <d v="2024-03-22T00:00:00"/>
    <d v="2024-03-22T00:00:00"/>
    <n v="13"/>
    <n v="0"/>
    <n v="0"/>
    <x v="3"/>
    <x v="8"/>
    <s v="Manchester"/>
    <s v="Consumer"/>
    <x v="1"/>
    <x v="6"/>
    <x v="4"/>
    <x v="597"/>
    <n v="985.45"/>
    <n v="1802.44"/>
    <n v="8.9999999999999993E-3"/>
    <n v="8.9999999999999993E-3"/>
    <n v="0"/>
    <n v="19"/>
    <n v="33938.142760000002"/>
    <n v="18723.55"/>
    <n v="15214.592760000003"/>
    <n v="0.44830363486867486"/>
    <e v="#NUM!"/>
    <e v="#NUM!"/>
    <e v="#NUM!"/>
  </r>
  <r>
    <s v="ORD-2024-550400"/>
    <x v="395"/>
    <x v="21"/>
    <d v="2023-06-01T00:00:00"/>
    <m/>
    <s v="Q3-2024"/>
    <d v="2024-09-02T00:00:00"/>
    <d v="2024-09-02T00:00:00"/>
    <n v="14"/>
    <n v="0"/>
    <n v="0"/>
    <x v="2"/>
    <x v="3"/>
    <s v="Toronto"/>
    <s v="Consumer"/>
    <x v="3"/>
    <x v="0"/>
    <x v="1"/>
    <x v="598"/>
    <n v="1337.01"/>
    <n v="1269.78"/>
    <n v="0.16"/>
    <n v="0.16"/>
    <n v="0"/>
    <n v="7"/>
    <n v="7466.3063999999986"/>
    <n v="9359.07"/>
    <n v="-1892.7636000000011"/>
    <n v="-0.25350735672996244"/>
    <e v="#NUM!"/>
    <e v="#NUM!"/>
    <e v="#NUM!"/>
  </r>
  <r>
    <s v="ORD-2025-189846"/>
    <x v="457"/>
    <x v="28"/>
    <d v="2023-07-01T00:00:00"/>
    <m/>
    <s v="Q3-2025"/>
    <d v="2025-08-28T00:00:00"/>
    <d v="2025-08-28T00:00:00"/>
    <n v="17"/>
    <n v="0"/>
    <n v="0"/>
    <x v="3"/>
    <x v="7"/>
    <s v="Paris"/>
    <s v="Education"/>
    <x v="1"/>
    <x v="9"/>
    <x v="2"/>
    <x v="599"/>
    <n v="416.16"/>
    <n v="571.9"/>
    <n v="7.0999999999999994E-2"/>
    <n v="7.0999999999999994E-2"/>
    <n v="0"/>
    <n v="2"/>
    <n v="1062.5902000000001"/>
    <n v="832.32"/>
    <n v="230.27020000000005"/>
    <n v="0.21670649701079497"/>
    <e v="#NUM!"/>
    <e v="#NUM!"/>
    <e v="#NUM!"/>
  </r>
  <r>
    <s v="ORD-2025-752192"/>
    <x v="216"/>
    <x v="8"/>
    <d v="2023-04-01T00:00:00"/>
    <m/>
    <s v="Q2-2025"/>
    <d v="2025-05-18T00:00:00"/>
    <d v="2025-05-18T00:00:00"/>
    <n v="2"/>
    <n v="1"/>
    <n v="1"/>
    <x v="1"/>
    <x v="2"/>
    <s v="Tokyo"/>
    <s v="Enterprise"/>
    <x v="0"/>
    <x v="1"/>
    <x v="1"/>
    <x v="600"/>
    <n v="1144.3800000000001"/>
    <n v="2755.04"/>
    <n v="0.15"/>
    <n v="0.15"/>
    <n v="0"/>
    <n v="17"/>
    <n v="39810.328000000001"/>
    <n v="19454.460000000003"/>
    <n v="20355.867999999999"/>
    <n v="0.51132128326096682"/>
    <e v="#NUM!"/>
    <e v="#NUM!"/>
    <e v="#NUM!"/>
  </r>
  <r>
    <s v="ORD-2023-294716"/>
    <x v="458"/>
    <x v="12"/>
    <d v="2023-04-01T00:00:00"/>
    <m/>
    <s v="Q2-2023"/>
    <d v="2023-04-25T00:00:00"/>
    <d v="2023-04-25T00:00:00"/>
    <n v="15"/>
    <n v="0"/>
    <n v="0"/>
    <x v="3"/>
    <x v="8"/>
    <s v="London"/>
    <s v="Small Business"/>
    <x v="0"/>
    <x v="14"/>
    <x v="1"/>
    <x v="601"/>
    <n v="405.66"/>
    <n v="962.51"/>
    <n v="0.19"/>
    <n v="0.19"/>
    <n v="0"/>
    <n v="7"/>
    <n v="5457.4317000000001"/>
    <n v="2839.6200000000003"/>
    <n v="2617.8116999999997"/>
    <n v="0.47967832561239376"/>
    <e v="#NUM!"/>
    <e v="#NUM!"/>
    <e v="#NUM!"/>
  </r>
  <r>
    <s v="ORD-2023-552115"/>
    <x v="459"/>
    <x v="27"/>
    <d v="2023-09-01T00:00:00"/>
    <m/>
    <s v="Q3-2023"/>
    <d v="2023-10-02T00:00:00"/>
    <d v="2023-10-02T00:00:00"/>
    <n v="15"/>
    <n v="0"/>
    <n v="0"/>
    <x v="2"/>
    <x v="5"/>
    <s v="Rio de Janeiro"/>
    <s v="Small Business"/>
    <x v="0"/>
    <x v="5"/>
    <x v="4"/>
    <x v="602"/>
    <n v="689.33"/>
    <n v="668.27"/>
    <n v="0.186"/>
    <n v="0.186"/>
    <n v="0"/>
    <n v="13"/>
    <n v="7071.6331400000008"/>
    <n v="8961.2900000000009"/>
    <n v="-1889.6568600000001"/>
    <n v="-0.26721647214861033"/>
    <e v="#NUM!"/>
    <e v="#NUM!"/>
    <e v="#NUM!"/>
  </r>
  <r>
    <s v="ORD-2023-107265"/>
    <x v="460"/>
    <x v="12"/>
    <d v="2023-04-01T00:00:00"/>
    <m/>
    <s v="Q2-2023"/>
    <d v="2023-05-14T00:00:00"/>
    <d v="2023-05-14T00:00:00"/>
    <n v="22"/>
    <n v="0"/>
    <n v="0"/>
    <x v="1"/>
    <x v="2"/>
    <s v="Nagoya"/>
    <s v="Enterprise"/>
    <x v="0"/>
    <x v="8"/>
    <x v="6"/>
    <x v="603"/>
    <n v="1209.22"/>
    <n v="1404.33"/>
    <n v="0.10299999999999999"/>
    <n v="0.10299999999999999"/>
    <n v="0"/>
    <n v="11"/>
    <n v="13856.52411"/>
    <n v="13301.42"/>
    <n v="555.10411000000022"/>
    <n v="4.0060848275751328E-2"/>
    <e v="#NUM!"/>
    <e v="#NUM!"/>
    <e v="#NUM!"/>
  </r>
  <r>
    <s v="ORD-2025-262434"/>
    <x v="111"/>
    <x v="16"/>
    <d v="2024-01-01T00:00:00"/>
    <m/>
    <s v="Q2-2025"/>
    <d v="2025-06-21T00:00:00"/>
    <d v="2025-06-21T00:00:00"/>
    <n v="2"/>
    <n v="1"/>
    <n v="1"/>
    <x v="0"/>
    <x v="11"/>
    <s v="Johannesburg"/>
    <s v="Small Business"/>
    <x v="5"/>
    <x v="10"/>
    <x v="3"/>
    <x v="604"/>
    <n v="1466.27"/>
    <n v="3589.89"/>
    <n v="9.7000000000000003E-2"/>
    <n v="9.7000000000000003E-2"/>
    <n v="0"/>
    <n v="9"/>
    <n v="29175.036029999999"/>
    <n v="13196.43"/>
    <n v="15978.606029999999"/>
    <n v="0.54768076425234147"/>
    <e v="#NUM!"/>
    <e v="#NUM!"/>
    <e v="#NUM!"/>
  </r>
  <r>
    <s v="ORD-2024-266562"/>
    <x v="461"/>
    <x v="18"/>
    <d v="2023-09-01T00:00:00"/>
    <m/>
    <s v="Q4-2024"/>
    <d v="2024-12-24T00:00:00"/>
    <d v="2024-12-24T00:00:00"/>
    <n v="27"/>
    <n v="0"/>
    <n v="0"/>
    <x v="0"/>
    <x v="0"/>
    <s v="Mombasa"/>
    <s v="Corporate"/>
    <x v="3"/>
    <x v="5"/>
    <x v="1"/>
    <x v="605"/>
    <n v="143.33000000000001"/>
    <n v="233.51"/>
    <n v="0.16300000000000001"/>
    <n v="0.16300000000000001"/>
    <n v="0"/>
    <n v="14"/>
    <n v="2736.27018"/>
    <n v="2006.6200000000001"/>
    <n v="729.65017999999986"/>
    <n v="0.26665867476580835"/>
    <e v="#NUM!"/>
    <e v="#NUM!"/>
    <e v="#NUM!"/>
  </r>
  <r>
    <s v="ORD-2024-838925"/>
    <x v="10"/>
    <x v="9"/>
    <d v="2024-01-01T00:00:00"/>
    <m/>
    <s v="Q1-2024"/>
    <d v="2024-01-27T00:00:00"/>
    <d v="2024-01-31T00:00:00"/>
    <n v="3"/>
    <n v="1"/>
    <n v="1"/>
    <x v="0"/>
    <x v="11"/>
    <s v="Cape Town"/>
    <s v="Enterprise"/>
    <x v="4"/>
    <x v="7"/>
    <x v="0"/>
    <x v="606"/>
    <n v="109.75"/>
    <n v="124.25"/>
    <n v="0.12"/>
    <n v="0.12"/>
    <n v="0"/>
    <n v="19"/>
    <n v="2077.46"/>
    <n v="2085.25"/>
    <n v="-7.7899999999999636"/>
    <n v="-3.7497713554051405E-3"/>
    <e v="#NUM!"/>
    <e v="#NUM!"/>
    <e v="#NUM!"/>
  </r>
  <r>
    <s v="ORD-2023-664790"/>
    <x v="386"/>
    <x v="12"/>
    <d v="2023-04-01T00:00:00"/>
    <m/>
    <s v="Q2-2023"/>
    <d v="2023-04-23T00:00:00"/>
    <d v="2023-04-23T00:00:00"/>
    <n v="7"/>
    <n v="1"/>
    <n v="1"/>
    <x v="2"/>
    <x v="10"/>
    <s v="Austin"/>
    <s v="Corporate"/>
    <x v="3"/>
    <x v="7"/>
    <x v="1"/>
    <x v="607"/>
    <n v="1099.1500000000001"/>
    <n v="1431.37"/>
    <n v="0.104"/>
    <n v="0.104"/>
    <n v="0"/>
    <n v="8"/>
    <n v="10260.060159999999"/>
    <n v="8793.2000000000007"/>
    <n v="1466.8601599999984"/>
    <n v="0.14296798821109433"/>
    <e v="#NUM!"/>
    <e v="#NUM!"/>
    <e v="#NUM!"/>
  </r>
  <r>
    <s v="ORD-2024-331408"/>
    <x v="145"/>
    <x v="31"/>
    <d v="2024-02-01T00:00:00"/>
    <m/>
    <s v="Q1-2024"/>
    <d v="2024-02-01T00:00:00"/>
    <d v="2024-02-01T00:00:00"/>
    <n v="0"/>
    <n v="1"/>
    <n v="1"/>
    <x v="2"/>
    <x v="10"/>
    <s v="Austin"/>
    <s v="Consumer"/>
    <x v="3"/>
    <x v="10"/>
    <x v="1"/>
    <x v="608"/>
    <n v="714.43"/>
    <n v="1595.52"/>
    <n v="0.19400000000000001"/>
    <n v="0.19400000000000001"/>
    <n v="0"/>
    <n v="14"/>
    <n v="18003.847679999999"/>
    <n v="10002.019999999999"/>
    <n v="8001.8276800000003"/>
    <n v="0.44445097638151093"/>
    <e v="#NUM!"/>
    <e v="#NUM!"/>
    <e v="#NUM!"/>
  </r>
  <r>
    <s v="ORD-2024-741404"/>
    <x v="462"/>
    <x v="1"/>
    <d v="2024-10-01T00:00:00"/>
    <m/>
    <s v="Q4-2024"/>
    <d v="2024-11-06T00:00:00"/>
    <d v="2024-11-06T00:00:00"/>
    <n v="18"/>
    <n v="0"/>
    <n v="0"/>
    <x v="2"/>
    <x v="10"/>
    <s v="Chicago"/>
    <s v="Education"/>
    <x v="5"/>
    <x v="0"/>
    <x v="5"/>
    <x v="609"/>
    <n v="942.02"/>
    <n v="1028.46"/>
    <n v="0"/>
    <n v="0"/>
    <n v="0"/>
    <n v="9"/>
    <n v="9256.14"/>
    <n v="8478.18"/>
    <n v="777.95999999999913"/>
    <n v="8.4047994088248354E-2"/>
    <e v="#NUM!"/>
    <e v="#NUM!"/>
    <e v="#NUM!"/>
  </r>
  <r>
    <s v="ORD-2024-341535"/>
    <x v="463"/>
    <x v="17"/>
    <d v="2023-09-01T00:00:00"/>
    <m/>
    <s v="Q2-2024"/>
    <d v="2024-06-30T00:00:00"/>
    <d v="2024-06-30T00:00:00"/>
    <n v="5"/>
    <n v="1"/>
    <n v="1"/>
    <x v="0"/>
    <x v="0"/>
    <s v="Kisumu"/>
    <s v="Education"/>
    <x v="4"/>
    <x v="12"/>
    <x v="2"/>
    <x v="610"/>
    <n v="1323.55"/>
    <n v="3230.35"/>
    <n v="2.1999999999999999E-2"/>
    <n v="2.1999999999999999E-2"/>
    <n v="0"/>
    <n v="26"/>
    <n v="82141.339799999987"/>
    <n v="34412.299999999996"/>
    <n v="47729.039799999991"/>
    <n v="0.58105991351263542"/>
    <e v="#NUM!"/>
    <e v="#NUM!"/>
    <e v="#NUM!"/>
  </r>
  <r>
    <s v="ORD-2023-451931"/>
    <x v="202"/>
    <x v="24"/>
    <d v="2023-07-01T00:00:00"/>
    <m/>
    <s v="Q3-2023"/>
    <d v="2023-08-19T00:00:00"/>
    <d v="2023-08-19T00:00:00"/>
    <n v="20"/>
    <n v="0"/>
    <n v="0"/>
    <x v="3"/>
    <x v="7"/>
    <s v="Paris"/>
    <s v="Enterprise"/>
    <x v="2"/>
    <x v="3"/>
    <x v="2"/>
    <x v="611"/>
    <n v="1418.51"/>
    <n v="2789.61"/>
    <n v="0.17100000000000001"/>
    <n v="0.17100000000000001"/>
    <n v="0"/>
    <n v="8"/>
    <n v="18500.693520000001"/>
    <n v="11348.08"/>
    <n v="7152.6135200000008"/>
    <n v="0.38661326464695689"/>
    <e v="#NUM!"/>
    <e v="#NUM!"/>
    <e v="#NUM!"/>
  </r>
  <r>
    <s v="ORD-2025-532859"/>
    <x v="417"/>
    <x v="3"/>
    <d v="2023-11-01T00:00:00"/>
    <m/>
    <s v="Q1-2025"/>
    <d v="2025-03-27T00:00:00"/>
    <d v="2025-03-27T00:00:00"/>
    <n v="16"/>
    <n v="0"/>
    <n v="0"/>
    <x v="1"/>
    <x v="2"/>
    <s v="Tokyo"/>
    <s v="Enterprise"/>
    <x v="3"/>
    <x v="5"/>
    <x v="1"/>
    <x v="612"/>
    <n v="1317.58"/>
    <n v="1897.74"/>
    <n v="8.1000000000000003E-2"/>
    <n v="8.1000000000000003E-2"/>
    <n v="0"/>
    <n v="6"/>
    <n v="10464.138360000001"/>
    <n v="7905.48"/>
    <n v="2558.6583600000013"/>
    <n v="0.24451687009230266"/>
    <e v="#NUM!"/>
    <e v="#NUM!"/>
    <e v="#NUM!"/>
  </r>
  <r>
    <s v="ORD-2023-502205"/>
    <x v="326"/>
    <x v="32"/>
    <d v="2023-10-01T00:00:00"/>
    <m/>
    <s v="Q4-2023"/>
    <d v="2023-10-11T00:00:00"/>
    <d v="2023-10-11T00:00:00"/>
    <n v="2"/>
    <n v="1"/>
    <n v="1"/>
    <x v="0"/>
    <x v="1"/>
    <s v="Port Harcourt"/>
    <s v="Education"/>
    <x v="2"/>
    <x v="11"/>
    <x v="2"/>
    <x v="613"/>
    <n v="391.16"/>
    <n v="902.47"/>
    <n v="4.0000000000000001E-3"/>
    <n v="4.0000000000000001E-3"/>
    <n v="0"/>
    <n v="12"/>
    <n v="10786.32144"/>
    <n v="4693.92"/>
    <n v="6092.4014399999996"/>
    <n v="0.56482661618139207"/>
    <e v="#NUM!"/>
    <e v="#NUM!"/>
    <e v="#NUM!"/>
  </r>
  <r>
    <s v="ORD-2024-930679"/>
    <x v="55"/>
    <x v="6"/>
    <d v="2024-12-01T00:00:00"/>
    <m/>
    <s v="Q4-2024"/>
    <d v="2025-01-16T00:00:00"/>
    <d v="2025-01-16T00:00:00"/>
    <n v="30"/>
    <n v="0"/>
    <n v="0"/>
    <x v="3"/>
    <x v="8"/>
    <s v="Manchester"/>
    <s v="Corporate"/>
    <x v="0"/>
    <x v="14"/>
    <x v="5"/>
    <x v="614"/>
    <n v="722.87"/>
    <n v="33.659999999999997"/>
    <n v="0.10199999999999999"/>
    <n v="0.10199999999999999"/>
    <n v="0"/>
    <n v="28"/>
    <n v="846.34703999999988"/>
    <n v="20240.36"/>
    <n v="-19394.01296"/>
    <n v="-22.914965189693348"/>
    <e v="#NUM!"/>
    <e v="#NUM!"/>
    <e v="#NUM!"/>
  </r>
  <r>
    <s v="ORD-2025-150713"/>
    <x v="444"/>
    <x v="13"/>
    <d v="2025-07-01T00:00:00"/>
    <m/>
    <s v="Q3-2025"/>
    <d v="2025-07-16T00:00:00"/>
    <d v="2025-07-16T00:00:00"/>
    <n v="5"/>
    <n v="1"/>
    <n v="1"/>
    <x v="3"/>
    <x v="8"/>
    <s v="London"/>
    <s v="Enterprise"/>
    <x v="1"/>
    <x v="11"/>
    <x v="1"/>
    <x v="615"/>
    <n v="930.03"/>
    <n v="1086.68"/>
    <n v="0.109"/>
    <n v="0.109"/>
    <n v="0"/>
    <n v="26"/>
    <n v="25174.028880000002"/>
    <n v="24180.78"/>
    <n v="993.24888000000283"/>
    <n v="3.9455300728168656E-2"/>
    <e v="#NUM!"/>
    <e v="#NUM!"/>
    <e v="#NUM!"/>
  </r>
  <r>
    <s v="ORD-2024-756884"/>
    <x v="464"/>
    <x v="1"/>
    <d v="2024-10-01T00:00:00"/>
    <m/>
    <s v="Q4-2024"/>
    <d v="2024-10-24T00:00:00"/>
    <d v="2024-10-24T00:00:00"/>
    <n v="11"/>
    <n v="0"/>
    <n v="0"/>
    <x v="3"/>
    <x v="7"/>
    <s v="Paris"/>
    <s v="Education"/>
    <x v="3"/>
    <x v="9"/>
    <x v="0"/>
    <x v="616"/>
    <n v="816.7"/>
    <n v="1010.75"/>
    <n v="4.7E-2"/>
    <n v="4.7E-2"/>
    <n v="0"/>
    <n v="43"/>
    <n v="41419.524249999995"/>
    <n v="35118.1"/>
    <n v="6301.4242499999964"/>
    <n v="0.15213656757537472"/>
    <e v="#NUM!"/>
    <e v="#NUM!"/>
    <e v="#NUM!"/>
  </r>
  <r>
    <s v="ORD-2023-755337"/>
    <x v="428"/>
    <x v="27"/>
    <d v="2023-09-01T00:00:00"/>
    <m/>
    <s v="Q3-2023"/>
    <d v="2023-09-14T00:00:00"/>
    <d v="2023-09-14T00:00:00"/>
    <n v="6"/>
    <n v="1"/>
    <n v="1"/>
    <x v="0"/>
    <x v="0"/>
    <s v="Nakuru"/>
    <s v="Education"/>
    <x v="4"/>
    <x v="2"/>
    <x v="6"/>
    <x v="617"/>
    <n v="251.03"/>
    <n v="411.48"/>
    <n v="0.16500000000000001"/>
    <n v="0.16500000000000001"/>
    <n v="0"/>
    <n v="3"/>
    <n v="1030.7574"/>
    <n v="753.09"/>
    <n v="277.66739999999993"/>
    <n v="0.26938191275658069"/>
    <e v="#NUM!"/>
    <e v="#NUM!"/>
    <e v="#NUM!"/>
  </r>
  <r>
    <s v="ORD-2025-907040"/>
    <x v="448"/>
    <x v="19"/>
    <d v="2025-04-01T00:00:00"/>
    <m/>
    <s v="Q2-2025"/>
    <d v="2025-05-03T00:00:00"/>
    <d v="2025-05-03T00:00:00"/>
    <n v="16"/>
    <n v="0"/>
    <n v="0"/>
    <x v="2"/>
    <x v="5"/>
    <s v="Rio de Janeiro"/>
    <s v="Consumer"/>
    <x v="2"/>
    <x v="1"/>
    <x v="2"/>
    <x v="618"/>
    <n v="168.68"/>
    <n v="413.34"/>
    <n v="0.186"/>
    <n v="0.186"/>
    <n v="0"/>
    <n v="7"/>
    <n v="2355.2113199999999"/>
    <n v="1180.76"/>
    <n v="1174.4513199999999"/>
    <n v="0.49866069767361682"/>
    <e v="#NUM!"/>
    <e v="#NUM!"/>
    <e v="#NUM!"/>
  </r>
  <r>
    <s v="ORD-2024-817997"/>
    <x v="465"/>
    <x v="14"/>
    <d v="2023-11-01T00:00:00"/>
    <m/>
    <s v="Q3-2024"/>
    <d v="2024-08-23T00:00:00"/>
    <d v="2024-08-23T00:00:00"/>
    <n v="26"/>
    <n v="0"/>
    <n v="0"/>
    <x v="1"/>
    <x v="4"/>
    <s v="Hyderabad"/>
    <s v="Corporate"/>
    <x v="0"/>
    <x v="1"/>
    <x v="2"/>
    <x v="619"/>
    <n v="1339.24"/>
    <n v="1558.89"/>
    <n v="0.192"/>
    <n v="0.192"/>
    <n v="0"/>
    <n v="24"/>
    <n v="30229.994880000002"/>
    <n v="32141.760000000002"/>
    <n v="-1911.76512"/>
    <n v="-6.3240669659021781E-2"/>
    <e v="#NUM!"/>
    <e v="#NUM!"/>
    <e v="#NUM!"/>
  </r>
  <r>
    <s v="ORD-2025-649633"/>
    <x v="466"/>
    <x v="13"/>
    <d v="2025-07-01T00:00:00"/>
    <m/>
    <s v="Q3-2025"/>
    <d v="2025-07-31T00:00:00"/>
    <d v="2025-07-31T00:00:00"/>
    <n v="12"/>
    <n v="0"/>
    <n v="0"/>
    <x v="0"/>
    <x v="0"/>
    <s v="Nairobi"/>
    <s v="Small Business"/>
    <x v="2"/>
    <x v="7"/>
    <x v="6"/>
    <x v="620"/>
    <n v="619.64"/>
    <n v="861.16"/>
    <n v="0.113"/>
    <n v="0.113"/>
    <n v="0"/>
    <n v="14"/>
    <n v="10693.88488"/>
    <n v="8674.9599999999991"/>
    <n v="2018.9248800000005"/>
    <n v="0.18879246435276761"/>
    <e v="#NUM!"/>
    <e v="#NUM!"/>
    <e v="#NUM!"/>
  </r>
  <r>
    <s v="ORD-2023-885216"/>
    <x v="241"/>
    <x v="25"/>
    <d v="2023-08-01T00:00:00"/>
    <m/>
    <s v="Q3-2023"/>
    <d v="2023-08-02T00:00:00"/>
    <d v="2023-08-06T00:00:00"/>
    <n v="3"/>
    <n v="1"/>
    <n v="1"/>
    <x v="1"/>
    <x v="9"/>
    <s v="Shanghai"/>
    <s v="Non-Profit"/>
    <x v="4"/>
    <x v="1"/>
    <x v="2"/>
    <x v="621"/>
    <n v="1021.97"/>
    <n v="2296.25"/>
    <n v="0.161"/>
    <n v="0.161"/>
    <n v="0"/>
    <n v="26"/>
    <n v="50090.397499999999"/>
    <n v="26571.22"/>
    <n v="23519.177499999998"/>
    <n v="0.46953465482081669"/>
    <e v="#NUM!"/>
    <e v="#NUM!"/>
    <e v="#NUM!"/>
  </r>
  <r>
    <s v="ORD-2023-561823"/>
    <x v="112"/>
    <x v="30"/>
    <d v="2023-11-01T00:00:00"/>
    <m/>
    <s v="Q4-2023"/>
    <d v="2023-12-12T00:00:00"/>
    <d v="2023-12-12T00:00:00"/>
    <n v="23"/>
    <n v="0"/>
    <n v="0"/>
    <x v="1"/>
    <x v="4"/>
    <s v="Delhi"/>
    <s v="Small Business"/>
    <x v="4"/>
    <x v="0"/>
    <x v="2"/>
    <x v="622"/>
    <n v="1349.04"/>
    <n v="2636.6"/>
    <n v="0.114"/>
    <n v="0.114"/>
    <n v="0"/>
    <n v="14"/>
    <n v="32704.386400000003"/>
    <n v="18886.559999999998"/>
    <n v="13817.826400000005"/>
    <n v="0.42250682312143928"/>
    <e v="#NUM!"/>
    <e v="#NUM!"/>
    <e v="#NUM!"/>
  </r>
  <r>
    <s v="ORD-2023-249805"/>
    <x v="81"/>
    <x v="4"/>
    <d v="2023-12-01T00:00:00"/>
    <m/>
    <s v="Q4-2023"/>
    <d v="2024-01-16T00:00:00"/>
    <d v="2024-01-16T00:00:00"/>
    <n v="25"/>
    <n v="0"/>
    <n v="0"/>
    <x v="1"/>
    <x v="4"/>
    <s v="Hyderabad"/>
    <s v="Small Business"/>
    <x v="0"/>
    <x v="8"/>
    <x v="0"/>
    <x v="623"/>
    <n v="1346.81"/>
    <n v="978.09"/>
    <n v="0.159"/>
    <n v="0.159"/>
    <n v="0"/>
    <n v="17"/>
    <n v="13983.752729999998"/>
    <n v="22895.77"/>
    <n v="-8912.0172700000021"/>
    <n v="-0.6373122753293996"/>
    <e v="#NUM!"/>
    <e v="#NUM!"/>
    <e v="#NUM!"/>
  </r>
  <r>
    <s v="ORD-2023-548934"/>
    <x v="241"/>
    <x v="25"/>
    <d v="2023-08-01T00:00:00"/>
    <m/>
    <s v="Q3-2023"/>
    <d v="2023-08-30T00:00:00"/>
    <d v="2023-08-30T00:00:00"/>
    <n v="27"/>
    <n v="0"/>
    <n v="0"/>
    <x v="1"/>
    <x v="9"/>
    <s v="Shanghai"/>
    <s v="Consumer"/>
    <x v="3"/>
    <x v="13"/>
    <x v="5"/>
    <x v="624"/>
    <n v="226.04"/>
    <n v="545.72"/>
    <n v="0.151"/>
    <n v="0.151"/>
    <n v="0"/>
    <n v="11"/>
    <n v="5096.4790800000001"/>
    <n v="2486.44"/>
    <n v="2610.03908"/>
    <n v="0.51212592831834014"/>
    <e v="#NUM!"/>
    <e v="#NUM!"/>
    <e v="#NUM!"/>
  </r>
  <r>
    <s v="ORD-2023-921939"/>
    <x v="44"/>
    <x v="23"/>
    <d v="2023-06-01T00:00:00"/>
    <m/>
    <s v="Q2-2023"/>
    <d v="2023-07-18T00:00:00"/>
    <d v="2023-07-18T00:00:00"/>
    <n v="25"/>
    <n v="0"/>
    <n v="0"/>
    <x v="2"/>
    <x v="3"/>
    <s v="Vancouver"/>
    <s v="Enterprise"/>
    <x v="1"/>
    <x v="13"/>
    <x v="3"/>
    <x v="625"/>
    <n v="807.02"/>
    <n v="1435.54"/>
    <n v="0"/>
    <n v="0"/>
    <n v="0"/>
    <n v="23"/>
    <n v="33017.42"/>
    <n v="18561.46"/>
    <n v="14455.96"/>
    <n v="0.43782827368098415"/>
    <e v="#NUM!"/>
    <e v="#NUM!"/>
    <e v="#NUM!"/>
  </r>
  <r>
    <s v="ORD-2023-961864"/>
    <x v="141"/>
    <x v="4"/>
    <d v="2023-12-01T00:00:00"/>
    <m/>
    <s v="Q4-2023"/>
    <d v="2024-01-02T00:00:00"/>
    <d v="2024-01-02T00:00:00"/>
    <n v="26"/>
    <n v="0"/>
    <n v="0"/>
    <x v="3"/>
    <x v="6"/>
    <s v="Frankfurt"/>
    <s v="Enterprise"/>
    <x v="3"/>
    <x v="6"/>
    <x v="0"/>
    <x v="626"/>
    <n v="1071.99"/>
    <n v="2397.3000000000002"/>
    <n v="6.2E-2"/>
    <n v="6.2E-2"/>
    <n v="0"/>
    <n v="18"/>
    <n v="40476.013200000001"/>
    <n v="19295.82"/>
    <n v="21180.193200000002"/>
    <n v="0.52327765324476183"/>
    <e v="#NUM!"/>
    <e v="#NUM!"/>
    <e v="#NUM!"/>
  </r>
  <r>
    <s v="ORD-2023-455933"/>
    <x v="112"/>
    <x v="30"/>
    <d v="2023-11-01T00:00:00"/>
    <m/>
    <s v="Q4-2023"/>
    <d v="2023-12-19T00:00:00"/>
    <d v="2023-12-19T00:00:00"/>
    <n v="30"/>
    <n v="0"/>
    <n v="0"/>
    <x v="1"/>
    <x v="2"/>
    <s v="Nagoya"/>
    <s v="Consumer"/>
    <x v="0"/>
    <x v="15"/>
    <x v="3"/>
    <x v="627"/>
    <n v="807.11"/>
    <n v="1853.86"/>
    <n v="0.13900000000000001"/>
    <n v="0.13900000000000001"/>
    <n v="0"/>
    <n v="8"/>
    <n v="12769.38768"/>
    <n v="6456.88"/>
    <n v="6312.5076799999997"/>
    <n v="0.49434693645388639"/>
    <e v="#NUM!"/>
    <e v="#NUM!"/>
    <e v="#NUM!"/>
  </r>
  <r>
    <s v="ORD-2025-728935"/>
    <x v="467"/>
    <x v="26"/>
    <d v="2025-02-01T00:00:00"/>
    <m/>
    <s v="Q1-2025"/>
    <d v="2025-03-10T00:00:00"/>
    <d v="2025-03-10T00:00:00"/>
    <n v="10"/>
    <n v="0"/>
    <n v="0"/>
    <x v="1"/>
    <x v="2"/>
    <s v="Osaka"/>
    <s v="Education"/>
    <x v="3"/>
    <x v="13"/>
    <x v="4"/>
    <x v="628"/>
    <n v="51.86"/>
    <n v="45.98"/>
    <n v="0.17299999999999999"/>
    <n v="0.17299999999999999"/>
    <n v="0"/>
    <n v="7"/>
    <n v="266.17821999999995"/>
    <n v="363.02"/>
    <n v="-96.841780000000028"/>
    <n v="-0.3638230806412337"/>
    <e v="#NUM!"/>
    <e v="#NUM!"/>
    <e v="#N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EFDA73-26EE-426C-B3A6-0646E1A023F7}" name="PivotTable26" cacheId="2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60" firstHeaderRow="1" firstDataRow="1" firstDataCol="1"/>
  <pivotFields count="29">
    <pivotField showAll="0"/>
    <pivotField numFmtId="14" showAll="0"/>
    <pivotField showAll="0"/>
    <pivotField showAll="0"/>
    <pivotField numFmtId="14" showAll="0"/>
    <pivotField numFmtId="14" showAll="0"/>
    <pivotField numFmtId="1" showAll="0"/>
    <pivotField numFmtId="1" showAll="0"/>
    <pivotField numFmtId="1" showAll="0"/>
    <pivotField axis="axisRow" showAll="0">
      <items count="5">
        <item x="0"/>
        <item x="2"/>
        <item x="1"/>
        <item x="3"/>
        <item t="default"/>
      </items>
    </pivotField>
    <pivotField axis="axisRow" showAll="0">
      <items count="13">
        <item x="5"/>
        <item x="3"/>
        <item x="9"/>
        <item x="7"/>
        <item x="6"/>
        <item x="4"/>
        <item x="2"/>
        <item x="0"/>
        <item x="1"/>
        <item x="11"/>
        <item x="8"/>
        <item x="10"/>
        <item t="default"/>
      </items>
    </pivotField>
    <pivotField axis="axisRow" showAll="0">
      <items count="42">
        <item x="7"/>
        <item x="35"/>
        <item x="37"/>
        <item x="6"/>
        <item x="9"/>
        <item x="12"/>
        <item x="10"/>
        <item x="33"/>
        <item x="15"/>
        <item x="18"/>
        <item x="25"/>
        <item x="36"/>
        <item x="34"/>
        <item x="20"/>
        <item x="0"/>
        <item x="3"/>
        <item x="21"/>
        <item x="17"/>
        <item x="31"/>
        <item x="11"/>
        <item x="13"/>
        <item x="19"/>
        <item x="29"/>
        <item x="22"/>
        <item x="32"/>
        <item x="2"/>
        <item x="16"/>
        <item x="39"/>
        <item x="4"/>
        <item x="40"/>
        <item x="28"/>
        <item x="1"/>
        <item x="30"/>
        <item x="24"/>
        <item x="8"/>
        <item x="23"/>
        <item x="14"/>
        <item x="27"/>
        <item x="5"/>
        <item x="26"/>
        <item x="38"/>
        <item t="default"/>
      </items>
    </pivotField>
    <pivotField showAll="0"/>
    <pivotField showAll="0"/>
    <pivotField showAll="0"/>
    <pivotField showAll="0"/>
    <pivotField showAll="0"/>
    <pivotField numFmtId="2" showAll="0"/>
    <pivotField numFmtId="2" showAll="0"/>
    <pivotField numFmtId="2" showAll="0"/>
    <pivotField numFmtId="2" showAll="0"/>
    <pivotField numFmtId="1" showAll="0"/>
    <pivotField showAll="0"/>
    <pivotField showAll="0"/>
    <pivotField showAll="0"/>
    <pivotField showAll="0"/>
    <pivotField showAll="0"/>
    <pivotField showAll="0"/>
    <pivotField showAll="0"/>
  </pivotFields>
  <rowFields count="3">
    <field x="9"/>
    <field x="10"/>
    <field x="11"/>
  </rowFields>
  <rowItems count="58">
    <i>
      <x/>
    </i>
    <i r="1">
      <x v="7"/>
    </i>
    <i r="2">
      <x v="14"/>
    </i>
    <i r="2">
      <x v="20"/>
    </i>
    <i r="2">
      <x v="25"/>
    </i>
    <i r="2">
      <x v="26"/>
    </i>
    <i r="1">
      <x v="8"/>
    </i>
    <i r="2">
      <x/>
    </i>
    <i r="2">
      <x v="15"/>
    </i>
    <i r="2">
      <x v="31"/>
    </i>
    <i r="1">
      <x v="9"/>
    </i>
    <i r="2">
      <x v="7"/>
    </i>
    <i r="2">
      <x v="10"/>
    </i>
    <i r="2">
      <x v="13"/>
    </i>
    <i>
      <x v="1"/>
    </i>
    <i r="1">
      <x/>
    </i>
    <i r="2">
      <x v="6"/>
    </i>
    <i r="2">
      <x v="32"/>
    </i>
    <i r="2">
      <x v="34"/>
    </i>
    <i r="1">
      <x v="1"/>
    </i>
    <i r="2">
      <x v="21"/>
    </i>
    <i r="2">
      <x v="29"/>
    </i>
    <i r="2">
      <x v="38"/>
    </i>
    <i r="2">
      <x v="39"/>
    </i>
    <i r="1">
      <x v="11"/>
    </i>
    <i r="2">
      <x v="1"/>
    </i>
    <i r="2">
      <x v="8"/>
    </i>
    <i r="2">
      <x v="27"/>
    </i>
    <i r="2">
      <x v="33"/>
    </i>
    <i>
      <x v="2"/>
    </i>
    <i r="1">
      <x v="2"/>
    </i>
    <i r="2">
      <x v="2"/>
    </i>
    <i r="2">
      <x v="35"/>
    </i>
    <i r="2">
      <x v="36"/>
    </i>
    <i r="1">
      <x v="5"/>
    </i>
    <i r="2">
      <x v="3"/>
    </i>
    <i r="2">
      <x v="9"/>
    </i>
    <i r="2">
      <x v="12"/>
    </i>
    <i r="2">
      <x v="22"/>
    </i>
    <i r="1">
      <x v="6"/>
    </i>
    <i r="2">
      <x v="24"/>
    </i>
    <i r="2">
      <x v="28"/>
    </i>
    <i r="2">
      <x v="37"/>
    </i>
    <i>
      <x v="3"/>
    </i>
    <i r="1">
      <x v="3"/>
    </i>
    <i r="2">
      <x v="17"/>
    </i>
    <i r="2">
      <x v="19"/>
    </i>
    <i r="2">
      <x v="30"/>
    </i>
    <i r="1">
      <x v="4"/>
    </i>
    <i r="2">
      <x v="4"/>
    </i>
    <i r="2">
      <x v="11"/>
    </i>
    <i r="2">
      <x v="23"/>
    </i>
    <i r="1">
      <x v="10"/>
    </i>
    <i r="2">
      <x v="5"/>
    </i>
    <i r="2">
      <x v="16"/>
    </i>
    <i r="2">
      <x v="18"/>
    </i>
    <i r="2">
      <x v="40"/>
    </i>
    <i t="grand">
      <x/>
    </i>
  </rowItems>
  <colItems count="1">
    <i/>
  </colItems>
  <formats count="20">
    <format dxfId="206">
      <pivotArea type="all" dataOnly="0" outline="0" fieldPosition="0"/>
    </format>
    <format dxfId="205">
      <pivotArea field="9" type="button" dataOnly="0" labelOnly="1" outline="0" axis="axisRow" fieldPosition="0"/>
    </format>
    <format dxfId="204">
      <pivotArea dataOnly="0" labelOnly="1" fieldPosition="0">
        <references count="1">
          <reference field="9" count="0"/>
        </references>
      </pivotArea>
    </format>
    <format dxfId="203">
      <pivotArea dataOnly="0" labelOnly="1" grandRow="1" outline="0" fieldPosition="0"/>
    </format>
    <format dxfId="202">
      <pivotArea dataOnly="0" labelOnly="1" fieldPosition="0">
        <references count="2">
          <reference field="9" count="1" selected="0">
            <x v="0"/>
          </reference>
          <reference field="10" count="3">
            <x v="7"/>
            <x v="8"/>
            <x v="9"/>
          </reference>
        </references>
      </pivotArea>
    </format>
    <format dxfId="201">
      <pivotArea dataOnly="0" labelOnly="1" fieldPosition="0">
        <references count="2">
          <reference field="9" count="1" selected="0">
            <x v="1"/>
          </reference>
          <reference field="10" count="3">
            <x v="0"/>
            <x v="1"/>
            <x v="11"/>
          </reference>
        </references>
      </pivotArea>
    </format>
    <format dxfId="200">
      <pivotArea dataOnly="0" labelOnly="1" fieldPosition="0">
        <references count="2">
          <reference field="9" count="1" selected="0">
            <x v="2"/>
          </reference>
          <reference field="10" count="3">
            <x v="2"/>
            <x v="5"/>
            <x v="6"/>
          </reference>
        </references>
      </pivotArea>
    </format>
    <format dxfId="199">
      <pivotArea dataOnly="0" labelOnly="1" fieldPosition="0">
        <references count="2">
          <reference field="9" count="1" selected="0">
            <x v="3"/>
          </reference>
          <reference field="10" count="3">
            <x v="3"/>
            <x v="4"/>
            <x v="10"/>
          </reference>
        </references>
      </pivotArea>
    </format>
    <format dxfId="198">
      <pivotArea dataOnly="0" labelOnly="1" fieldPosition="0">
        <references count="3">
          <reference field="9" count="1" selected="0">
            <x v="0"/>
          </reference>
          <reference field="10" count="1" selected="0">
            <x v="7"/>
          </reference>
          <reference field="11" count="4">
            <x v="14"/>
            <x v="20"/>
            <x v="25"/>
            <x v="26"/>
          </reference>
        </references>
      </pivotArea>
    </format>
    <format dxfId="197">
      <pivotArea dataOnly="0" labelOnly="1" fieldPosition="0">
        <references count="3">
          <reference field="9" count="1" selected="0">
            <x v="0"/>
          </reference>
          <reference field="10" count="1" selected="0">
            <x v="8"/>
          </reference>
          <reference field="11" count="3">
            <x v="0"/>
            <x v="15"/>
            <x v="31"/>
          </reference>
        </references>
      </pivotArea>
    </format>
    <format dxfId="196">
      <pivotArea dataOnly="0" labelOnly="1" fieldPosition="0">
        <references count="3">
          <reference field="9" count="1" selected="0">
            <x v="0"/>
          </reference>
          <reference field="10" count="1" selected="0">
            <x v="9"/>
          </reference>
          <reference field="11" count="3">
            <x v="7"/>
            <x v="10"/>
            <x v="13"/>
          </reference>
        </references>
      </pivotArea>
    </format>
    <format dxfId="195">
      <pivotArea dataOnly="0" labelOnly="1" fieldPosition="0">
        <references count="3">
          <reference field="9" count="1" selected="0">
            <x v="1"/>
          </reference>
          <reference field="10" count="1" selected="0">
            <x v="0"/>
          </reference>
          <reference field="11" count="3">
            <x v="6"/>
            <x v="32"/>
            <x v="34"/>
          </reference>
        </references>
      </pivotArea>
    </format>
    <format dxfId="194">
      <pivotArea dataOnly="0" labelOnly="1" fieldPosition="0">
        <references count="3">
          <reference field="9" count="1" selected="0">
            <x v="1"/>
          </reference>
          <reference field="10" count="1" selected="0">
            <x v="1"/>
          </reference>
          <reference field="11" count="4">
            <x v="21"/>
            <x v="29"/>
            <x v="38"/>
            <x v="39"/>
          </reference>
        </references>
      </pivotArea>
    </format>
    <format dxfId="193">
      <pivotArea dataOnly="0" labelOnly="1" fieldPosition="0">
        <references count="3">
          <reference field="9" count="1" selected="0">
            <x v="1"/>
          </reference>
          <reference field="10" count="1" selected="0">
            <x v="11"/>
          </reference>
          <reference field="11" count="4">
            <x v="1"/>
            <x v="8"/>
            <x v="27"/>
            <x v="33"/>
          </reference>
        </references>
      </pivotArea>
    </format>
    <format dxfId="192">
      <pivotArea dataOnly="0" labelOnly="1" fieldPosition="0">
        <references count="3">
          <reference field="9" count="1" selected="0">
            <x v="2"/>
          </reference>
          <reference field="10" count="1" selected="0">
            <x v="2"/>
          </reference>
          <reference field="11" count="3">
            <x v="2"/>
            <x v="35"/>
            <x v="36"/>
          </reference>
        </references>
      </pivotArea>
    </format>
    <format dxfId="191">
      <pivotArea dataOnly="0" labelOnly="1" fieldPosition="0">
        <references count="3">
          <reference field="9" count="1" selected="0">
            <x v="2"/>
          </reference>
          <reference field="10" count="1" selected="0">
            <x v="5"/>
          </reference>
          <reference field="11" count="5">
            <x v="3"/>
            <x v="9"/>
            <x v="12"/>
            <x v="22"/>
            <x v="40"/>
          </reference>
        </references>
      </pivotArea>
    </format>
    <format dxfId="190">
      <pivotArea dataOnly="0" labelOnly="1" fieldPosition="0">
        <references count="3">
          <reference field="9" count="1" selected="0">
            <x v="2"/>
          </reference>
          <reference field="10" count="1" selected="0">
            <x v="6"/>
          </reference>
          <reference field="11" count="3">
            <x v="24"/>
            <x v="28"/>
            <x v="37"/>
          </reference>
        </references>
      </pivotArea>
    </format>
    <format dxfId="189">
      <pivotArea dataOnly="0" labelOnly="1" fieldPosition="0">
        <references count="3">
          <reference field="9" count="1" selected="0">
            <x v="3"/>
          </reference>
          <reference field="10" count="1" selected="0">
            <x v="3"/>
          </reference>
          <reference field="11" count="3">
            <x v="17"/>
            <x v="19"/>
            <x v="30"/>
          </reference>
        </references>
      </pivotArea>
    </format>
    <format dxfId="188">
      <pivotArea dataOnly="0" labelOnly="1" fieldPosition="0">
        <references count="3">
          <reference field="9" count="1" selected="0">
            <x v="3"/>
          </reference>
          <reference field="10" count="1" selected="0">
            <x v="4"/>
          </reference>
          <reference field="11" count="3">
            <x v="4"/>
            <x v="11"/>
            <x v="23"/>
          </reference>
        </references>
      </pivotArea>
    </format>
    <format dxfId="187">
      <pivotArea dataOnly="0" labelOnly="1" fieldPosition="0">
        <references count="3">
          <reference field="9" count="1" selected="0">
            <x v="3"/>
          </reference>
          <reference field="10" count="1" selected="0">
            <x v="10"/>
          </reference>
          <reference field="11" count="4">
            <x v="5"/>
            <x v="16"/>
            <x v="18"/>
            <x v="4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83D4E3-F84D-4523-92EA-ED47C34F39A0}" name="PivotTable41" cacheId="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19:AG36" firstHeaderRow="0" firstDataRow="1" firstDataCol="1"/>
  <pivotFields count="41">
    <pivotField dataField="1"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7" showAll="0">
      <items count="34">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 t="default"/>
      </items>
    </pivotField>
    <pivotField numFmtId="17" showAll="0"/>
    <pivotField showAll="0"/>
    <pivotField showAll="0"/>
    <pivotField numFmtId="14" showAll="0"/>
    <pivotField numFmtId="14" showAll="0"/>
    <pivotField numFmtId="1" showAll="0"/>
    <pivotField numFmtId="1"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axis="axisRow"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2" showAll="0"/>
    <pivotField numFmtId="1" showAll="0"/>
    <pivotField numFmtId="1" showAll="0"/>
    <pivotField dataField="1"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Count of OrderID" fld="0" subtotal="count" baseField="0" baseItem="0"/>
    <dataField name="Average of GrossProfit" fld="27" subtotal="average" baseField="0" baseItem="0"/>
    <dataField name="Sum of GrossRevenue" fld="25" baseField="0" baseItem="0"/>
  </dataFields>
  <formats count="6">
    <format dxfId="212">
      <pivotArea type="all" dataOnly="0" outline="0" fieldPosition="0"/>
    </format>
    <format dxfId="211">
      <pivotArea outline="0" collapsedLevelsAreSubtotals="1" fieldPosition="0"/>
    </format>
    <format dxfId="210">
      <pivotArea field="16" type="button" dataOnly="0" labelOnly="1" outline="0" axis="axisRow" fieldPosition="0"/>
    </format>
    <format dxfId="209">
      <pivotArea dataOnly="0" labelOnly="1" fieldPosition="0">
        <references count="1">
          <reference field="16" count="0"/>
        </references>
      </pivotArea>
    </format>
    <format dxfId="208">
      <pivotArea dataOnly="0" labelOnly="1" grandRow="1" outline="0" fieldPosition="0"/>
    </format>
    <format dxfId="207">
      <pivotArea dataOnly="0" labelOnly="1" outline="0" fieldPosition="0">
        <references count="1">
          <reference field="429496729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05DB5E-DFA5-42C6-9974-9E7F86C2F18D}" name="PivotTable28" cacheId="2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B708" firstHeaderRow="1" firstDataRow="1" firstDataCol="1"/>
  <pivotFields count="29">
    <pivotField showAll="0"/>
    <pivotField numFmtId="14" showAll="0"/>
    <pivotField showAll="0"/>
    <pivotField showAll="0"/>
    <pivotField numFmtId="14" showAll="0"/>
    <pivotField numFmtId="14" showAll="0"/>
    <pivotField numFmtId="1" showAll="0"/>
    <pivotField numFmtId="1" showAll="0"/>
    <pivotField numFmtId="1" showAll="0"/>
    <pivotField showAll="0"/>
    <pivotField showAll="0"/>
    <pivotField showAll="0"/>
    <pivotField showAll="0"/>
    <pivotField showAll="0"/>
    <pivotField showAll="0"/>
    <pivotField axis="axisRow" showAll="0">
      <items count="8">
        <item x="6"/>
        <item x="0"/>
        <item x="4"/>
        <item x="5"/>
        <item x="2"/>
        <item x="3"/>
        <item x="1"/>
        <item t="default"/>
      </items>
    </pivotField>
    <pivotField axis="axisRow" showAll="0" sortType="descending">
      <items count="630">
        <item x="139"/>
        <item x="620"/>
        <item x="332"/>
        <item x="414"/>
        <item x="339"/>
        <item x="393"/>
        <item x="440"/>
        <item x="292"/>
        <item x="490"/>
        <item x="586"/>
        <item x="206"/>
        <item x="14"/>
        <item x="477"/>
        <item x="58"/>
        <item x="260"/>
        <item x="59"/>
        <item x="324"/>
        <item x="103"/>
        <item x="170"/>
        <item x="70"/>
        <item x="496"/>
        <item x="415"/>
        <item x="311"/>
        <item x="318"/>
        <item x="488"/>
        <item x="331"/>
        <item x="354"/>
        <item x="515"/>
        <item x="185"/>
        <item x="544"/>
        <item x="220"/>
        <item x="258"/>
        <item x="449"/>
        <item x="520"/>
        <item x="575"/>
        <item x="269"/>
        <item x="22"/>
        <item x="158"/>
        <item x="131"/>
        <item x="154"/>
        <item x="289"/>
        <item x="76"/>
        <item x="113"/>
        <item x="568"/>
        <item x="617"/>
        <item x="587"/>
        <item x="226"/>
        <item x="551"/>
        <item x="550"/>
        <item x="97"/>
        <item x="459"/>
        <item x="213"/>
        <item x="351"/>
        <item x="298"/>
        <item x="57"/>
        <item x="287"/>
        <item x="50"/>
        <item x="147"/>
        <item x="436"/>
        <item x="345"/>
        <item x="180"/>
        <item x="357"/>
        <item x="142"/>
        <item x="492"/>
        <item x="556"/>
        <item x="464"/>
        <item x="603"/>
        <item x="359"/>
        <item x="591"/>
        <item x="10"/>
        <item x="276"/>
        <item x="18"/>
        <item x="337"/>
        <item x="540"/>
        <item x="291"/>
        <item x="453"/>
        <item x="25"/>
        <item x="208"/>
        <item x="93"/>
        <item x="66"/>
        <item x="77"/>
        <item x="553"/>
        <item x="535"/>
        <item x="305"/>
        <item x="182"/>
        <item x="407"/>
        <item x="109"/>
        <item x="75"/>
        <item x="169"/>
        <item x="512"/>
        <item x="470"/>
        <item x="578"/>
        <item x="606"/>
        <item x="623"/>
        <item x="34"/>
        <item x="172"/>
        <item x="626"/>
        <item x="400"/>
        <item x="126"/>
        <item x="390"/>
        <item x="124"/>
        <item x="483"/>
        <item x="522"/>
        <item x="376"/>
        <item x="24"/>
        <item x="87"/>
        <item x="82"/>
        <item x="323"/>
        <item x="509"/>
        <item x="366"/>
        <item x="457"/>
        <item x="12"/>
        <item x="136"/>
        <item x="9"/>
        <item x="293"/>
        <item x="157"/>
        <item x="463"/>
        <item x="209"/>
        <item x="314"/>
        <item x="466"/>
        <item x="85"/>
        <item x="161"/>
        <item x="259"/>
        <item x="347"/>
        <item x="255"/>
        <item x="572"/>
        <item x="219"/>
        <item x="616"/>
        <item x="593"/>
        <item x="325"/>
        <item x="74"/>
        <item x="171"/>
        <item x="588"/>
        <item x="489"/>
        <item x="517"/>
        <item x="462"/>
        <item x="78"/>
        <item x="518"/>
        <item x="563"/>
        <item x="44"/>
        <item x="127"/>
        <item x="125"/>
        <item x="110"/>
        <item x="567"/>
        <item x="503"/>
        <item x="458"/>
        <item x="450"/>
        <item x="396"/>
        <item x="30"/>
        <item x="229"/>
        <item x="61"/>
        <item x="364"/>
        <item x="221"/>
        <item x="205"/>
        <item x="69"/>
        <item x="249"/>
        <item x="36"/>
        <item x="60"/>
        <item x="105"/>
        <item x="510"/>
        <item x="101"/>
        <item x="86"/>
        <item x="233"/>
        <item x="0"/>
        <item x="37"/>
        <item x="392"/>
        <item x="435"/>
        <item x="402"/>
        <item x="288"/>
        <item x="475"/>
        <item x="236"/>
        <item x="584"/>
        <item x="177"/>
        <item x="299"/>
        <item x="266"/>
        <item x="558"/>
        <item x="322"/>
        <item x="474"/>
        <item x="476"/>
        <item x="532"/>
        <item x="166"/>
        <item x="145"/>
        <item x="294"/>
        <item x="15"/>
        <item x="526"/>
        <item x="444"/>
        <item x="581"/>
        <item x="538"/>
        <item x="348"/>
        <item x="119"/>
        <item x="278"/>
        <item x="245"/>
        <item x="383"/>
        <item x="238"/>
        <item x="369"/>
        <item x="628"/>
        <item x="480"/>
        <item x="146"/>
        <item x="19"/>
        <item x="64"/>
        <item x="263"/>
        <item x="506"/>
        <item x="570"/>
        <item x="344"/>
        <item x="99"/>
        <item x="53"/>
        <item x="361"/>
        <item x="513"/>
        <item x="580"/>
        <item x="71"/>
        <item x="308"/>
        <item x="303"/>
        <item x="541"/>
        <item x="241"/>
        <item x="456"/>
        <item x="602"/>
        <item x="23"/>
        <item x="254"/>
        <item x="507"/>
        <item x="104"/>
        <item x="189"/>
        <item x="562"/>
        <item x="386"/>
        <item x="250"/>
        <item x="151"/>
        <item x="519"/>
        <item x="592"/>
        <item x="367"/>
        <item x="56"/>
        <item x="408"/>
        <item x="274"/>
        <item x="173"/>
        <item x="102"/>
        <item x="387"/>
        <item x="533"/>
        <item x="564"/>
        <item x="424"/>
        <item x="52"/>
        <item x="191"/>
        <item x="406"/>
        <item x="117"/>
        <item x="395"/>
        <item x="423"/>
        <item x="72"/>
        <item x="5"/>
        <item x="597"/>
        <item x="429"/>
        <item x="420"/>
        <item x="282"/>
        <item x="328"/>
        <item x="385"/>
        <item x="111"/>
        <item x="223"/>
        <item x="132"/>
        <item x="20"/>
        <item x="401"/>
        <item x="283"/>
        <item x="33"/>
        <item x="338"/>
        <item x="565"/>
        <item x="313"/>
        <item x="270"/>
        <item x="590"/>
        <item x="215"/>
        <item x="186"/>
        <item x="204"/>
        <item x="96"/>
        <item x="403"/>
        <item x="167"/>
        <item x="140"/>
        <item x="68"/>
        <item x="471"/>
        <item x="508"/>
        <item x="216"/>
        <item x="115"/>
        <item x="246"/>
        <item x="596"/>
        <item x="89"/>
        <item x="327"/>
        <item x="248"/>
        <item x="135"/>
        <item x="272"/>
        <item x="426"/>
        <item x="83"/>
        <item x="397"/>
        <item x="121"/>
        <item x="624"/>
        <item x="417"/>
        <item x="614"/>
        <item x="188"/>
        <item x="350"/>
        <item x="548"/>
        <item x="296"/>
        <item x="51"/>
        <item x="251"/>
        <item x="371"/>
        <item x="431"/>
        <item x="498"/>
        <item x="55"/>
        <item x="203"/>
        <item x="455"/>
        <item x="130"/>
        <item x="63"/>
        <item x="232"/>
        <item x="178"/>
        <item x="304"/>
        <item x="446"/>
        <item x="279"/>
        <item x="297"/>
        <item x="183"/>
        <item x="362"/>
        <item x="388"/>
        <item x="560"/>
        <item x="571"/>
        <item x="521"/>
        <item x="546"/>
        <item x="309"/>
        <item x="194"/>
        <item x="165"/>
        <item x="67"/>
        <item x="452"/>
        <item x="8"/>
        <item x="175"/>
        <item x="555"/>
        <item x="445"/>
        <item x="579"/>
        <item x="190"/>
        <item x="168"/>
        <item x="382"/>
        <item x="257"/>
        <item x="210"/>
        <item x="187"/>
        <item x="79"/>
        <item x="609"/>
        <item x="543"/>
        <item x="6"/>
        <item x="271"/>
        <item x="539"/>
        <item x="430"/>
        <item x="184"/>
        <item x="493"/>
        <item x="253"/>
        <item x="88"/>
        <item x="118"/>
        <item x="530"/>
        <item x="163"/>
        <item x="497"/>
        <item x="317"/>
        <item x="394"/>
        <item x="265"/>
        <item x="160"/>
        <item x="40"/>
        <item x="495"/>
        <item x="310"/>
        <item x="494"/>
        <item x="589"/>
        <item x="379"/>
        <item x="41"/>
        <item x="222"/>
        <item x="225"/>
        <item x="301"/>
        <item x="98"/>
        <item x="340"/>
        <item x="73"/>
        <item x="478"/>
        <item x="90"/>
        <item x="45"/>
        <item x="47"/>
        <item x="144"/>
        <item x="256"/>
        <item x="622"/>
        <item x="437"/>
        <item x="561"/>
        <item x="247"/>
        <item x="482"/>
        <item x="576"/>
        <item x="114"/>
        <item x="21"/>
        <item x="398"/>
        <item x="197"/>
        <item x="375"/>
        <item x="574"/>
        <item x="505"/>
        <item x="306"/>
        <item x="573"/>
        <item x="381"/>
        <item x="356"/>
        <item x="316"/>
        <item x="129"/>
        <item x="516"/>
        <item x="112"/>
        <item x="547"/>
        <item x="320"/>
        <item x="619"/>
        <item x="621"/>
        <item x="80"/>
        <item x="321"/>
        <item x="542"/>
        <item x="48"/>
        <item x="461"/>
        <item x="611"/>
        <item x="378"/>
        <item x="275"/>
        <item x="193"/>
        <item x="610"/>
        <item x="465"/>
        <item x="202"/>
        <item x="599"/>
        <item x="502"/>
        <item x="120"/>
        <item x="108"/>
        <item x="534"/>
        <item x="412"/>
        <item x="84"/>
        <item x="549"/>
        <item x="214"/>
        <item x="377"/>
        <item x="155"/>
        <item x="32"/>
        <item x="432"/>
        <item x="501"/>
        <item x="280"/>
        <item x="123"/>
        <item x="618"/>
        <item x="156"/>
        <item x="537"/>
        <item x="613"/>
        <item x="352"/>
        <item x="330"/>
        <item x="261"/>
        <item x="566"/>
        <item x="528"/>
        <item x="343"/>
        <item x="2"/>
        <item x="29"/>
        <item x="434"/>
        <item x="286"/>
        <item x="54"/>
        <item x="419"/>
        <item x="17"/>
        <item x="281"/>
        <item x="346"/>
        <item x="212"/>
        <item x="342"/>
        <item x="28"/>
        <item x="559"/>
        <item x="511"/>
        <item x="201"/>
        <item x="370"/>
        <item x="326"/>
        <item x="107"/>
        <item x="447"/>
        <item x="237"/>
        <item x="481"/>
        <item x="230"/>
        <item x="421"/>
        <item x="133"/>
        <item x="529"/>
        <item x="267"/>
        <item x="425"/>
        <item x="199"/>
        <item x="391"/>
        <item x="91"/>
        <item x="240"/>
        <item x="285"/>
        <item x="262"/>
        <item x="333"/>
        <item x="411"/>
        <item x="439"/>
        <item x="128"/>
        <item x="569"/>
        <item x="3"/>
        <item x="582"/>
        <item x="149"/>
        <item x="65"/>
        <item x="625"/>
        <item x="244"/>
        <item x="31"/>
        <item x="374"/>
        <item x="196"/>
        <item x="302"/>
        <item x="583"/>
        <item x="360"/>
        <item x="162"/>
        <item x="451"/>
        <item x="427"/>
        <item x="405"/>
        <item x="484"/>
        <item x="552"/>
        <item x="315"/>
        <item x="329"/>
        <item x="487"/>
        <item x="454"/>
        <item x="284"/>
        <item x="277"/>
        <item x="27"/>
        <item x="365"/>
        <item x="94"/>
        <item x="11"/>
        <item x="243"/>
        <item x="224"/>
        <item x="604"/>
        <item x="181"/>
        <item x="577"/>
        <item x="335"/>
        <item x="491"/>
        <item x="122"/>
        <item x="373"/>
        <item x="137"/>
        <item x="141"/>
        <item x="531"/>
        <item x="62"/>
        <item x="100"/>
        <item x="418"/>
        <item x="410"/>
        <item x="504"/>
        <item x="235"/>
        <item x="433"/>
        <item x="106"/>
        <item x="499"/>
        <item x="627"/>
        <item x="159"/>
        <item x="319"/>
        <item x="472"/>
        <item x="585"/>
        <item x="195"/>
        <item x="500"/>
        <item x="334"/>
        <item x="231"/>
        <item x="389"/>
        <item x="473"/>
        <item x="264"/>
        <item x="485"/>
        <item x="49"/>
        <item x="525"/>
        <item x="536"/>
        <item x="409"/>
        <item x="514"/>
        <item x="524"/>
        <item x="438"/>
        <item x="227"/>
        <item x="312"/>
        <item x="448"/>
        <item x="554"/>
        <item x="428"/>
        <item x="46"/>
        <item x="523"/>
        <item x="218"/>
        <item x="252"/>
        <item x="307"/>
        <item x="211"/>
        <item x="42"/>
        <item x="467"/>
        <item x="363"/>
        <item x="368"/>
        <item x="174"/>
        <item x="479"/>
        <item x="164"/>
        <item x="26"/>
        <item x="148"/>
        <item x="143"/>
        <item x="35"/>
        <item x="527"/>
        <item x="594"/>
        <item x="134"/>
        <item x="441"/>
        <item x="341"/>
        <item x="608"/>
        <item x="138"/>
        <item x="192"/>
        <item x="239"/>
        <item x="601"/>
        <item x="176"/>
        <item x="612"/>
        <item x="336"/>
        <item x="242"/>
        <item x="605"/>
        <item x="399"/>
        <item x="217"/>
        <item x="615"/>
        <item x="486"/>
        <item x="416"/>
        <item x="380"/>
        <item x="207"/>
        <item x="600"/>
        <item x="150"/>
        <item x="7"/>
        <item x="422"/>
        <item x="116"/>
        <item x="92"/>
        <item x="300"/>
        <item x="39"/>
        <item x="557"/>
        <item x="358"/>
        <item x="268"/>
        <item x="16"/>
        <item x="460"/>
        <item x="198"/>
        <item x="228"/>
        <item x="469"/>
        <item x="153"/>
        <item x="38"/>
        <item x="349"/>
        <item x="234"/>
        <item x="295"/>
        <item x="443"/>
        <item x="4"/>
        <item x="179"/>
        <item x="152"/>
        <item x="13"/>
        <item x="200"/>
        <item x="372"/>
        <item x="273"/>
        <item x="290"/>
        <item x="384"/>
        <item x="95"/>
        <item x="607"/>
        <item x="1"/>
        <item x="404"/>
        <item x="468"/>
        <item x="355"/>
        <item x="442"/>
        <item x="545"/>
        <item x="81"/>
        <item x="43"/>
        <item x="598"/>
        <item x="595"/>
        <item x="353"/>
        <item x="413"/>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2" showAll="0"/>
    <pivotField numFmtId="1" showAll="0"/>
    <pivotField dataField="1" showAll="0"/>
    <pivotField showAll="0"/>
    <pivotField showAll="0"/>
    <pivotField showAll="0"/>
    <pivotField showAll="0"/>
    <pivotField showAll="0"/>
    <pivotField showAll="0"/>
  </pivotFields>
  <rowFields count="2">
    <field x="15"/>
    <field x="16"/>
  </rowFields>
  <rowItems count="637">
    <i>
      <x/>
    </i>
    <i r="1">
      <x v="59"/>
    </i>
    <i r="1">
      <x v="23"/>
    </i>
    <i r="1">
      <x v="81"/>
    </i>
    <i r="1">
      <x v="83"/>
    </i>
    <i r="1">
      <x v="71"/>
    </i>
    <i r="1">
      <x v="41"/>
    </i>
    <i r="1">
      <x v="67"/>
    </i>
    <i r="1">
      <x v="49"/>
    </i>
    <i r="1">
      <x v="80"/>
    </i>
    <i r="1">
      <x v="62"/>
    </i>
    <i r="1">
      <x v="6"/>
    </i>
    <i r="1">
      <x v="10"/>
    </i>
    <i r="1">
      <x v="4"/>
    </i>
    <i r="1">
      <x v="55"/>
    </i>
    <i r="1">
      <x v="52"/>
    </i>
    <i r="1">
      <x v="58"/>
    </i>
    <i r="1">
      <x v="85"/>
    </i>
    <i r="1">
      <x v="74"/>
    </i>
    <i r="1">
      <x v="26"/>
    </i>
    <i r="1">
      <x v="12"/>
    </i>
    <i r="1">
      <x v="33"/>
    </i>
    <i r="1">
      <x v="82"/>
    </i>
    <i r="1">
      <x v="48"/>
    </i>
    <i r="1">
      <x v="78"/>
    </i>
    <i r="1">
      <x v="32"/>
    </i>
    <i r="1">
      <x v="40"/>
    </i>
    <i r="1">
      <x v="14"/>
    </i>
    <i r="1">
      <x v="77"/>
    </i>
    <i r="1">
      <x v="79"/>
    </i>
    <i r="1">
      <x v="69"/>
    </i>
    <i r="1">
      <x v="47"/>
    </i>
    <i r="1">
      <x v="29"/>
    </i>
    <i r="1">
      <x v="56"/>
    </i>
    <i r="1">
      <x v="75"/>
    </i>
    <i r="1">
      <x v="18"/>
    </i>
    <i r="1">
      <x v="5"/>
    </i>
    <i r="1">
      <x v="66"/>
    </i>
    <i r="1">
      <x v="57"/>
    </i>
    <i r="1">
      <x v="64"/>
    </i>
    <i r="1">
      <x v="53"/>
    </i>
    <i r="1">
      <x v="9"/>
    </i>
    <i r="1">
      <x v="63"/>
    </i>
    <i r="1">
      <x v="22"/>
    </i>
    <i r="1">
      <x v="39"/>
    </i>
    <i r="1">
      <x v="36"/>
    </i>
    <i r="1">
      <x v="3"/>
    </i>
    <i r="1">
      <x v="1"/>
    </i>
    <i r="1">
      <x v="19"/>
    </i>
    <i r="1">
      <x v="28"/>
    </i>
    <i r="1">
      <x v="37"/>
    </i>
    <i r="1">
      <x v="16"/>
    </i>
    <i r="1">
      <x v="45"/>
    </i>
    <i r="1">
      <x v="20"/>
    </i>
    <i r="1">
      <x v="76"/>
    </i>
    <i r="1">
      <x v="68"/>
    </i>
    <i r="1">
      <x v="21"/>
    </i>
    <i r="1">
      <x v="51"/>
    </i>
    <i r="1">
      <x v="84"/>
    </i>
    <i r="1">
      <x v="11"/>
    </i>
    <i r="1">
      <x v="31"/>
    </i>
    <i r="1">
      <x v="8"/>
    </i>
    <i r="1">
      <x v="7"/>
    </i>
    <i r="1">
      <x v="35"/>
    </i>
    <i r="1">
      <x v="25"/>
    </i>
    <i r="1">
      <x v="34"/>
    </i>
    <i r="1">
      <x v="70"/>
    </i>
    <i r="1">
      <x v="17"/>
    </i>
    <i r="1">
      <x v="2"/>
    </i>
    <i r="1">
      <x v="46"/>
    </i>
    <i r="1">
      <x v="54"/>
    </i>
    <i r="1">
      <x v="73"/>
    </i>
    <i r="1">
      <x v="43"/>
    </i>
    <i r="1">
      <x v="15"/>
    </i>
    <i r="1">
      <x v="38"/>
    </i>
    <i r="1">
      <x v="61"/>
    </i>
    <i r="1">
      <x v="72"/>
    </i>
    <i r="1">
      <x v="65"/>
    </i>
    <i r="1">
      <x v="42"/>
    </i>
    <i r="1">
      <x v="24"/>
    </i>
    <i r="1">
      <x/>
    </i>
    <i r="1">
      <x v="44"/>
    </i>
    <i r="1">
      <x v="27"/>
    </i>
    <i r="1">
      <x v="50"/>
    </i>
    <i r="1">
      <x v="30"/>
    </i>
    <i r="1">
      <x v="86"/>
    </i>
    <i r="1">
      <x v="13"/>
    </i>
    <i r="1">
      <x v="60"/>
    </i>
    <i>
      <x v="1"/>
    </i>
    <i r="1">
      <x v="170"/>
    </i>
    <i r="1">
      <x v="116"/>
    </i>
    <i r="1">
      <x v="98"/>
    </i>
    <i r="1">
      <x v="113"/>
    </i>
    <i r="1">
      <x v="99"/>
    </i>
    <i r="1">
      <x v="159"/>
    </i>
    <i r="1">
      <x v="127"/>
    </i>
    <i r="1">
      <x v="96"/>
    </i>
    <i r="1">
      <x v="157"/>
    </i>
    <i r="1">
      <x v="89"/>
    </i>
    <i r="1">
      <x v="144"/>
    </i>
    <i r="1">
      <x v="150"/>
    </i>
    <i r="1">
      <x v="142"/>
    </i>
    <i r="1">
      <x v="94"/>
    </i>
    <i r="1">
      <x v="123"/>
    </i>
    <i r="1">
      <x v="107"/>
    </i>
    <i r="1">
      <x v="173"/>
    </i>
    <i r="1">
      <x v="119"/>
    </i>
    <i r="1">
      <x v="171"/>
    </i>
    <i r="1">
      <x v="104"/>
    </i>
    <i r="1">
      <x v="110"/>
    </i>
    <i r="1">
      <x v="115"/>
    </i>
    <i r="1">
      <x v="146"/>
    </i>
    <i r="1">
      <x v="122"/>
    </i>
    <i r="1">
      <x v="136"/>
    </i>
    <i r="1">
      <x v="151"/>
    </i>
    <i r="1">
      <x v="165"/>
    </i>
    <i r="1">
      <x v="124"/>
    </i>
    <i r="1">
      <x v="156"/>
    </i>
    <i r="1">
      <x v="109"/>
    </i>
    <i r="1">
      <x v="117"/>
    </i>
    <i r="1">
      <x v="139"/>
    </i>
    <i r="1">
      <x v="174"/>
    </i>
    <i r="1">
      <x v="138"/>
    </i>
    <i r="1">
      <x v="97"/>
    </i>
    <i r="1">
      <x v="90"/>
    </i>
    <i r="1">
      <x v="103"/>
    </i>
    <i r="1">
      <x v="162"/>
    </i>
    <i r="1">
      <x v="161"/>
    </i>
    <i r="1">
      <x v="93"/>
    </i>
    <i r="1">
      <x v="126"/>
    </i>
    <i r="1">
      <x v="147"/>
    </i>
    <i r="1">
      <x v="120"/>
    </i>
    <i r="1">
      <x v="155"/>
    </i>
    <i r="1">
      <x v="158"/>
    </i>
    <i r="1">
      <x v="164"/>
    </i>
    <i r="1">
      <x v="132"/>
    </i>
    <i r="1">
      <x v="168"/>
    </i>
    <i r="1">
      <x v="148"/>
    </i>
    <i r="1">
      <x v="112"/>
    </i>
    <i r="1">
      <x v="154"/>
    </i>
    <i r="1">
      <x v="131"/>
    </i>
    <i r="1">
      <x v="141"/>
    </i>
    <i r="1">
      <x v="114"/>
    </i>
    <i r="1">
      <x v="118"/>
    </i>
    <i r="1">
      <x v="128"/>
    </i>
    <i r="1">
      <x v="167"/>
    </i>
    <i r="1">
      <x v="137"/>
    </i>
    <i r="1">
      <x v="166"/>
    </i>
    <i r="1">
      <x v="87"/>
    </i>
    <i r="1">
      <x v="175"/>
    </i>
    <i r="1">
      <x v="153"/>
    </i>
    <i r="1">
      <x v="133"/>
    </i>
    <i r="1">
      <x v="102"/>
    </i>
    <i r="1">
      <x v="160"/>
    </i>
    <i r="1">
      <x v="91"/>
    </i>
    <i r="1">
      <x v="101"/>
    </i>
    <i r="1">
      <x v="121"/>
    </i>
    <i r="1">
      <x v="106"/>
    </i>
    <i r="1">
      <x v="111"/>
    </i>
    <i r="1">
      <x v="163"/>
    </i>
    <i r="1">
      <x v="130"/>
    </i>
    <i r="1">
      <x v="152"/>
    </i>
    <i r="1">
      <x v="169"/>
    </i>
    <i r="1">
      <x v="108"/>
    </i>
    <i r="1">
      <x v="143"/>
    </i>
    <i r="1">
      <x v="129"/>
    </i>
    <i r="1">
      <x v="88"/>
    </i>
    <i r="1">
      <x v="92"/>
    </i>
    <i r="1">
      <x v="100"/>
    </i>
    <i r="1">
      <x v="135"/>
    </i>
    <i r="1">
      <x v="145"/>
    </i>
    <i r="1">
      <x v="105"/>
    </i>
    <i r="1">
      <x v="134"/>
    </i>
    <i r="1">
      <x v="140"/>
    </i>
    <i r="1">
      <x v="176"/>
    </i>
    <i r="1">
      <x v="149"/>
    </i>
    <i r="1">
      <x v="125"/>
    </i>
    <i r="1">
      <x v="172"/>
    </i>
    <i r="1">
      <x v="95"/>
    </i>
    <i>
      <x v="2"/>
    </i>
    <i r="1">
      <x v="247"/>
    </i>
    <i r="1">
      <x v="206"/>
    </i>
    <i r="1">
      <x v="240"/>
    </i>
    <i r="1">
      <x v="222"/>
    </i>
    <i r="1">
      <x v="225"/>
    </i>
    <i r="1">
      <x v="184"/>
    </i>
    <i r="1">
      <x v="246"/>
    </i>
    <i r="1">
      <x v="235"/>
    </i>
    <i r="1">
      <x v="179"/>
    </i>
    <i r="1">
      <x v="178"/>
    </i>
    <i r="1">
      <x v="208"/>
    </i>
    <i r="1">
      <x v="200"/>
    </i>
    <i r="1">
      <x v="198"/>
    </i>
    <i r="1">
      <x v="196"/>
    </i>
    <i r="1">
      <x v="213"/>
    </i>
    <i r="1">
      <x v="245"/>
    </i>
    <i r="1">
      <x v="231"/>
    </i>
    <i r="1">
      <x v="236"/>
    </i>
    <i r="1">
      <x v="251"/>
    </i>
    <i r="1">
      <x v="228"/>
    </i>
    <i r="1">
      <x v="249"/>
    </i>
    <i r="1">
      <x v="199"/>
    </i>
    <i r="1">
      <x v="204"/>
    </i>
    <i r="1">
      <x v="238"/>
    </i>
    <i r="1">
      <x v="217"/>
    </i>
    <i r="1">
      <x v="254"/>
    </i>
    <i r="1">
      <x v="192"/>
    </i>
    <i r="1">
      <x v="224"/>
    </i>
    <i r="1">
      <x v="182"/>
    </i>
    <i r="1">
      <x v="216"/>
    </i>
    <i r="1">
      <x v="243"/>
    </i>
    <i r="1">
      <x v="250"/>
    </i>
    <i r="1">
      <x v="187"/>
    </i>
    <i r="1">
      <x v="220"/>
    </i>
    <i r="1">
      <x v="202"/>
    </i>
    <i r="1">
      <x v="241"/>
    </i>
    <i r="1">
      <x v="223"/>
    </i>
    <i r="1">
      <x v="256"/>
    </i>
    <i r="1">
      <x v="252"/>
    </i>
    <i r="1">
      <x v="242"/>
    </i>
    <i r="1">
      <x v="234"/>
    </i>
    <i r="1">
      <x v="226"/>
    </i>
    <i r="1">
      <x v="180"/>
    </i>
    <i r="1">
      <x v="212"/>
    </i>
    <i r="1">
      <x v="227"/>
    </i>
    <i r="1">
      <x v="232"/>
    </i>
    <i r="1">
      <x v="203"/>
    </i>
    <i r="1">
      <x v="257"/>
    </i>
    <i r="1">
      <x v="181"/>
    </i>
    <i r="1">
      <x v="219"/>
    </i>
    <i r="1">
      <x v="188"/>
    </i>
    <i r="1">
      <x v="248"/>
    </i>
    <i r="1">
      <x v="207"/>
    </i>
    <i r="1">
      <x v="210"/>
    </i>
    <i r="1">
      <x v="191"/>
    </i>
    <i r="1">
      <x v="185"/>
    </i>
    <i r="1">
      <x v="190"/>
    </i>
    <i r="1">
      <x v="230"/>
    </i>
    <i r="1">
      <x v="253"/>
    </i>
    <i r="1">
      <x v="218"/>
    </i>
    <i r="1">
      <x v="214"/>
    </i>
    <i r="1">
      <x v="183"/>
    </i>
    <i r="1">
      <x v="215"/>
    </i>
    <i r="1">
      <x v="209"/>
    </i>
    <i r="1">
      <x v="211"/>
    </i>
    <i r="1">
      <x v="237"/>
    </i>
    <i r="1">
      <x v="229"/>
    </i>
    <i r="1">
      <x v="255"/>
    </i>
    <i r="1">
      <x v="239"/>
    </i>
    <i r="1">
      <x v="221"/>
    </i>
    <i r="1">
      <x v="244"/>
    </i>
    <i r="1">
      <x v="194"/>
    </i>
    <i r="1">
      <x v="201"/>
    </i>
    <i r="1">
      <x v="186"/>
    </i>
    <i r="1">
      <x v="193"/>
    </i>
    <i r="1">
      <x v="197"/>
    </i>
    <i r="1">
      <x v="205"/>
    </i>
    <i r="1">
      <x v="177"/>
    </i>
    <i r="1">
      <x v="189"/>
    </i>
    <i r="1">
      <x v="233"/>
    </i>
    <i r="1">
      <x v="195"/>
    </i>
    <i>
      <x v="3"/>
    </i>
    <i r="1">
      <x v="322"/>
    </i>
    <i r="1">
      <x v="269"/>
    </i>
    <i r="1">
      <x v="318"/>
    </i>
    <i r="1">
      <x v="302"/>
    </i>
    <i r="1">
      <x v="348"/>
    </i>
    <i r="1">
      <x v="306"/>
    </i>
    <i r="1">
      <x v="351"/>
    </i>
    <i r="1">
      <x v="349"/>
    </i>
    <i r="1">
      <x v="336"/>
    </i>
    <i r="1">
      <x v="295"/>
    </i>
    <i r="1">
      <x v="298"/>
    </i>
    <i r="1">
      <x v="317"/>
    </i>
    <i r="1">
      <x v="316"/>
    </i>
    <i r="1">
      <x v="337"/>
    </i>
    <i r="1">
      <x v="281"/>
    </i>
    <i r="1">
      <x v="331"/>
    </i>
    <i r="1">
      <x v="280"/>
    </i>
    <i r="1">
      <x v="339"/>
    </i>
    <i r="1">
      <x v="265"/>
    </i>
    <i r="1">
      <x v="258"/>
    </i>
    <i r="1">
      <x v="299"/>
    </i>
    <i r="1">
      <x v="259"/>
    </i>
    <i r="1">
      <x v="274"/>
    </i>
    <i r="1">
      <x v="320"/>
    </i>
    <i r="1">
      <x v="285"/>
    </i>
    <i r="1">
      <x v="350"/>
    </i>
    <i r="1">
      <x v="297"/>
    </i>
    <i r="1">
      <x v="294"/>
    </i>
    <i r="1">
      <x v="307"/>
    </i>
    <i r="1">
      <x v="346"/>
    </i>
    <i r="1">
      <x v="290"/>
    </i>
    <i r="1">
      <x v="311"/>
    </i>
    <i r="1">
      <x v="314"/>
    </i>
    <i r="1">
      <x v="328"/>
    </i>
    <i r="1">
      <x v="321"/>
    </i>
    <i r="1">
      <x v="313"/>
    </i>
    <i r="1">
      <x v="319"/>
    </i>
    <i r="1">
      <x v="282"/>
    </i>
    <i r="1">
      <x v="267"/>
    </i>
    <i r="1">
      <x v="284"/>
    </i>
    <i r="1">
      <x v="296"/>
    </i>
    <i r="1">
      <x v="268"/>
    </i>
    <i r="1">
      <x v="345"/>
    </i>
    <i r="1">
      <x v="342"/>
    </i>
    <i r="1">
      <x v="279"/>
    </i>
    <i r="1">
      <x v="315"/>
    </i>
    <i r="1">
      <x v="323"/>
    </i>
    <i r="1">
      <x v="287"/>
    </i>
    <i r="1">
      <x v="333"/>
    </i>
    <i r="1">
      <x v="272"/>
    </i>
    <i r="1">
      <x v="326"/>
    </i>
    <i r="1">
      <x v="309"/>
    </i>
    <i r="1">
      <x v="270"/>
    </i>
    <i r="1">
      <x v="289"/>
    </i>
    <i r="1">
      <x v="312"/>
    </i>
    <i r="1">
      <x v="271"/>
    </i>
    <i r="1">
      <x v="300"/>
    </i>
    <i r="1">
      <x v="263"/>
    </i>
    <i r="1">
      <x v="301"/>
    </i>
    <i r="1">
      <x v="310"/>
    </i>
    <i r="1">
      <x v="261"/>
    </i>
    <i r="1">
      <x v="304"/>
    </i>
    <i r="1">
      <x v="327"/>
    </i>
    <i r="1">
      <x v="278"/>
    </i>
    <i r="1">
      <x v="341"/>
    </i>
    <i r="1">
      <x v="276"/>
    </i>
    <i r="1">
      <x v="343"/>
    </i>
    <i r="1">
      <x v="262"/>
    </i>
    <i r="1">
      <x v="324"/>
    </i>
    <i r="1">
      <x v="303"/>
    </i>
    <i r="1">
      <x v="286"/>
    </i>
    <i r="1">
      <x v="260"/>
    </i>
    <i r="1">
      <x v="332"/>
    </i>
    <i r="1">
      <x v="264"/>
    </i>
    <i r="1">
      <x v="334"/>
    </i>
    <i r="1">
      <x v="340"/>
    </i>
    <i r="1">
      <x v="329"/>
    </i>
    <i r="1">
      <x v="292"/>
    </i>
    <i r="1">
      <x v="347"/>
    </i>
    <i r="1">
      <x v="335"/>
    </i>
    <i r="1">
      <x v="338"/>
    </i>
    <i r="1">
      <x v="273"/>
    </i>
    <i r="1">
      <x v="291"/>
    </i>
    <i r="1">
      <x v="325"/>
    </i>
    <i r="1">
      <x v="330"/>
    </i>
    <i r="1">
      <x v="305"/>
    </i>
    <i r="1">
      <x v="288"/>
    </i>
    <i r="1">
      <x v="277"/>
    </i>
    <i r="1">
      <x v="275"/>
    </i>
    <i r="1">
      <x v="293"/>
    </i>
    <i r="1">
      <x v="344"/>
    </i>
    <i r="1">
      <x v="283"/>
    </i>
    <i r="1">
      <x v="266"/>
    </i>
    <i r="1">
      <x v="308"/>
    </i>
    <i>
      <x v="4"/>
    </i>
    <i r="1">
      <x v="367"/>
    </i>
    <i r="1">
      <x v="404"/>
    </i>
    <i r="1">
      <x v="402"/>
    </i>
    <i r="1">
      <x v="358"/>
    </i>
    <i r="1">
      <x v="395"/>
    </i>
    <i r="1">
      <x v="355"/>
    </i>
    <i r="1">
      <x v="394"/>
    </i>
    <i r="1">
      <x v="386"/>
    </i>
    <i r="1">
      <x v="406"/>
    </i>
    <i r="1">
      <x v="385"/>
    </i>
    <i r="1">
      <x v="380"/>
    </i>
    <i r="1">
      <x v="364"/>
    </i>
    <i r="1">
      <x v="360"/>
    </i>
    <i r="1">
      <x v="396"/>
    </i>
    <i r="1">
      <x v="409"/>
    </i>
    <i r="1">
      <x v="398"/>
    </i>
    <i r="1">
      <x v="427"/>
    </i>
    <i r="1">
      <x v="430"/>
    </i>
    <i r="1">
      <x v="401"/>
    </i>
    <i r="1">
      <x v="370"/>
    </i>
    <i r="1">
      <x v="366"/>
    </i>
    <i r="1">
      <x v="412"/>
    </i>
    <i r="1">
      <x v="354"/>
    </i>
    <i r="1">
      <x v="359"/>
    </i>
    <i r="1">
      <x v="393"/>
    </i>
    <i r="1">
      <x v="391"/>
    </i>
    <i r="1">
      <x v="368"/>
    </i>
    <i r="1">
      <x v="352"/>
    </i>
    <i r="1">
      <x v="374"/>
    </i>
    <i r="1">
      <x v="413"/>
    </i>
    <i r="1">
      <x v="434"/>
    </i>
    <i r="1">
      <x v="436"/>
    </i>
    <i r="1">
      <x v="377"/>
    </i>
    <i r="1">
      <x v="414"/>
    </i>
    <i r="1">
      <x v="400"/>
    </i>
    <i r="1">
      <x v="378"/>
    </i>
    <i r="1">
      <x v="387"/>
    </i>
    <i r="1">
      <x v="388"/>
    </i>
    <i r="1">
      <x v="382"/>
    </i>
    <i r="1">
      <x v="415"/>
    </i>
    <i r="1">
      <x v="405"/>
    </i>
    <i r="1">
      <x v="381"/>
    </i>
    <i r="1">
      <x v="421"/>
    </i>
    <i r="1">
      <x v="356"/>
    </i>
    <i r="1">
      <x v="384"/>
    </i>
    <i r="1">
      <x v="422"/>
    </i>
    <i r="1">
      <x v="397"/>
    </i>
    <i r="1">
      <x v="426"/>
    </i>
    <i r="1">
      <x v="357"/>
    </i>
    <i r="1">
      <x v="408"/>
    </i>
    <i r="1">
      <x v="372"/>
    </i>
    <i r="1">
      <x v="389"/>
    </i>
    <i r="1">
      <x v="418"/>
    </i>
    <i r="1">
      <x v="363"/>
    </i>
    <i r="1">
      <x v="431"/>
    </i>
    <i r="1">
      <x v="417"/>
    </i>
    <i r="1">
      <x v="428"/>
    </i>
    <i r="1">
      <x v="420"/>
    </i>
    <i r="1">
      <x v="379"/>
    </i>
    <i r="1">
      <x v="365"/>
    </i>
    <i r="1">
      <x v="429"/>
    </i>
    <i r="1">
      <x v="411"/>
    </i>
    <i r="1">
      <x v="392"/>
    </i>
    <i r="1">
      <x v="424"/>
    </i>
    <i r="1">
      <x v="416"/>
    </i>
    <i r="1">
      <x v="435"/>
    </i>
    <i r="1">
      <x v="361"/>
    </i>
    <i r="1">
      <x v="375"/>
    </i>
    <i r="1">
      <x v="403"/>
    </i>
    <i r="1">
      <x v="383"/>
    </i>
    <i r="1">
      <x v="373"/>
    </i>
    <i r="1">
      <x v="425"/>
    </i>
    <i r="1">
      <x v="432"/>
    </i>
    <i r="1">
      <x v="371"/>
    </i>
    <i r="1">
      <x v="369"/>
    </i>
    <i r="1">
      <x v="423"/>
    </i>
    <i r="1">
      <x v="419"/>
    </i>
    <i r="1">
      <x v="399"/>
    </i>
    <i r="1">
      <x v="410"/>
    </i>
    <i r="1">
      <x v="376"/>
    </i>
    <i r="1">
      <x v="362"/>
    </i>
    <i r="1">
      <x v="407"/>
    </i>
    <i r="1">
      <x v="353"/>
    </i>
    <i r="1">
      <x v="433"/>
    </i>
    <i r="1">
      <x v="437"/>
    </i>
    <i r="1">
      <x v="390"/>
    </i>
    <i>
      <x v="5"/>
    </i>
    <i r="1">
      <x v="524"/>
    </i>
    <i r="1">
      <x v="512"/>
    </i>
    <i r="1">
      <x v="473"/>
    </i>
    <i r="1">
      <x v="502"/>
    </i>
    <i r="1">
      <x v="485"/>
    </i>
    <i r="1">
      <x v="478"/>
    </i>
    <i r="1">
      <x v="516"/>
    </i>
    <i r="1">
      <x v="439"/>
    </i>
    <i r="1">
      <x v="494"/>
    </i>
    <i r="1">
      <x v="515"/>
    </i>
    <i r="1">
      <x v="488"/>
    </i>
    <i r="1">
      <x v="445"/>
    </i>
    <i r="1">
      <x v="475"/>
    </i>
    <i r="1">
      <x v="507"/>
    </i>
    <i r="1">
      <x v="455"/>
    </i>
    <i r="1">
      <x v="521"/>
    </i>
    <i r="1">
      <x v="501"/>
    </i>
    <i r="1">
      <x v="504"/>
    </i>
    <i r="1">
      <x v="517"/>
    </i>
    <i r="1">
      <x v="477"/>
    </i>
    <i r="1">
      <x v="447"/>
    </i>
    <i r="1">
      <x v="442"/>
    </i>
    <i r="1">
      <x v="450"/>
    </i>
    <i r="1">
      <x v="472"/>
    </i>
    <i r="1">
      <x v="522"/>
    </i>
    <i r="1">
      <x v="525"/>
    </i>
    <i r="1">
      <x v="500"/>
    </i>
    <i r="1">
      <x v="486"/>
    </i>
    <i r="1">
      <x v="492"/>
    </i>
    <i r="1">
      <x v="459"/>
    </i>
    <i r="1">
      <x v="496"/>
    </i>
    <i r="1">
      <x v="462"/>
    </i>
    <i r="1">
      <x v="523"/>
    </i>
    <i r="1">
      <x v="448"/>
    </i>
    <i r="1">
      <x v="467"/>
    </i>
    <i r="1">
      <x v="506"/>
    </i>
    <i r="1">
      <x v="460"/>
    </i>
    <i r="1">
      <x v="513"/>
    </i>
    <i r="1">
      <x v="520"/>
    </i>
    <i r="1">
      <x v="468"/>
    </i>
    <i r="1">
      <x v="451"/>
    </i>
    <i r="1">
      <x v="499"/>
    </i>
    <i r="1">
      <x v="474"/>
    </i>
    <i r="1">
      <x v="484"/>
    </i>
    <i r="1">
      <x v="510"/>
    </i>
    <i r="1">
      <x v="479"/>
    </i>
    <i r="1">
      <x v="461"/>
    </i>
    <i r="1">
      <x v="511"/>
    </i>
    <i r="1">
      <x v="498"/>
    </i>
    <i r="1">
      <x v="438"/>
    </i>
    <i r="1">
      <x v="463"/>
    </i>
    <i r="1">
      <x v="491"/>
    </i>
    <i r="1">
      <x v="489"/>
    </i>
    <i r="1">
      <x v="443"/>
    </i>
    <i r="1">
      <x v="509"/>
    </i>
    <i r="1">
      <x v="483"/>
    </i>
    <i r="1">
      <x v="480"/>
    </i>
    <i r="1">
      <x v="519"/>
    </i>
    <i r="1">
      <x v="503"/>
    </i>
    <i r="1">
      <x v="458"/>
    </i>
    <i r="1">
      <x v="452"/>
    </i>
    <i r="1">
      <x v="454"/>
    </i>
    <i r="1">
      <x v="497"/>
    </i>
    <i r="1">
      <x v="471"/>
    </i>
    <i r="1">
      <x v="446"/>
    </i>
    <i r="1">
      <x v="487"/>
    </i>
    <i r="1">
      <x v="453"/>
    </i>
    <i r="1">
      <x v="466"/>
    </i>
    <i r="1">
      <x v="482"/>
    </i>
    <i r="1">
      <x v="508"/>
    </i>
    <i r="1">
      <x v="495"/>
    </i>
    <i r="1">
      <x v="493"/>
    </i>
    <i r="1">
      <x v="444"/>
    </i>
    <i r="1">
      <x v="449"/>
    </i>
    <i r="1">
      <x v="456"/>
    </i>
    <i r="1">
      <x v="476"/>
    </i>
    <i r="1">
      <x v="469"/>
    </i>
    <i r="1">
      <x v="490"/>
    </i>
    <i r="1">
      <x v="441"/>
    </i>
    <i r="1">
      <x v="514"/>
    </i>
    <i r="1">
      <x v="470"/>
    </i>
    <i r="1">
      <x v="440"/>
    </i>
    <i r="1">
      <x v="457"/>
    </i>
    <i r="1">
      <x v="465"/>
    </i>
    <i r="1">
      <x v="518"/>
    </i>
    <i r="1">
      <x v="481"/>
    </i>
    <i r="1">
      <x v="505"/>
    </i>
    <i r="1">
      <x v="464"/>
    </i>
    <i>
      <x v="6"/>
    </i>
    <i r="1">
      <x v="535"/>
    </i>
    <i r="1">
      <x v="587"/>
    </i>
    <i r="1">
      <x v="597"/>
    </i>
    <i r="1">
      <x v="543"/>
    </i>
    <i r="1">
      <x v="620"/>
    </i>
    <i r="1">
      <x v="615"/>
    </i>
    <i r="1">
      <x v="541"/>
    </i>
    <i r="1">
      <x v="584"/>
    </i>
    <i r="1">
      <x v="574"/>
    </i>
    <i r="1">
      <x v="582"/>
    </i>
    <i r="1">
      <x v="599"/>
    </i>
    <i r="1">
      <x v="568"/>
    </i>
    <i r="1">
      <x v="533"/>
    </i>
    <i r="1">
      <x v="562"/>
    </i>
    <i r="1">
      <x v="622"/>
    </i>
    <i r="1">
      <x v="551"/>
    </i>
    <i r="1">
      <x v="600"/>
    </i>
    <i r="1">
      <x v="532"/>
    </i>
    <i r="1">
      <x v="547"/>
    </i>
    <i r="1">
      <x v="530"/>
    </i>
    <i r="1">
      <x v="595"/>
    </i>
    <i r="1">
      <x v="548"/>
    </i>
    <i r="1">
      <x v="579"/>
    </i>
    <i r="1">
      <x v="618"/>
    </i>
    <i r="1">
      <x v="537"/>
    </i>
    <i r="1">
      <x v="621"/>
    </i>
    <i r="1">
      <x v="609"/>
    </i>
    <i r="1">
      <x v="539"/>
    </i>
    <i r="1">
      <x v="566"/>
    </i>
    <i r="1">
      <x v="628"/>
    </i>
    <i r="1">
      <x v="623"/>
    </i>
    <i r="1">
      <x v="567"/>
    </i>
    <i r="1">
      <x v="617"/>
    </i>
    <i r="1">
      <x v="577"/>
    </i>
    <i r="1">
      <x v="603"/>
    </i>
    <i r="1">
      <x v="540"/>
    </i>
    <i r="1">
      <x v="552"/>
    </i>
    <i r="1">
      <x v="527"/>
    </i>
    <i r="1">
      <x v="583"/>
    </i>
    <i r="1">
      <x v="572"/>
    </i>
    <i r="1">
      <x v="601"/>
    </i>
    <i r="1">
      <x v="559"/>
    </i>
    <i r="1">
      <x v="593"/>
    </i>
    <i r="1">
      <x v="592"/>
    </i>
    <i r="1">
      <x v="544"/>
    </i>
    <i r="1">
      <x v="553"/>
    </i>
    <i r="1">
      <x v="531"/>
    </i>
    <i r="1">
      <x v="542"/>
    </i>
    <i r="1">
      <x v="564"/>
    </i>
    <i r="1">
      <x v="557"/>
    </i>
    <i r="1">
      <x v="612"/>
    </i>
    <i r="1">
      <x v="534"/>
    </i>
    <i r="1">
      <x v="606"/>
    </i>
    <i r="1">
      <x v="526"/>
    </i>
    <i r="1">
      <x v="624"/>
    </i>
    <i r="1">
      <x v="573"/>
    </i>
    <i r="1">
      <x v="619"/>
    </i>
    <i r="1">
      <x v="616"/>
    </i>
    <i r="1">
      <x v="589"/>
    </i>
    <i r="1">
      <x v="560"/>
    </i>
    <i r="1">
      <x v="590"/>
    </i>
    <i r="1">
      <x v="614"/>
    </i>
    <i r="1">
      <x v="546"/>
    </i>
    <i r="1">
      <x v="585"/>
    </i>
    <i r="1">
      <x v="594"/>
    </i>
    <i r="1">
      <x v="625"/>
    </i>
    <i r="1">
      <x v="598"/>
    </i>
    <i r="1">
      <x v="545"/>
    </i>
    <i r="1">
      <x v="550"/>
    </i>
    <i r="1">
      <x v="536"/>
    </i>
    <i r="1">
      <x v="561"/>
    </i>
    <i r="1">
      <x v="578"/>
    </i>
    <i r="1">
      <x v="565"/>
    </i>
    <i r="1">
      <x v="571"/>
    </i>
    <i r="1">
      <x v="549"/>
    </i>
    <i r="1">
      <x v="556"/>
    </i>
    <i r="1">
      <x v="610"/>
    </i>
    <i r="1">
      <x v="554"/>
    </i>
    <i r="1">
      <x v="570"/>
    </i>
    <i r="1">
      <x v="607"/>
    </i>
    <i r="1">
      <x v="626"/>
    </i>
    <i r="1">
      <x v="569"/>
    </i>
    <i r="1">
      <x v="604"/>
    </i>
    <i r="1">
      <x v="608"/>
    </i>
    <i r="1">
      <x v="602"/>
    </i>
    <i r="1">
      <x v="611"/>
    </i>
    <i r="1">
      <x v="596"/>
    </i>
    <i r="1">
      <x v="580"/>
    </i>
    <i r="1">
      <x v="591"/>
    </i>
    <i r="1">
      <x v="563"/>
    </i>
    <i r="1">
      <x v="528"/>
    </i>
    <i r="1">
      <x v="576"/>
    </i>
    <i r="1">
      <x v="529"/>
    </i>
    <i r="1">
      <x v="538"/>
    </i>
    <i r="1">
      <x v="555"/>
    </i>
    <i r="1">
      <x v="605"/>
    </i>
    <i r="1">
      <x v="558"/>
    </i>
    <i r="1">
      <x v="627"/>
    </i>
    <i r="1">
      <x v="613"/>
    </i>
    <i r="1">
      <x v="588"/>
    </i>
    <i r="1">
      <x v="575"/>
    </i>
    <i r="1">
      <x v="581"/>
    </i>
    <i r="1">
      <x v="586"/>
    </i>
    <i t="grand">
      <x/>
    </i>
  </rowItems>
  <colItems count="1">
    <i/>
  </colItems>
  <dataFields count="1">
    <dataField name="Sum of GrossRevenue" fld="22" baseField="0" baseItem="0"/>
  </dataFields>
  <formats count="21">
    <format dxfId="233">
      <pivotArea type="all" dataOnly="0" outline="0" fieldPosition="0"/>
    </format>
    <format dxfId="232">
      <pivotArea outline="0" collapsedLevelsAreSubtotals="1" fieldPosition="0"/>
    </format>
    <format dxfId="231">
      <pivotArea field="15" type="button" dataOnly="0" labelOnly="1" outline="0" axis="axisRow" fieldPosition="0"/>
    </format>
    <format dxfId="230">
      <pivotArea dataOnly="0" labelOnly="1" fieldPosition="0">
        <references count="1">
          <reference field="15" count="0"/>
        </references>
      </pivotArea>
    </format>
    <format dxfId="229">
      <pivotArea dataOnly="0" labelOnly="1" grandRow="1" outline="0" fieldPosition="0"/>
    </format>
    <format dxfId="228">
      <pivotArea dataOnly="0" labelOnly="1" fieldPosition="0">
        <references count="2">
          <reference field="15" count="1" selected="0">
            <x v="0"/>
          </reference>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7">
      <pivotArea dataOnly="0" labelOnly="1" fieldPosition="0">
        <references count="2">
          <reference field="15" count="1" selected="0">
            <x v="0"/>
          </reference>
          <reference field="16"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226">
      <pivotArea dataOnly="0" labelOnly="1" fieldPosition="0">
        <references count="2">
          <reference field="15" count="1" selected="0">
            <x v="1"/>
          </reference>
          <reference field="16" count="50">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reference>
        </references>
      </pivotArea>
    </format>
    <format dxfId="225">
      <pivotArea dataOnly="0" labelOnly="1" fieldPosition="0">
        <references count="2">
          <reference field="15" count="1" selected="0">
            <x v="1"/>
          </reference>
          <reference field="16" count="40">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dxfId="224">
      <pivotArea dataOnly="0" labelOnly="1" fieldPosition="0">
        <references count="2">
          <reference field="15" count="1" selected="0">
            <x v="2"/>
          </reference>
          <reference field="16" count="50">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reference>
        </references>
      </pivotArea>
    </format>
    <format dxfId="223">
      <pivotArea dataOnly="0" labelOnly="1" fieldPosition="0">
        <references count="2">
          <reference field="15" count="1" selected="0">
            <x v="2"/>
          </reference>
          <reference field="16" count="31">
            <x v="227"/>
            <x v="228"/>
            <x v="229"/>
            <x v="230"/>
            <x v="231"/>
            <x v="232"/>
            <x v="233"/>
            <x v="234"/>
            <x v="235"/>
            <x v="236"/>
            <x v="237"/>
            <x v="238"/>
            <x v="239"/>
            <x v="240"/>
            <x v="241"/>
            <x v="242"/>
            <x v="243"/>
            <x v="244"/>
            <x v="245"/>
            <x v="246"/>
            <x v="247"/>
            <x v="248"/>
            <x v="249"/>
            <x v="250"/>
            <x v="251"/>
            <x v="252"/>
            <x v="253"/>
            <x v="254"/>
            <x v="255"/>
            <x v="256"/>
            <x v="257"/>
          </reference>
        </references>
      </pivotArea>
    </format>
    <format dxfId="222">
      <pivotArea dataOnly="0" labelOnly="1" fieldPosition="0">
        <references count="2">
          <reference field="15" count="1" selected="0">
            <x v="3"/>
          </reference>
          <reference field="16" count="50">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reference>
        </references>
      </pivotArea>
    </format>
    <format dxfId="221">
      <pivotArea dataOnly="0" labelOnly="1" fieldPosition="0">
        <references count="2">
          <reference field="15" count="1" selected="0">
            <x v="3"/>
          </reference>
          <reference field="16" count="44">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reference>
        </references>
      </pivotArea>
    </format>
    <format dxfId="220">
      <pivotArea dataOnly="0" labelOnly="1" fieldPosition="0">
        <references count="2">
          <reference field="15" count="1" selected="0">
            <x v="4"/>
          </reference>
          <reference field="16" count="50">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reference>
        </references>
      </pivotArea>
    </format>
    <format dxfId="219">
      <pivotArea dataOnly="0" labelOnly="1" fieldPosition="0">
        <references count="2">
          <reference field="15" count="1" selected="0">
            <x v="4"/>
          </reference>
          <reference field="16" count="36">
            <x v="402"/>
            <x v="403"/>
            <x v="404"/>
            <x v="405"/>
            <x v="406"/>
            <x v="407"/>
            <x v="408"/>
            <x v="409"/>
            <x v="410"/>
            <x v="411"/>
            <x v="412"/>
            <x v="413"/>
            <x v="414"/>
            <x v="415"/>
            <x v="416"/>
            <x v="417"/>
            <x v="418"/>
            <x v="419"/>
            <x v="420"/>
            <x v="421"/>
            <x v="422"/>
            <x v="423"/>
            <x v="424"/>
            <x v="425"/>
            <x v="426"/>
            <x v="427"/>
            <x v="428"/>
            <x v="429"/>
            <x v="430"/>
            <x v="431"/>
            <x v="432"/>
            <x v="433"/>
            <x v="434"/>
            <x v="435"/>
            <x v="436"/>
            <x v="437"/>
          </reference>
        </references>
      </pivotArea>
    </format>
    <format dxfId="218">
      <pivotArea dataOnly="0" labelOnly="1" fieldPosition="0">
        <references count="2">
          <reference field="15" count="1" selected="0">
            <x v="5"/>
          </reference>
          <reference field="16" count="50">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reference>
        </references>
      </pivotArea>
    </format>
    <format dxfId="217">
      <pivotArea dataOnly="0" labelOnly="1" fieldPosition="0">
        <references count="2">
          <reference field="15" count="1" selected="0">
            <x v="5"/>
          </reference>
          <reference field="16" count="38">
            <x v="488"/>
            <x v="489"/>
            <x v="490"/>
            <x v="491"/>
            <x v="492"/>
            <x v="493"/>
            <x v="494"/>
            <x v="495"/>
            <x v="496"/>
            <x v="497"/>
            <x v="498"/>
            <x v="499"/>
            <x v="500"/>
            <x v="501"/>
            <x v="502"/>
            <x v="503"/>
            <x v="504"/>
            <x v="505"/>
            <x v="506"/>
            <x v="507"/>
            <x v="508"/>
            <x v="509"/>
            <x v="510"/>
            <x v="511"/>
            <x v="512"/>
            <x v="513"/>
            <x v="514"/>
            <x v="515"/>
            <x v="516"/>
            <x v="517"/>
            <x v="518"/>
            <x v="519"/>
            <x v="520"/>
            <x v="521"/>
            <x v="522"/>
            <x v="523"/>
            <x v="524"/>
            <x v="525"/>
          </reference>
        </references>
      </pivotArea>
    </format>
    <format dxfId="216">
      <pivotArea dataOnly="0" labelOnly="1" fieldPosition="0">
        <references count="2">
          <reference field="15" count="1" selected="0">
            <x v="6"/>
          </reference>
          <reference field="16" count="50">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reference>
        </references>
      </pivotArea>
    </format>
    <format dxfId="215">
      <pivotArea dataOnly="0" labelOnly="1" fieldPosition="0">
        <references count="2">
          <reference field="15" count="1" selected="0">
            <x v="6"/>
          </reference>
          <reference field="16" count="50">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reference>
        </references>
      </pivotArea>
    </format>
    <format dxfId="214">
      <pivotArea dataOnly="0" labelOnly="1" fieldPosition="0">
        <references count="2">
          <reference field="15" count="1" selected="0">
            <x v="6"/>
          </reference>
          <reference field="16" count="3">
            <x v="626"/>
            <x v="627"/>
            <x v="628"/>
          </reference>
        </references>
      </pivotArea>
    </format>
    <format dxfId="2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0A3EB1-7829-4187-A2C2-0B699227FE22}" name="PivotTable27" cacheId="2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AL16" firstHeaderRow="1" firstDataRow="2" firstDataCol="1"/>
  <pivotFields count="29">
    <pivotField showAll="0"/>
    <pivotField numFmtId="14" showAll="0"/>
    <pivotField axis="axisCol"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numFmtId="14" showAll="0"/>
    <pivotField numFmtId="14" showAll="0"/>
    <pivotField numFmtId="1" showAll="0"/>
    <pivotField numFmtId="1" showAll="0"/>
    <pivotField numFmtId="1"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pivotField numFmtId="2" showAll="0"/>
    <pivotField numFmtId="2" showAll="0"/>
    <pivotField numFmtId="2" showAll="0"/>
    <pivotField numFmtId="2" showAll="0"/>
    <pivotField numFmtId="1" showAll="0"/>
    <pivotField dataField="1" showAll="0"/>
    <pivotField showAll="0"/>
    <pivotField showAll="0"/>
    <pivotField showAll="0"/>
    <pivotField showAll="0"/>
    <pivotField showAll="0"/>
    <pivotField showAll="0"/>
  </pivotFields>
  <rowFields count="1">
    <field x="10"/>
  </rowFields>
  <rowItems count="13">
    <i>
      <x/>
    </i>
    <i>
      <x v="1"/>
    </i>
    <i>
      <x v="2"/>
    </i>
    <i>
      <x v="3"/>
    </i>
    <i>
      <x v="4"/>
    </i>
    <i>
      <x v="5"/>
    </i>
    <i>
      <x v="6"/>
    </i>
    <i>
      <x v="7"/>
    </i>
    <i>
      <x v="8"/>
    </i>
    <i>
      <x v="9"/>
    </i>
    <i>
      <x v="10"/>
    </i>
    <i>
      <x v="11"/>
    </i>
    <i t="grand">
      <x/>
    </i>
  </rowItems>
  <colFields count="1">
    <field x="2"/>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dataFields count="1">
    <dataField name="Sum of GrossRevenue" fld="22" baseField="0" baseItem="0"/>
  </dataFields>
  <formats count="10">
    <format dxfId="243">
      <pivotArea type="all" dataOnly="0" outline="0" fieldPosition="0"/>
    </format>
    <format dxfId="242">
      <pivotArea outline="0" collapsedLevelsAreSubtotals="1" fieldPosition="0"/>
    </format>
    <format dxfId="241">
      <pivotArea type="origin" dataOnly="0" labelOnly="1" outline="0" fieldPosition="0"/>
    </format>
    <format dxfId="240">
      <pivotArea field="2" type="button" dataOnly="0" labelOnly="1" outline="0" axis="axisCol" fieldPosition="0"/>
    </format>
    <format dxfId="239">
      <pivotArea type="topRight" dataOnly="0" labelOnly="1" outline="0" fieldPosition="0"/>
    </format>
    <format dxfId="238">
      <pivotArea field="10" type="button" dataOnly="0" labelOnly="1" outline="0" axis="axisRow" fieldPosition="0"/>
    </format>
    <format dxfId="237">
      <pivotArea dataOnly="0" labelOnly="1" fieldPosition="0">
        <references count="1">
          <reference field="10" count="0"/>
        </references>
      </pivotArea>
    </format>
    <format dxfId="236">
      <pivotArea dataOnly="0" labelOnly="1" grandRow="1" outline="0" fieldPosition="0"/>
    </format>
    <format dxfId="235">
      <pivotArea dataOnly="0" labelOnly="1" fieldPosition="0">
        <references count="1">
          <reference field="2" count="0"/>
        </references>
      </pivotArea>
    </format>
    <format dxfId="23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F922E6-D82C-4A9D-963C-17C62F233911}" name="PivotTable65" cacheId="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E52" firstHeaderRow="1" firstDataRow="6" firstDataCol="1"/>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axis="axisCol" numFmtId="17" showAll="0">
      <items count="34">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 t="default"/>
      </items>
    </pivotField>
    <pivotField numFmtId="17" showAll="0"/>
    <pivotField showAll="0"/>
    <pivotField showAll="0"/>
    <pivotField numFmtId="14" showAll="0"/>
    <pivotField numFmtId="14" showAll="0"/>
    <pivotField numFmtId="1" showAll="0"/>
    <pivotField numFmtId="1" showAll="0"/>
    <pivotField numFmtId="1"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Col" showAll="0">
      <items count="7">
        <item x="4"/>
        <item x="3"/>
        <item x="2"/>
        <item x="5"/>
        <item x="1"/>
        <item x="0"/>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2" showAll="0"/>
    <pivotField numFmtId="1" showAll="0"/>
    <pivotField numFmtId="1"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1"/>
  </rowFields>
  <rowItems count="5">
    <i>
      <x/>
    </i>
    <i>
      <x v="1"/>
    </i>
    <i>
      <x v="2"/>
    </i>
    <i>
      <x v="3"/>
    </i>
    <i t="grand">
      <x/>
    </i>
  </rowItems>
  <colFields count="5">
    <field x="40"/>
    <field x="39"/>
    <field x="38"/>
    <field x="2"/>
    <field x="15"/>
  </colFields>
  <colItems count="4">
    <i>
      <x v="1"/>
    </i>
    <i>
      <x v="2"/>
    </i>
    <i>
      <x v="3"/>
    </i>
    <i t="grand">
      <x/>
    </i>
  </colItems>
  <dataFields count="1">
    <dataField name="Sum of GrossRevenue" fld="25" showDataAs="percentOfRow" baseField="0" baseItem="0" numFmtId="10"/>
  </dataFields>
  <formats count="11">
    <format dxfId="97">
      <pivotArea type="all" dataOnly="0" outline="0" fieldPosition="0"/>
    </format>
    <format dxfId="96">
      <pivotArea outline="0" collapsedLevelsAreSubtotals="1" fieldPosition="0"/>
    </format>
    <format dxfId="95">
      <pivotArea type="origin" dataOnly="0" labelOnly="1" outline="0" fieldPosition="0"/>
    </format>
    <format dxfId="94">
      <pivotArea field="15" type="button" dataOnly="0" labelOnly="1" outline="0" axis="axisCol" fieldPosition="4"/>
    </format>
    <format dxfId="93">
      <pivotArea type="topRight" dataOnly="0" labelOnly="1" outline="0" fieldPosition="0"/>
    </format>
    <format dxfId="92">
      <pivotArea field="11" type="button" dataOnly="0" labelOnly="1" outline="0" axis="axisRow" fieldPosition="0"/>
    </format>
    <format dxfId="91">
      <pivotArea dataOnly="0" labelOnly="1" fieldPosition="0">
        <references count="1">
          <reference field="11" count="0"/>
        </references>
      </pivotArea>
    </format>
    <format dxfId="90">
      <pivotArea dataOnly="0" labelOnly="1" grandRow="1" outline="0" fieldPosition="0"/>
    </format>
    <format dxfId="89">
      <pivotArea dataOnly="0" labelOnly="1" fieldPosition="0">
        <references count="1">
          <reference field="15" count="0"/>
        </references>
      </pivotArea>
    </format>
    <format dxfId="88">
      <pivotArea dataOnly="0" labelOnly="1" grandCol="1" outline="0" fieldPosition="0"/>
    </format>
    <format dxfId="8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DB237F-FEE1-4E9B-A988-0696EE00A5FE}" name="PivotTable64" cacheId="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H34" firstHeaderRow="1" firstDataRow="2" firstDataCol="1"/>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7" showAll="0">
      <items count="34">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 t="default"/>
      </items>
    </pivotField>
    <pivotField numFmtId="17" showAll="0"/>
    <pivotField showAll="0"/>
    <pivotField showAll="0"/>
    <pivotField numFmtId="14" showAll="0"/>
    <pivotField numFmtId="14" showAll="0"/>
    <pivotField numFmtId="1" showAll="0"/>
    <pivotField numFmtId="1" showAll="0"/>
    <pivotField numFmtId="1"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Col" showAll="0">
      <items count="7">
        <item x="4"/>
        <item x="3"/>
        <item x="2"/>
        <item x="5"/>
        <item x="1"/>
        <item x="0"/>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2" showAll="0"/>
    <pivotField numFmtId="1" showAll="0"/>
    <pivotField numFmtId="1"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Fields count="1">
    <field x="15"/>
  </colFields>
  <colItems count="7">
    <i>
      <x/>
    </i>
    <i>
      <x v="1"/>
    </i>
    <i>
      <x v="2"/>
    </i>
    <i>
      <x v="3"/>
    </i>
    <i>
      <x v="4"/>
    </i>
    <i>
      <x v="5"/>
    </i>
    <i t="grand">
      <x/>
    </i>
  </colItems>
  <dataFields count="1">
    <dataField name="Sum of GrossRevenue" fld="25" showDataAs="percentOfRow" baseField="0" baseItem="0" numFmtId="10"/>
  </dataFields>
  <formats count="11">
    <format dxfId="108">
      <pivotArea type="all" dataOnly="0" outline="0" fieldPosition="0"/>
    </format>
    <format dxfId="107">
      <pivotArea outline="0" collapsedLevelsAreSubtotals="1" fieldPosition="0"/>
    </format>
    <format dxfId="106">
      <pivotArea type="origin" dataOnly="0" labelOnly="1" outline="0" fieldPosition="0"/>
    </format>
    <format dxfId="105">
      <pivotArea field="15" type="button" dataOnly="0" labelOnly="1" outline="0" axis="axisCol" fieldPosition="0"/>
    </format>
    <format dxfId="104">
      <pivotArea type="topRight" dataOnly="0" labelOnly="1" outline="0" fieldPosition="0"/>
    </format>
    <format dxfId="103">
      <pivotArea field="11" type="button" dataOnly="0" labelOnly="1" outline="0" axis="axisRow" fieldPosition="0"/>
    </format>
    <format dxfId="102">
      <pivotArea dataOnly="0" labelOnly="1" fieldPosition="0">
        <references count="1">
          <reference field="11" count="0"/>
        </references>
      </pivotArea>
    </format>
    <format dxfId="101">
      <pivotArea dataOnly="0" labelOnly="1" grandRow="1" outline="0" fieldPosition="0"/>
    </format>
    <format dxfId="100">
      <pivotArea dataOnly="0" labelOnly="1" fieldPosition="0">
        <references count="1">
          <reference field="15" count="0"/>
        </references>
      </pivotArea>
    </format>
    <format dxfId="99">
      <pivotArea dataOnly="0" labelOnly="1" grandCol="1" outline="0" fieldPosition="0"/>
    </format>
    <format dxfId="98">
      <pivotArea outline="0" fieldPosition="0">
        <references count="1">
          <reference field="4294967294" count="1">
            <x v="0"/>
          </reference>
        </references>
      </pivotArea>
    </format>
  </formats>
  <chartFormats count="12">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2">
          <reference field="4294967294" count="1" selected="0">
            <x v="0"/>
          </reference>
          <reference field="15" count="1" selected="0">
            <x v="5"/>
          </reference>
        </references>
      </pivotArea>
    </chartFormat>
    <chartFormat chart="3" format="12" series="1">
      <pivotArea type="data" outline="0" fieldPosition="0">
        <references count="2">
          <reference field="4294967294" count="1" selected="0">
            <x v="0"/>
          </reference>
          <reference field="15" count="1" selected="0">
            <x v="0"/>
          </reference>
        </references>
      </pivotArea>
    </chartFormat>
    <chartFormat chart="3" format="13" series="1">
      <pivotArea type="data" outline="0" fieldPosition="0">
        <references count="2">
          <reference field="4294967294" count="1" selected="0">
            <x v="0"/>
          </reference>
          <reference field="15" count="1" selected="0">
            <x v="1"/>
          </reference>
        </references>
      </pivotArea>
    </chartFormat>
    <chartFormat chart="3" format="14" series="1">
      <pivotArea type="data" outline="0" fieldPosition="0">
        <references count="2">
          <reference field="4294967294" count="1" selected="0">
            <x v="0"/>
          </reference>
          <reference field="15" count="1" selected="0">
            <x v="2"/>
          </reference>
        </references>
      </pivotArea>
    </chartFormat>
    <chartFormat chart="3" format="15" series="1">
      <pivotArea type="data" outline="0" fieldPosition="0">
        <references count="2">
          <reference field="4294967294" count="1" selected="0">
            <x v="0"/>
          </reference>
          <reference field="15" count="1" selected="0">
            <x v="3"/>
          </reference>
        </references>
      </pivotArea>
    </chartFormat>
    <chartFormat chart="3" format="16" series="1">
      <pivotArea type="data" outline="0" fieldPosition="0">
        <references count="2">
          <reference field="4294967294" count="1" selected="0">
            <x v="0"/>
          </reference>
          <reference field="15" count="1" selected="0">
            <x v="4"/>
          </reference>
        </references>
      </pivotArea>
    </chartFormat>
    <chartFormat chart="3" format="17" series="1">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991ECA-141C-4C31-87A7-86822F20A987}" name="PivotTable63" cacheId="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D19" firstHeaderRow="0" firstDataRow="1" firstDataCol="1"/>
  <pivotFields count="41">
    <pivotField dataField="1"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7" showAll="0">
      <items count="34">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 t="default"/>
      </items>
    </pivotField>
    <pivotField numFmtId="17" showAll="0"/>
    <pivotField showAll="0"/>
    <pivotField showAll="0"/>
    <pivotField numFmtId="14" showAll="0"/>
    <pivotField numFmtId="14" showAll="0"/>
    <pivotField numFmtId="1" showAll="0"/>
    <pivotField numFmtId="1"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axis="axisRow"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2" showAll="0"/>
    <pivotField numFmtId="1" showAll="0"/>
    <pivotField numFmtId="1" showAll="0"/>
    <pivotField dataField="1" showAll="0"/>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Count of OrderID" fld="0" subtotal="count" baseField="0" baseItem="0"/>
    <dataField name="Sum of GrossRevenue" fld="25" baseField="0" baseItem="0"/>
    <dataField name="Sum of GrossProfit" fld="27" baseField="0" baseItem="0"/>
  </dataFields>
  <formats count="6">
    <format dxfId="109">
      <pivotArea type="all" dataOnly="0" outline="0" fieldPosition="0"/>
    </format>
    <format dxfId="110">
      <pivotArea outline="0" collapsedLevelsAreSubtotals="1" fieldPosition="0"/>
    </format>
    <format dxfId="111">
      <pivotArea field="16" type="button" dataOnly="0" labelOnly="1" outline="0" axis="axisRow" fieldPosition="0"/>
    </format>
    <format dxfId="112">
      <pivotArea dataOnly="0" labelOnly="1" fieldPosition="0">
        <references count="1">
          <reference field="16" count="0"/>
        </references>
      </pivotArea>
    </format>
    <format dxfId="113">
      <pivotArea dataOnly="0" labelOnly="1" grandRow="1" outline="0" fieldPosition="0"/>
    </format>
    <format dxfId="114">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207DB4-C9CA-42C3-A72F-AABA0EC4FE02}" name="PivotTable40" cacheId="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15" firstHeaderRow="1" firstDataRow="1" firstDataCol="1"/>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dataField="1" numFmtId="17" showAll="0">
      <items count="34">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 t="default"/>
      </items>
    </pivotField>
    <pivotField numFmtId="17" showAll="0"/>
    <pivotField showAll="0"/>
    <pivotField showAll="0"/>
    <pivotField numFmtId="14" showAll="0"/>
    <pivotField numFmtId="14" showAll="0"/>
    <pivotField numFmtId="1" showAll="0"/>
    <pivotField numFmtId="1" showAll="0"/>
    <pivotField numFmtId="1" showAll="0"/>
    <pivotField showAll="0">
      <items count="5">
        <item x="0"/>
        <item x="2"/>
        <item x="1"/>
        <item x="3"/>
        <item t="default"/>
      </items>
    </pivotField>
    <pivotField axis="axisRow"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2" showAll="0"/>
    <pivotField numFmtId="1" showAll="0"/>
    <pivotField numFmtId="1"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Min of Months" fld="2" subtotal="min" baseField="0" baseItem="0" numFmtId="17"/>
  </dataFields>
  <formats count="3">
    <format dxfId="86">
      <pivotArea type="all" dataOnly="0" outline="0" fieldPosition="0"/>
    </format>
    <format dxfId="85">
      <pivotArea field="40" type="button" dataOnly="0" labelOnly="1" outline="0"/>
    </format>
    <format dxfId="8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E1F503-828B-4573-A811-89173A8645D6}" name="PivotTable42" cacheId="28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C632" firstHeaderRow="1" firstDataRow="1" firstDataCol="2"/>
  <pivotFields count="41">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468">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s>
      <extLst>
        <ext xmlns:x14="http://schemas.microsoft.com/office/spreadsheetml/2009/9/main" uri="{2946ED86-A175-432a-8AC1-64E0C546D7DE}">
          <x14:pivotField fillDownLabels="1"/>
        </ext>
      </extLst>
    </pivotField>
    <pivotField compact="0" numFmtId="17" outline="0" subtotalTop="0" showAll="0" defaultSubtotal="0">
      <items count="33">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s>
      <extLst>
        <ext xmlns:x14="http://schemas.microsoft.com/office/spreadsheetml/2009/9/main" uri="{2946ED86-A175-432a-8AC1-64E0C546D7DE}">
          <x14:pivotField fillDownLabels="1"/>
        </ext>
      </extLst>
    </pivotField>
    <pivotField compact="0" numFmtId="17"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12">
        <item x="5"/>
        <item x="3"/>
        <item x="9"/>
        <item x="7"/>
        <item x="6"/>
        <item x="4"/>
        <item x="2"/>
        <item x="0"/>
        <item x="1"/>
        <item x="11"/>
        <item x="8"/>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4"/>
        <item x="3"/>
        <item x="2"/>
        <item x="5"/>
        <item x="1"/>
        <item x="0"/>
      </items>
      <extLst>
        <ext xmlns:x14="http://schemas.microsoft.com/office/spreadsheetml/2009/9/main" uri="{2946ED86-A175-432a-8AC1-64E0C546D7DE}">
          <x14:pivotField fillDownLabels="1"/>
        </ext>
      </extLst>
    </pivotField>
    <pivotField compact="0" outline="0" showAll="0" defaultSubtotal="0">
      <items count="16">
        <item x="8"/>
        <item x="5"/>
        <item x="0"/>
        <item x="14"/>
        <item x="6"/>
        <item x="9"/>
        <item x="3"/>
        <item x="10"/>
        <item x="2"/>
        <item x="1"/>
        <item x="11"/>
        <item x="4"/>
        <item x="12"/>
        <item x="13"/>
        <item x="7"/>
        <item x="15"/>
      </items>
      <extLst>
        <ext xmlns:x14="http://schemas.microsoft.com/office/spreadsheetml/2009/9/main" uri="{2946ED86-A175-432a-8AC1-64E0C546D7DE}">
          <x14:pivotField fillDownLabels="1"/>
        </ext>
      </extLst>
    </pivotField>
    <pivotField axis="axisRow" compact="0" outline="0" showAll="0" sortType="descending" defaultSubtotal="0">
      <items count="7">
        <item x="6"/>
        <item x="0"/>
        <item x="4"/>
        <item x="5"/>
        <item x="2"/>
        <item x="3"/>
        <item x="1"/>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sortType="descending" defaultSubtotal="0">
      <items count="629">
        <item x="139"/>
        <item x="620"/>
        <item x="332"/>
        <item x="414"/>
        <item x="339"/>
        <item x="393"/>
        <item x="440"/>
        <item x="292"/>
        <item x="490"/>
        <item x="586"/>
        <item x="206"/>
        <item x="14"/>
        <item x="477"/>
        <item x="58"/>
        <item x="260"/>
        <item x="59"/>
        <item x="324"/>
        <item x="103"/>
        <item x="170"/>
        <item x="70"/>
        <item x="496"/>
        <item x="415"/>
        <item x="311"/>
        <item x="318"/>
        <item x="488"/>
        <item x="331"/>
        <item x="354"/>
        <item x="515"/>
        <item x="185"/>
        <item x="544"/>
        <item x="220"/>
        <item x="258"/>
        <item x="449"/>
        <item x="520"/>
        <item x="575"/>
        <item x="269"/>
        <item x="22"/>
        <item x="158"/>
        <item x="131"/>
        <item x="154"/>
        <item x="289"/>
        <item x="76"/>
        <item x="113"/>
        <item x="568"/>
        <item x="617"/>
        <item x="587"/>
        <item x="226"/>
        <item x="551"/>
        <item x="550"/>
        <item x="97"/>
        <item x="459"/>
        <item x="213"/>
        <item x="351"/>
        <item x="298"/>
        <item x="57"/>
        <item x="287"/>
        <item x="50"/>
        <item x="147"/>
        <item x="436"/>
        <item x="345"/>
        <item x="180"/>
        <item x="357"/>
        <item x="142"/>
        <item x="492"/>
        <item x="556"/>
        <item x="464"/>
        <item x="603"/>
        <item x="359"/>
        <item x="591"/>
        <item x="10"/>
        <item x="276"/>
        <item x="18"/>
        <item x="337"/>
        <item x="540"/>
        <item x="291"/>
        <item x="453"/>
        <item x="25"/>
        <item x="208"/>
        <item x="93"/>
        <item x="66"/>
        <item x="77"/>
        <item x="553"/>
        <item x="535"/>
        <item x="305"/>
        <item x="182"/>
        <item x="407"/>
        <item x="109"/>
        <item x="75"/>
        <item x="169"/>
        <item x="512"/>
        <item x="470"/>
        <item x="578"/>
        <item x="606"/>
        <item x="623"/>
        <item x="34"/>
        <item x="172"/>
        <item x="626"/>
        <item x="400"/>
        <item x="126"/>
        <item x="390"/>
        <item x="124"/>
        <item x="483"/>
        <item x="522"/>
        <item x="376"/>
        <item x="24"/>
        <item x="87"/>
        <item x="82"/>
        <item x="323"/>
        <item x="509"/>
        <item x="366"/>
        <item x="457"/>
        <item x="12"/>
        <item x="136"/>
        <item x="9"/>
        <item x="293"/>
        <item x="157"/>
        <item x="463"/>
        <item x="209"/>
        <item x="314"/>
        <item x="466"/>
        <item x="85"/>
        <item x="161"/>
        <item x="259"/>
        <item x="347"/>
        <item x="255"/>
        <item x="572"/>
        <item x="219"/>
        <item x="616"/>
        <item x="593"/>
        <item x="325"/>
        <item x="74"/>
        <item x="171"/>
        <item x="588"/>
        <item x="489"/>
        <item x="517"/>
        <item x="462"/>
        <item x="78"/>
        <item x="518"/>
        <item x="563"/>
        <item x="44"/>
        <item x="127"/>
        <item x="125"/>
        <item x="110"/>
        <item x="567"/>
        <item x="503"/>
        <item x="458"/>
        <item x="450"/>
        <item x="396"/>
        <item x="30"/>
        <item x="229"/>
        <item x="61"/>
        <item x="364"/>
        <item x="221"/>
        <item x="205"/>
        <item x="69"/>
        <item x="249"/>
        <item x="36"/>
        <item x="60"/>
        <item x="105"/>
        <item x="510"/>
        <item x="101"/>
        <item x="86"/>
        <item x="233"/>
        <item x="0"/>
        <item x="37"/>
        <item x="392"/>
        <item x="435"/>
        <item x="402"/>
        <item x="288"/>
        <item x="475"/>
        <item x="236"/>
        <item x="584"/>
        <item x="177"/>
        <item x="299"/>
        <item x="266"/>
        <item x="558"/>
        <item x="322"/>
        <item x="474"/>
        <item x="476"/>
        <item x="532"/>
        <item x="166"/>
        <item x="145"/>
        <item x="294"/>
        <item x="15"/>
        <item x="526"/>
        <item x="444"/>
        <item x="581"/>
        <item x="538"/>
        <item x="348"/>
        <item x="119"/>
        <item x="278"/>
        <item x="245"/>
        <item x="383"/>
        <item x="238"/>
        <item x="369"/>
        <item x="628"/>
        <item x="480"/>
        <item x="146"/>
        <item x="19"/>
        <item x="64"/>
        <item x="263"/>
        <item x="506"/>
        <item x="570"/>
        <item x="344"/>
        <item x="99"/>
        <item x="53"/>
        <item x="361"/>
        <item x="513"/>
        <item x="580"/>
        <item x="71"/>
        <item x="308"/>
        <item x="303"/>
        <item x="541"/>
        <item x="241"/>
        <item x="456"/>
        <item x="602"/>
        <item x="23"/>
        <item x="254"/>
        <item x="507"/>
        <item x="104"/>
        <item x="189"/>
        <item x="562"/>
        <item x="386"/>
        <item x="250"/>
        <item x="151"/>
        <item x="519"/>
        <item x="592"/>
        <item x="367"/>
        <item x="56"/>
        <item x="408"/>
        <item x="274"/>
        <item x="173"/>
        <item x="102"/>
        <item x="387"/>
        <item x="533"/>
        <item x="564"/>
        <item x="424"/>
        <item x="52"/>
        <item x="191"/>
        <item x="406"/>
        <item x="117"/>
        <item x="395"/>
        <item x="423"/>
        <item x="72"/>
        <item x="5"/>
        <item x="597"/>
        <item x="429"/>
        <item x="420"/>
        <item x="282"/>
        <item x="328"/>
        <item x="385"/>
        <item x="111"/>
        <item x="223"/>
        <item x="132"/>
        <item x="20"/>
        <item x="401"/>
        <item x="283"/>
        <item x="33"/>
        <item x="338"/>
        <item x="565"/>
        <item x="313"/>
        <item x="270"/>
        <item x="590"/>
        <item x="215"/>
        <item x="186"/>
        <item x="204"/>
        <item x="96"/>
        <item x="403"/>
        <item x="167"/>
        <item x="140"/>
        <item x="68"/>
        <item x="471"/>
        <item x="508"/>
        <item x="216"/>
        <item x="115"/>
        <item x="246"/>
        <item x="596"/>
        <item x="89"/>
        <item x="327"/>
        <item x="248"/>
        <item x="135"/>
        <item x="272"/>
        <item x="426"/>
        <item x="83"/>
        <item x="397"/>
        <item x="121"/>
        <item x="624"/>
        <item x="417"/>
        <item x="614"/>
        <item x="188"/>
        <item x="350"/>
        <item x="548"/>
        <item x="296"/>
        <item x="51"/>
        <item x="251"/>
        <item x="371"/>
        <item x="431"/>
        <item x="498"/>
        <item x="55"/>
        <item x="203"/>
        <item x="455"/>
        <item x="130"/>
        <item x="63"/>
        <item x="232"/>
        <item x="178"/>
        <item x="304"/>
        <item x="446"/>
        <item x="279"/>
        <item x="297"/>
        <item x="183"/>
        <item x="362"/>
        <item x="388"/>
        <item x="560"/>
        <item x="571"/>
        <item x="521"/>
        <item x="546"/>
        <item x="309"/>
        <item x="194"/>
        <item x="165"/>
        <item x="67"/>
        <item x="452"/>
        <item x="8"/>
        <item x="175"/>
        <item x="555"/>
        <item x="445"/>
        <item x="579"/>
        <item x="190"/>
        <item x="168"/>
        <item x="382"/>
        <item x="257"/>
        <item x="210"/>
        <item x="187"/>
        <item x="79"/>
        <item x="609"/>
        <item x="543"/>
        <item x="6"/>
        <item x="271"/>
        <item x="539"/>
        <item x="430"/>
        <item x="184"/>
        <item x="493"/>
        <item x="253"/>
        <item x="88"/>
        <item x="118"/>
        <item x="530"/>
        <item x="163"/>
        <item x="497"/>
        <item x="317"/>
        <item x="394"/>
        <item x="265"/>
        <item x="160"/>
        <item x="40"/>
        <item x="495"/>
        <item x="310"/>
        <item x="494"/>
        <item x="589"/>
        <item x="379"/>
        <item x="41"/>
        <item x="222"/>
        <item x="225"/>
        <item x="301"/>
        <item x="98"/>
        <item x="340"/>
        <item x="73"/>
        <item x="478"/>
        <item x="90"/>
        <item x="45"/>
        <item x="47"/>
        <item x="144"/>
        <item x="256"/>
        <item x="622"/>
        <item x="437"/>
        <item x="561"/>
        <item x="247"/>
        <item x="482"/>
        <item x="576"/>
        <item x="114"/>
        <item x="21"/>
        <item x="398"/>
        <item x="197"/>
        <item x="375"/>
        <item x="574"/>
        <item x="505"/>
        <item x="306"/>
        <item x="573"/>
        <item x="381"/>
        <item x="356"/>
        <item x="316"/>
        <item x="129"/>
        <item x="516"/>
        <item x="112"/>
        <item x="547"/>
        <item x="320"/>
        <item x="619"/>
        <item x="621"/>
        <item x="80"/>
        <item x="321"/>
        <item x="542"/>
        <item x="48"/>
        <item x="461"/>
        <item x="611"/>
        <item x="378"/>
        <item x="275"/>
        <item x="193"/>
        <item x="610"/>
        <item x="465"/>
        <item x="202"/>
        <item x="599"/>
        <item x="502"/>
        <item x="120"/>
        <item x="108"/>
        <item x="534"/>
        <item x="412"/>
        <item x="84"/>
        <item x="549"/>
        <item x="214"/>
        <item x="377"/>
        <item x="155"/>
        <item x="32"/>
        <item x="432"/>
        <item x="501"/>
        <item x="280"/>
        <item x="123"/>
        <item x="618"/>
        <item x="156"/>
        <item x="537"/>
        <item x="613"/>
        <item x="352"/>
        <item x="330"/>
        <item x="261"/>
        <item x="566"/>
        <item x="528"/>
        <item x="343"/>
        <item x="2"/>
        <item x="29"/>
        <item x="434"/>
        <item x="286"/>
        <item x="54"/>
        <item x="419"/>
        <item x="17"/>
        <item x="281"/>
        <item x="346"/>
        <item x="212"/>
        <item x="342"/>
        <item x="28"/>
        <item x="559"/>
        <item x="511"/>
        <item x="201"/>
        <item x="370"/>
        <item x="326"/>
        <item x="107"/>
        <item x="447"/>
        <item x="237"/>
        <item x="481"/>
        <item x="230"/>
        <item x="421"/>
        <item x="133"/>
        <item x="529"/>
        <item x="267"/>
        <item x="425"/>
        <item x="199"/>
        <item x="391"/>
        <item x="91"/>
        <item x="240"/>
        <item x="285"/>
        <item x="262"/>
        <item x="333"/>
        <item x="411"/>
        <item x="439"/>
        <item x="128"/>
        <item x="569"/>
        <item x="3"/>
        <item x="582"/>
        <item x="149"/>
        <item x="65"/>
        <item x="625"/>
        <item x="244"/>
        <item x="31"/>
        <item x="374"/>
        <item x="196"/>
        <item x="302"/>
        <item x="583"/>
        <item x="360"/>
        <item x="162"/>
        <item x="451"/>
        <item x="427"/>
        <item x="405"/>
        <item x="484"/>
        <item x="552"/>
        <item x="315"/>
        <item x="329"/>
        <item x="487"/>
        <item x="454"/>
        <item x="284"/>
        <item x="277"/>
        <item x="27"/>
        <item x="365"/>
        <item x="94"/>
        <item x="11"/>
        <item x="243"/>
        <item x="224"/>
        <item x="604"/>
        <item x="181"/>
        <item x="577"/>
        <item x="335"/>
        <item x="491"/>
        <item x="122"/>
        <item x="373"/>
        <item x="137"/>
        <item x="141"/>
        <item x="531"/>
        <item x="62"/>
        <item x="100"/>
        <item x="418"/>
        <item x="410"/>
        <item x="504"/>
        <item x="235"/>
        <item x="433"/>
        <item x="106"/>
        <item x="499"/>
        <item x="627"/>
        <item x="159"/>
        <item x="319"/>
        <item x="472"/>
        <item x="585"/>
        <item x="195"/>
        <item x="500"/>
        <item x="334"/>
        <item x="231"/>
        <item x="389"/>
        <item x="473"/>
        <item x="264"/>
        <item x="485"/>
        <item x="49"/>
        <item x="525"/>
        <item x="536"/>
        <item x="409"/>
        <item x="514"/>
        <item x="524"/>
        <item x="438"/>
        <item x="227"/>
        <item x="312"/>
        <item x="448"/>
        <item x="554"/>
        <item x="428"/>
        <item x="46"/>
        <item x="523"/>
        <item x="218"/>
        <item x="252"/>
        <item x="307"/>
        <item x="211"/>
        <item x="42"/>
        <item x="467"/>
        <item x="363"/>
        <item x="368"/>
        <item x="174"/>
        <item x="479"/>
        <item x="164"/>
        <item x="26"/>
        <item x="148"/>
        <item x="143"/>
        <item x="35"/>
        <item x="527"/>
        <item x="594"/>
        <item x="134"/>
        <item x="441"/>
        <item x="341"/>
        <item x="608"/>
        <item x="138"/>
        <item x="192"/>
        <item x="239"/>
        <item x="601"/>
        <item x="176"/>
        <item x="612"/>
        <item x="336"/>
        <item x="242"/>
        <item x="605"/>
        <item x="399"/>
        <item x="217"/>
        <item x="615"/>
        <item x="486"/>
        <item x="416"/>
        <item x="380"/>
        <item x="207"/>
        <item x="600"/>
        <item x="150"/>
        <item x="7"/>
        <item x="422"/>
        <item x="116"/>
        <item x="92"/>
        <item x="300"/>
        <item x="39"/>
        <item x="557"/>
        <item x="358"/>
        <item x="268"/>
        <item x="16"/>
        <item x="460"/>
        <item x="198"/>
        <item x="228"/>
        <item x="469"/>
        <item x="153"/>
        <item x="38"/>
        <item x="349"/>
        <item x="234"/>
        <item x="295"/>
        <item x="443"/>
        <item x="4"/>
        <item x="179"/>
        <item x="152"/>
        <item x="13"/>
        <item x="200"/>
        <item x="372"/>
        <item x="273"/>
        <item x="290"/>
        <item x="384"/>
        <item x="95"/>
        <item x="607"/>
        <item x="1"/>
        <item x="404"/>
        <item x="468"/>
        <item x="355"/>
        <item x="442"/>
        <item x="545"/>
        <item x="81"/>
        <item x="43"/>
        <item x="598"/>
        <item x="595"/>
        <item x="353"/>
        <item x="41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5">
        <item x="0"/>
        <item x="1"/>
        <item x="2"/>
        <item x="3"/>
        <item x="4"/>
      </items>
      <extLst>
        <ext xmlns:x14="http://schemas.microsoft.com/office/spreadsheetml/2009/9/main" uri="{2946ED86-A175-432a-8AC1-64E0C546D7DE}">
          <x14:pivotField fillDownLabels="1"/>
        </ext>
      </extLst>
    </pivotField>
  </pivotFields>
  <rowFields count="2">
    <field x="17"/>
    <field x="18"/>
  </rowFields>
  <rowItems count="629">
    <i>
      <x v="4"/>
      <x v="367"/>
    </i>
    <i r="1">
      <x v="404"/>
    </i>
    <i r="1">
      <x v="402"/>
    </i>
    <i r="1">
      <x v="358"/>
    </i>
    <i r="1">
      <x v="395"/>
    </i>
    <i r="1">
      <x v="355"/>
    </i>
    <i r="1">
      <x v="394"/>
    </i>
    <i r="1">
      <x v="386"/>
    </i>
    <i r="1">
      <x v="406"/>
    </i>
    <i r="1">
      <x v="385"/>
    </i>
    <i r="1">
      <x v="380"/>
    </i>
    <i r="1">
      <x v="364"/>
    </i>
    <i r="1">
      <x v="360"/>
    </i>
    <i r="1">
      <x v="396"/>
    </i>
    <i r="1">
      <x v="409"/>
    </i>
    <i r="1">
      <x v="398"/>
    </i>
    <i r="1">
      <x v="427"/>
    </i>
    <i r="1">
      <x v="430"/>
    </i>
    <i r="1">
      <x v="401"/>
    </i>
    <i r="1">
      <x v="370"/>
    </i>
    <i r="1">
      <x v="366"/>
    </i>
    <i r="1">
      <x v="412"/>
    </i>
    <i r="1">
      <x v="354"/>
    </i>
    <i r="1">
      <x v="359"/>
    </i>
    <i r="1">
      <x v="393"/>
    </i>
    <i r="1">
      <x v="391"/>
    </i>
    <i r="1">
      <x v="368"/>
    </i>
    <i r="1">
      <x v="352"/>
    </i>
    <i r="1">
      <x v="374"/>
    </i>
    <i r="1">
      <x v="413"/>
    </i>
    <i r="1">
      <x v="434"/>
    </i>
    <i r="1">
      <x v="436"/>
    </i>
    <i r="1">
      <x v="377"/>
    </i>
    <i r="1">
      <x v="414"/>
    </i>
    <i r="1">
      <x v="400"/>
    </i>
    <i r="1">
      <x v="378"/>
    </i>
    <i r="1">
      <x v="387"/>
    </i>
    <i r="1">
      <x v="388"/>
    </i>
    <i r="1">
      <x v="382"/>
    </i>
    <i r="1">
      <x v="415"/>
    </i>
    <i r="1">
      <x v="405"/>
    </i>
    <i r="1">
      <x v="381"/>
    </i>
    <i r="1">
      <x v="421"/>
    </i>
    <i r="1">
      <x v="356"/>
    </i>
    <i r="1">
      <x v="384"/>
    </i>
    <i r="1">
      <x v="422"/>
    </i>
    <i r="1">
      <x v="397"/>
    </i>
    <i r="1">
      <x v="426"/>
    </i>
    <i r="1">
      <x v="357"/>
    </i>
    <i r="1">
      <x v="408"/>
    </i>
    <i r="1">
      <x v="372"/>
    </i>
    <i r="1">
      <x v="389"/>
    </i>
    <i r="1">
      <x v="418"/>
    </i>
    <i r="1">
      <x v="363"/>
    </i>
    <i r="1">
      <x v="431"/>
    </i>
    <i r="1">
      <x v="417"/>
    </i>
    <i r="1">
      <x v="428"/>
    </i>
    <i r="1">
      <x v="420"/>
    </i>
    <i r="1">
      <x v="379"/>
    </i>
    <i r="1">
      <x v="365"/>
    </i>
    <i r="1">
      <x v="429"/>
    </i>
    <i r="1">
      <x v="411"/>
    </i>
    <i r="1">
      <x v="392"/>
    </i>
    <i r="1">
      <x v="424"/>
    </i>
    <i r="1">
      <x v="416"/>
    </i>
    <i r="1">
      <x v="435"/>
    </i>
    <i r="1">
      <x v="361"/>
    </i>
    <i r="1">
      <x v="375"/>
    </i>
    <i r="1">
      <x v="403"/>
    </i>
    <i r="1">
      <x v="383"/>
    </i>
    <i r="1">
      <x v="373"/>
    </i>
    <i r="1">
      <x v="425"/>
    </i>
    <i r="1">
      <x v="432"/>
    </i>
    <i r="1">
      <x v="371"/>
    </i>
    <i r="1">
      <x v="369"/>
    </i>
    <i r="1">
      <x v="423"/>
    </i>
    <i r="1">
      <x v="419"/>
    </i>
    <i r="1">
      <x v="399"/>
    </i>
    <i r="1">
      <x v="410"/>
    </i>
    <i r="1">
      <x v="376"/>
    </i>
    <i r="1">
      <x v="362"/>
    </i>
    <i r="1">
      <x v="407"/>
    </i>
    <i r="1">
      <x v="353"/>
    </i>
    <i r="1">
      <x v="433"/>
    </i>
    <i r="1">
      <x v="437"/>
    </i>
    <i r="1">
      <x v="390"/>
    </i>
    <i>
      <x v="2"/>
      <x v="247"/>
    </i>
    <i r="1">
      <x v="206"/>
    </i>
    <i r="1">
      <x v="240"/>
    </i>
    <i r="1">
      <x v="222"/>
    </i>
    <i r="1">
      <x v="225"/>
    </i>
    <i r="1">
      <x v="184"/>
    </i>
    <i r="1">
      <x v="246"/>
    </i>
    <i r="1">
      <x v="235"/>
    </i>
    <i r="1">
      <x v="179"/>
    </i>
    <i r="1">
      <x v="178"/>
    </i>
    <i r="1">
      <x v="208"/>
    </i>
    <i r="1">
      <x v="200"/>
    </i>
    <i r="1">
      <x v="198"/>
    </i>
    <i r="1">
      <x v="196"/>
    </i>
    <i r="1">
      <x v="213"/>
    </i>
    <i r="1">
      <x v="245"/>
    </i>
    <i r="1">
      <x v="231"/>
    </i>
    <i r="1">
      <x v="236"/>
    </i>
    <i r="1">
      <x v="251"/>
    </i>
    <i r="1">
      <x v="228"/>
    </i>
    <i r="1">
      <x v="249"/>
    </i>
    <i r="1">
      <x v="199"/>
    </i>
    <i r="1">
      <x v="204"/>
    </i>
    <i r="1">
      <x v="238"/>
    </i>
    <i r="1">
      <x v="217"/>
    </i>
    <i r="1">
      <x v="254"/>
    </i>
    <i r="1">
      <x v="192"/>
    </i>
    <i r="1">
      <x v="224"/>
    </i>
    <i r="1">
      <x v="182"/>
    </i>
    <i r="1">
      <x v="216"/>
    </i>
    <i r="1">
      <x v="243"/>
    </i>
    <i r="1">
      <x v="250"/>
    </i>
    <i r="1">
      <x v="187"/>
    </i>
    <i r="1">
      <x v="220"/>
    </i>
    <i r="1">
      <x v="202"/>
    </i>
    <i r="1">
      <x v="241"/>
    </i>
    <i r="1">
      <x v="223"/>
    </i>
    <i r="1">
      <x v="256"/>
    </i>
    <i r="1">
      <x v="252"/>
    </i>
    <i r="1">
      <x v="242"/>
    </i>
    <i r="1">
      <x v="234"/>
    </i>
    <i r="1">
      <x v="226"/>
    </i>
    <i r="1">
      <x v="180"/>
    </i>
    <i r="1">
      <x v="212"/>
    </i>
    <i r="1">
      <x v="227"/>
    </i>
    <i r="1">
      <x v="232"/>
    </i>
    <i r="1">
      <x v="203"/>
    </i>
    <i r="1">
      <x v="257"/>
    </i>
    <i r="1">
      <x v="181"/>
    </i>
    <i r="1">
      <x v="219"/>
    </i>
    <i r="1">
      <x v="188"/>
    </i>
    <i r="1">
      <x v="248"/>
    </i>
    <i r="1">
      <x v="207"/>
    </i>
    <i r="1">
      <x v="210"/>
    </i>
    <i r="1">
      <x v="191"/>
    </i>
    <i r="1">
      <x v="185"/>
    </i>
    <i r="1">
      <x v="190"/>
    </i>
    <i r="1">
      <x v="230"/>
    </i>
    <i r="1">
      <x v="253"/>
    </i>
    <i r="1">
      <x v="218"/>
    </i>
    <i r="1">
      <x v="214"/>
    </i>
    <i r="1">
      <x v="183"/>
    </i>
    <i r="1">
      <x v="215"/>
    </i>
    <i r="1">
      <x v="209"/>
    </i>
    <i r="1">
      <x v="211"/>
    </i>
    <i r="1">
      <x v="237"/>
    </i>
    <i r="1">
      <x v="229"/>
    </i>
    <i r="1">
      <x v="255"/>
    </i>
    <i r="1">
      <x v="239"/>
    </i>
    <i r="1">
      <x v="221"/>
    </i>
    <i r="1">
      <x v="244"/>
    </i>
    <i r="1">
      <x v="194"/>
    </i>
    <i r="1">
      <x v="201"/>
    </i>
    <i r="1">
      <x v="186"/>
    </i>
    <i r="1">
      <x v="193"/>
    </i>
    <i r="1">
      <x v="197"/>
    </i>
    <i r="1">
      <x v="205"/>
    </i>
    <i r="1">
      <x v="177"/>
    </i>
    <i r="1">
      <x v="189"/>
    </i>
    <i r="1">
      <x v="233"/>
    </i>
    <i r="1">
      <x v="195"/>
    </i>
    <i>
      <x v="6"/>
      <x v="535"/>
    </i>
    <i r="1">
      <x v="587"/>
    </i>
    <i r="1">
      <x v="597"/>
    </i>
    <i r="1">
      <x v="543"/>
    </i>
    <i r="1">
      <x v="620"/>
    </i>
    <i r="1">
      <x v="615"/>
    </i>
    <i r="1">
      <x v="541"/>
    </i>
    <i r="1">
      <x v="584"/>
    </i>
    <i r="1">
      <x v="574"/>
    </i>
    <i r="1">
      <x v="582"/>
    </i>
    <i r="1">
      <x v="599"/>
    </i>
    <i r="1">
      <x v="568"/>
    </i>
    <i r="1">
      <x v="533"/>
    </i>
    <i r="1">
      <x v="562"/>
    </i>
    <i r="1">
      <x v="622"/>
    </i>
    <i r="1">
      <x v="551"/>
    </i>
    <i r="1">
      <x v="600"/>
    </i>
    <i r="1">
      <x v="532"/>
    </i>
    <i r="1">
      <x v="547"/>
    </i>
    <i r="1">
      <x v="530"/>
    </i>
    <i r="1">
      <x v="595"/>
    </i>
    <i r="1">
      <x v="548"/>
    </i>
    <i r="1">
      <x v="579"/>
    </i>
    <i r="1">
      <x v="618"/>
    </i>
    <i r="1">
      <x v="537"/>
    </i>
    <i r="1">
      <x v="621"/>
    </i>
    <i r="1">
      <x v="609"/>
    </i>
    <i r="1">
      <x v="539"/>
    </i>
    <i r="1">
      <x v="566"/>
    </i>
    <i r="1">
      <x v="628"/>
    </i>
    <i r="1">
      <x v="623"/>
    </i>
    <i r="1">
      <x v="567"/>
    </i>
    <i r="1">
      <x v="617"/>
    </i>
    <i r="1">
      <x v="577"/>
    </i>
    <i r="1">
      <x v="603"/>
    </i>
    <i r="1">
      <x v="540"/>
    </i>
    <i r="1">
      <x v="552"/>
    </i>
    <i r="1">
      <x v="527"/>
    </i>
    <i r="1">
      <x v="583"/>
    </i>
    <i r="1">
      <x v="572"/>
    </i>
    <i r="1">
      <x v="601"/>
    </i>
    <i r="1">
      <x v="559"/>
    </i>
    <i r="1">
      <x v="593"/>
    </i>
    <i r="1">
      <x v="592"/>
    </i>
    <i r="1">
      <x v="544"/>
    </i>
    <i r="1">
      <x v="553"/>
    </i>
    <i r="1">
      <x v="531"/>
    </i>
    <i r="1">
      <x v="542"/>
    </i>
    <i r="1">
      <x v="564"/>
    </i>
    <i r="1">
      <x v="557"/>
    </i>
    <i r="1">
      <x v="612"/>
    </i>
    <i r="1">
      <x v="534"/>
    </i>
    <i r="1">
      <x v="606"/>
    </i>
    <i r="1">
      <x v="526"/>
    </i>
    <i r="1">
      <x v="624"/>
    </i>
    <i r="1">
      <x v="573"/>
    </i>
    <i r="1">
      <x v="619"/>
    </i>
    <i r="1">
      <x v="616"/>
    </i>
    <i r="1">
      <x v="589"/>
    </i>
    <i r="1">
      <x v="560"/>
    </i>
    <i r="1">
      <x v="590"/>
    </i>
    <i r="1">
      <x v="614"/>
    </i>
    <i r="1">
      <x v="546"/>
    </i>
    <i r="1">
      <x v="585"/>
    </i>
    <i r="1">
      <x v="594"/>
    </i>
    <i r="1">
      <x v="625"/>
    </i>
    <i r="1">
      <x v="598"/>
    </i>
    <i r="1">
      <x v="545"/>
    </i>
    <i r="1">
      <x v="550"/>
    </i>
    <i r="1">
      <x v="536"/>
    </i>
    <i r="1">
      <x v="561"/>
    </i>
    <i r="1">
      <x v="578"/>
    </i>
    <i r="1">
      <x v="565"/>
    </i>
    <i r="1">
      <x v="571"/>
    </i>
    <i r="1">
      <x v="549"/>
    </i>
    <i r="1">
      <x v="556"/>
    </i>
    <i r="1">
      <x v="610"/>
    </i>
    <i r="1">
      <x v="554"/>
    </i>
    <i r="1">
      <x v="570"/>
    </i>
    <i r="1">
      <x v="607"/>
    </i>
    <i r="1">
      <x v="626"/>
    </i>
    <i r="1">
      <x v="569"/>
    </i>
    <i r="1">
      <x v="604"/>
    </i>
    <i r="1">
      <x v="608"/>
    </i>
    <i r="1">
      <x v="602"/>
    </i>
    <i r="1">
      <x v="611"/>
    </i>
    <i r="1">
      <x v="596"/>
    </i>
    <i r="1">
      <x v="580"/>
    </i>
    <i r="1">
      <x v="591"/>
    </i>
    <i r="1">
      <x v="563"/>
    </i>
    <i r="1">
      <x v="528"/>
    </i>
    <i r="1">
      <x v="576"/>
    </i>
    <i r="1">
      <x v="529"/>
    </i>
    <i r="1">
      <x v="538"/>
    </i>
    <i r="1">
      <x v="555"/>
    </i>
    <i r="1">
      <x v="605"/>
    </i>
    <i r="1">
      <x v="558"/>
    </i>
    <i r="1">
      <x v="627"/>
    </i>
    <i r="1">
      <x v="613"/>
    </i>
    <i r="1">
      <x v="588"/>
    </i>
    <i r="1">
      <x v="575"/>
    </i>
    <i r="1">
      <x v="581"/>
    </i>
    <i r="1">
      <x v="586"/>
    </i>
    <i>
      <x v="3"/>
      <x v="322"/>
    </i>
    <i r="1">
      <x v="269"/>
    </i>
    <i r="1">
      <x v="318"/>
    </i>
    <i r="1">
      <x v="302"/>
    </i>
    <i r="1">
      <x v="348"/>
    </i>
    <i r="1">
      <x v="306"/>
    </i>
    <i r="1">
      <x v="351"/>
    </i>
    <i r="1">
      <x v="349"/>
    </i>
    <i r="1">
      <x v="336"/>
    </i>
    <i r="1">
      <x v="295"/>
    </i>
    <i r="1">
      <x v="298"/>
    </i>
    <i r="1">
      <x v="317"/>
    </i>
    <i r="1">
      <x v="316"/>
    </i>
    <i r="1">
      <x v="337"/>
    </i>
    <i r="1">
      <x v="281"/>
    </i>
    <i r="1">
      <x v="331"/>
    </i>
    <i r="1">
      <x v="280"/>
    </i>
    <i r="1">
      <x v="339"/>
    </i>
    <i r="1">
      <x v="265"/>
    </i>
    <i r="1">
      <x v="258"/>
    </i>
    <i r="1">
      <x v="299"/>
    </i>
    <i r="1">
      <x v="259"/>
    </i>
    <i r="1">
      <x v="274"/>
    </i>
    <i r="1">
      <x v="320"/>
    </i>
    <i r="1">
      <x v="285"/>
    </i>
    <i r="1">
      <x v="350"/>
    </i>
    <i r="1">
      <x v="297"/>
    </i>
    <i r="1">
      <x v="294"/>
    </i>
    <i r="1">
      <x v="307"/>
    </i>
    <i r="1">
      <x v="346"/>
    </i>
    <i r="1">
      <x v="290"/>
    </i>
    <i r="1">
      <x v="311"/>
    </i>
    <i r="1">
      <x v="314"/>
    </i>
    <i r="1">
      <x v="328"/>
    </i>
    <i r="1">
      <x v="321"/>
    </i>
    <i r="1">
      <x v="313"/>
    </i>
    <i r="1">
      <x v="319"/>
    </i>
    <i r="1">
      <x v="282"/>
    </i>
    <i r="1">
      <x v="267"/>
    </i>
    <i r="1">
      <x v="284"/>
    </i>
    <i r="1">
      <x v="296"/>
    </i>
    <i r="1">
      <x v="268"/>
    </i>
    <i r="1">
      <x v="345"/>
    </i>
    <i r="1">
      <x v="342"/>
    </i>
    <i r="1">
      <x v="279"/>
    </i>
    <i r="1">
      <x v="315"/>
    </i>
    <i r="1">
      <x v="323"/>
    </i>
    <i r="1">
      <x v="287"/>
    </i>
    <i r="1">
      <x v="333"/>
    </i>
    <i r="1">
      <x v="272"/>
    </i>
    <i r="1">
      <x v="326"/>
    </i>
    <i r="1">
      <x v="309"/>
    </i>
    <i r="1">
      <x v="270"/>
    </i>
    <i r="1">
      <x v="289"/>
    </i>
    <i r="1">
      <x v="312"/>
    </i>
    <i r="1">
      <x v="271"/>
    </i>
    <i r="1">
      <x v="300"/>
    </i>
    <i r="1">
      <x v="263"/>
    </i>
    <i r="1">
      <x v="301"/>
    </i>
    <i r="1">
      <x v="310"/>
    </i>
    <i r="1">
      <x v="261"/>
    </i>
    <i r="1">
      <x v="304"/>
    </i>
    <i r="1">
      <x v="327"/>
    </i>
    <i r="1">
      <x v="278"/>
    </i>
    <i r="1">
      <x v="341"/>
    </i>
    <i r="1">
      <x v="276"/>
    </i>
    <i r="1">
      <x v="343"/>
    </i>
    <i r="1">
      <x v="262"/>
    </i>
    <i r="1">
      <x v="324"/>
    </i>
    <i r="1">
      <x v="303"/>
    </i>
    <i r="1">
      <x v="286"/>
    </i>
    <i r="1">
      <x v="260"/>
    </i>
    <i r="1">
      <x v="332"/>
    </i>
    <i r="1">
      <x v="264"/>
    </i>
    <i r="1">
      <x v="334"/>
    </i>
    <i r="1">
      <x v="340"/>
    </i>
    <i r="1">
      <x v="329"/>
    </i>
    <i r="1">
      <x v="292"/>
    </i>
    <i r="1">
      <x v="347"/>
    </i>
    <i r="1">
      <x v="335"/>
    </i>
    <i r="1">
      <x v="338"/>
    </i>
    <i r="1">
      <x v="273"/>
    </i>
    <i r="1">
      <x v="291"/>
    </i>
    <i r="1">
      <x v="325"/>
    </i>
    <i r="1">
      <x v="330"/>
    </i>
    <i r="1">
      <x v="305"/>
    </i>
    <i r="1">
      <x v="288"/>
    </i>
    <i r="1">
      <x v="277"/>
    </i>
    <i r="1">
      <x v="275"/>
    </i>
    <i r="1">
      <x v="293"/>
    </i>
    <i r="1">
      <x v="344"/>
    </i>
    <i r="1">
      <x v="283"/>
    </i>
    <i r="1">
      <x v="266"/>
    </i>
    <i r="1">
      <x v="308"/>
    </i>
    <i>
      <x v="1"/>
      <x v="170"/>
    </i>
    <i r="1">
      <x v="116"/>
    </i>
    <i r="1">
      <x v="98"/>
    </i>
    <i r="1">
      <x v="113"/>
    </i>
    <i r="1">
      <x v="99"/>
    </i>
    <i r="1">
      <x v="159"/>
    </i>
    <i r="1">
      <x v="127"/>
    </i>
    <i r="1">
      <x v="96"/>
    </i>
    <i r="1">
      <x v="157"/>
    </i>
    <i r="1">
      <x v="89"/>
    </i>
    <i r="1">
      <x v="144"/>
    </i>
    <i r="1">
      <x v="150"/>
    </i>
    <i r="1">
      <x v="142"/>
    </i>
    <i r="1">
      <x v="94"/>
    </i>
    <i r="1">
      <x v="123"/>
    </i>
    <i r="1">
      <x v="107"/>
    </i>
    <i r="1">
      <x v="173"/>
    </i>
    <i r="1">
      <x v="119"/>
    </i>
    <i r="1">
      <x v="171"/>
    </i>
    <i r="1">
      <x v="104"/>
    </i>
    <i r="1">
      <x v="110"/>
    </i>
    <i r="1">
      <x v="115"/>
    </i>
    <i r="1">
      <x v="146"/>
    </i>
    <i r="1">
      <x v="122"/>
    </i>
    <i r="1">
      <x v="136"/>
    </i>
    <i r="1">
      <x v="151"/>
    </i>
    <i r="1">
      <x v="165"/>
    </i>
    <i r="1">
      <x v="124"/>
    </i>
    <i r="1">
      <x v="156"/>
    </i>
    <i r="1">
      <x v="109"/>
    </i>
    <i r="1">
      <x v="117"/>
    </i>
    <i r="1">
      <x v="139"/>
    </i>
    <i r="1">
      <x v="174"/>
    </i>
    <i r="1">
      <x v="138"/>
    </i>
    <i r="1">
      <x v="97"/>
    </i>
    <i r="1">
      <x v="90"/>
    </i>
    <i r="1">
      <x v="103"/>
    </i>
    <i r="1">
      <x v="162"/>
    </i>
    <i r="1">
      <x v="161"/>
    </i>
    <i r="1">
      <x v="93"/>
    </i>
    <i r="1">
      <x v="126"/>
    </i>
    <i r="1">
      <x v="147"/>
    </i>
    <i r="1">
      <x v="120"/>
    </i>
    <i r="1">
      <x v="155"/>
    </i>
    <i r="1">
      <x v="158"/>
    </i>
    <i r="1">
      <x v="164"/>
    </i>
    <i r="1">
      <x v="132"/>
    </i>
    <i r="1">
      <x v="168"/>
    </i>
    <i r="1">
      <x v="148"/>
    </i>
    <i r="1">
      <x v="112"/>
    </i>
    <i r="1">
      <x v="154"/>
    </i>
    <i r="1">
      <x v="131"/>
    </i>
    <i r="1">
      <x v="141"/>
    </i>
    <i r="1">
      <x v="114"/>
    </i>
    <i r="1">
      <x v="118"/>
    </i>
    <i r="1">
      <x v="128"/>
    </i>
    <i r="1">
      <x v="167"/>
    </i>
    <i r="1">
      <x v="137"/>
    </i>
    <i r="1">
      <x v="166"/>
    </i>
    <i r="1">
      <x v="87"/>
    </i>
    <i r="1">
      <x v="175"/>
    </i>
    <i r="1">
      <x v="153"/>
    </i>
    <i r="1">
      <x v="133"/>
    </i>
    <i r="1">
      <x v="102"/>
    </i>
    <i r="1">
      <x v="160"/>
    </i>
    <i r="1">
      <x v="91"/>
    </i>
    <i r="1">
      <x v="101"/>
    </i>
    <i r="1">
      <x v="121"/>
    </i>
    <i r="1">
      <x v="106"/>
    </i>
    <i r="1">
      <x v="111"/>
    </i>
    <i r="1">
      <x v="163"/>
    </i>
    <i r="1">
      <x v="130"/>
    </i>
    <i r="1">
      <x v="152"/>
    </i>
    <i r="1">
      <x v="169"/>
    </i>
    <i r="1">
      <x v="108"/>
    </i>
    <i r="1">
      <x v="143"/>
    </i>
    <i r="1">
      <x v="129"/>
    </i>
    <i r="1">
      <x v="88"/>
    </i>
    <i r="1">
      <x v="92"/>
    </i>
    <i r="1">
      <x v="100"/>
    </i>
    <i r="1">
      <x v="135"/>
    </i>
    <i r="1">
      <x v="145"/>
    </i>
    <i r="1">
      <x v="105"/>
    </i>
    <i r="1">
      <x v="134"/>
    </i>
    <i r="1">
      <x v="140"/>
    </i>
    <i r="1">
      <x v="176"/>
    </i>
    <i r="1">
      <x v="149"/>
    </i>
    <i r="1">
      <x v="125"/>
    </i>
    <i r="1">
      <x v="172"/>
    </i>
    <i r="1">
      <x v="95"/>
    </i>
    <i>
      <x v="5"/>
      <x v="524"/>
    </i>
    <i r="1">
      <x v="512"/>
    </i>
    <i r="1">
      <x v="473"/>
    </i>
    <i r="1">
      <x v="502"/>
    </i>
    <i r="1">
      <x v="485"/>
    </i>
    <i r="1">
      <x v="478"/>
    </i>
    <i r="1">
      <x v="516"/>
    </i>
    <i r="1">
      <x v="439"/>
    </i>
    <i r="1">
      <x v="494"/>
    </i>
    <i r="1">
      <x v="515"/>
    </i>
    <i r="1">
      <x v="488"/>
    </i>
    <i r="1">
      <x v="445"/>
    </i>
    <i r="1">
      <x v="475"/>
    </i>
    <i r="1">
      <x v="507"/>
    </i>
    <i r="1">
      <x v="455"/>
    </i>
    <i r="1">
      <x v="521"/>
    </i>
    <i r="1">
      <x v="501"/>
    </i>
    <i r="1">
      <x v="504"/>
    </i>
    <i r="1">
      <x v="517"/>
    </i>
    <i r="1">
      <x v="477"/>
    </i>
    <i r="1">
      <x v="447"/>
    </i>
    <i r="1">
      <x v="442"/>
    </i>
    <i r="1">
      <x v="450"/>
    </i>
    <i r="1">
      <x v="472"/>
    </i>
    <i r="1">
      <x v="522"/>
    </i>
    <i r="1">
      <x v="525"/>
    </i>
    <i r="1">
      <x v="500"/>
    </i>
    <i r="1">
      <x v="486"/>
    </i>
    <i r="1">
      <x v="492"/>
    </i>
    <i r="1">
      <x v="459"/>
    </i>
    <i r="1">
      <x v="496"/>
    </i>
    <i r="1">
      <x v="462"/>
    </i>
    <i r="1">
      <x v="523"/>
    </i>
    <i r="1">
      <x v="448"/>
    </i>
    <i r="1">
      <x v="467"/>
    </i>
    <i r="1">
      <x v="506"/>
    </i>
    <i r="1">
      <x v="460"/>
    </i>
    <i r="1">
      <x v="513"/>
    </i>
    <i r="1">
      <x v="520"/>
    </i>
    <i r="1">
      <x v="468"/>
    </i>
    <i r="1">
      <x v="451"/>
    </i>
    <i r="1">
      <x v="499"/>
    </i>
    <i r="1">
      <x v="474"/>
    </i>
    <i r="1">
      <x v="484"/>
    </i>
    <i r="1">
      <x v="510"/>
    </i>
    <i r="1">
      <x v="479"/>
    </i>
    <i r="1">
      <x v="461"/>
    </i>
    <i r="1">
      <x v="511"/>
    </i>
    <i r="1">
      <x v="498"/>
    </i>
    <i r="1">
      <x v="438"/>
    </i>
    <i r="1">
      <x v="463"/>
    </i>
    <i r="1">
      <x v="491"/>
    </i>
    <i r="1">
      <x v="489"/>
    </i>
    <i r="1">
      <x v="443"/>
    </i>
    <i r="1">
      <x v="509"/>
    </i>
    <i r="1">
      <x v="483"/>
    </i>
    <i r="1">
      <x v="480"/>
    </i>
    <i r="1">
      <x v="519"/>
    </i>
    <i r="1">
      <x v="503"/>
    </i>
    <i r="1">
      <x v="458"/>
    </i>
    <i r="1">
      <x v="452"/>
    </i>
    <i r="1">
      <x v="454"/>
    </i>
    <i r="1">
      <x v="497"/>
    </i>
    <i r="1">
      <x v="471"/>
    </i>
    <i r="1">
      <x v="446"/>
    </i>
    <i r="1">
      <x v="487"/>
    </i>
    <i r="1">
      <x v="453"/>
    </i>
    <i r="1">
      <x v="466"/>
    </i>
    <i r="1">
      <x v="482"/>
    </i>
    <i r="1">
      <x v="508"/>
    </i>
    <i r="1">
      <x v="495"/>
    </i>
    <i r="1">
      <x v="493"/>
    </i>
    <i r="1">
      <x v="444"/>
    </i>
    <i r="1">
      <x v="449"/>
    </i>
    <i r="1">
      <x v="456"/>
    </i>
    <i r="1">
      <x v="476"/>
    </i>
    <i r="1">
      <x v="469"/>
    </i>
    <i r="1">
      <x v="490"/>
    </i>
    <i r="1">
      <x v="441"/>
    </i>
    <i r="1">
      <x v="514"/>
    </i>
    <i r="1">
      <x v="470"/>
    </i>
    <i r="1">
      <x v="440"/>
    </i>
    <i r="1">
      <x v="457"/>
    </i>
    <i r="1">
      <x v="465"/>
    </i>
    <i r="1">
      <x v="518"/>
    </i>
    <i r="1">
      <x v="481"/>
    </i>
    <i r="1">
      <x v="505"/>
    </i>
    <i r="1">
      <x v="464"/>
    </i>
    <i>
      <x/>
      <x v="59"/>
    </i>
    <i r="1">
      <x v="23"/>
    </i>
    <i r="1">
      <x v="81"/>
    </i>
    <i r="1">
      <x v="83"/>
    </i>
    <i r="1">
      <x v="71"/>
    </i>
    <i r="1">
      <x v="41"/>
    </i>
    <i r="1">
      <x v="67"/>
    </i>
    <i r="1">
      <x v="49"/>
    </i>
    <i r="1">
      <x v="80"/>
    </i>
    <i r="1">
      <x v="62"/>
    </i>
    <i r="1">
      <x v="6"/>
    </i>
    <i r="1">
      <x v="10"/>
    </i>
    <i r="1">
      <x v="4"/>
    </i>
    <i r="1">
      <x v="55"/>
    </i>
    <i r="1">
      <x v="52"/>
    </i>
    <i r="1">
      <x v="58"/>
    </i>
    <i r="1">
      <x v="85"/>
    </i>
    <i r="1">
      <x v="74"/>
    </i>
    <i r="1">
      <x v="26"/>
    </i>
    <i r="1">
      <x v="12"/>
    </i>
    <i r="1">
      <x v="33"/>
    </i>
    <i r="1">
      <x v="82"/>
    </i>
    <i r="1">
      <x v="48"/>
    </i>
    <i r="1">
      <x v="78"/>
    </i>
    <i r="1">
      <x v="32"/>
    </i>
    <i r="1">
      <x v="40"/>
    </i>
    <i r="1">
      <x v="14"/>
    </i>
    <i r="1">
      <x v="77"/>
    </i>
    <i r="1">
      <x v="79"/>
    </i>
    <i r="1">
      <x v="69"/>
    </i>
    <i r="1">
      <x v="47"/>
    </i>
    <i r="1">
      <x v="29"/>
    </i>
    <i r="1">
      <x v="56"/>
    </i>
    <i r="1">
      <x v="75"/>
    </i>
    <i r="1">
      <x v="18"/>
    </i>
    <i r="1">
      <x v="5"/>
    </i>
    <i r="1">
      <x v="66"/>
    </i>
    <i r="1">
      <x v="57"/>
    </i>
    <i r="1">
      <x v="64"/>
    </i>
    <i r="1">
      <x v="53"/>
    </i>
    <i r="1">
      <x v="9"/>
    </i>
    <i r="1">
      <x v="63"/>
    </i>
    <i r="1">
      <x v="22"/>
    </i>
    <i r="1">
      <x v="39"/>
    </i>
    <i r="1">
      <x v="36"/>
    </i>
    <i r="1">
      <x v="3"/>
    </i>
    <i r="1">
      <x v="1"/>
    </i>
    <i r="1">
      <x v="19"/>
    </i>
    <i r="1">
      <x v="28"/>
    </i>
    <i r="1">
      <x v="37"/>
    </i>
    <i r="1">
      <x v="16"/>
    </i>
    <i r="1">
      <x v="45"/>
    </i>
    <i r="1">
      <x v="20"/>
    </i>
    <i r="1">
      <x v="76"/>
    </i>
    <i r="1">
      <x v="68"/>
    </i>
    <i r="1">
      <x v="21"/>
    </i>
    <i r="1">
      <x v="51"/>
    </i>
    <i r="1">
      <x v="84"/>
    </i>
    <i r="1">
      <x v="11"/>
    </i>
    <i r="1">
      <x v="31"/>
    </i>
    <i r="1">
      <x v="8"/>
    </i>
    <i r="1">
      <x v="7"/>
    </i>
    <i r="1">
      <x v="35"/>
    </i>
    <i r="1">
      <x v="25"/>
    </i>
    <i r="1">
      <x v="34"/>
    </i>
    <i r="1">
      <x v="70"/>
    </i>
    <i r="1">
      <x v="17"/>
    </i>
    <i r="1">
      <x v="2"/>
    </i>
    <i r="1">
      <x v="46"/>
    </i>
    <i r="1">
      <x v="54"/>
    </i>
    <i r="1">
      <x v="73"/>
    </i>
    <i r="1">
      <x v="43"/>
    </i>
    <i r="1">
      <x v="15"/>
    </i>
    <i r="1">
      <x v="38"/>
    </i>
    <i r="1">
      <x v="61"/>
    </i>
    <i r="1">
      <x v="72"/>
    </i>
    <i r="1">
      <x v="65"/>
    </i>
    <i r="1">
      <x v="42"/>
    </i>
    <i r="1">
      <x v="24"/>
    </i>
    <i r="1">
      <x/>
    </i>
    <i r="1">
      <x v="44"/>
    </i>
    <i r="1">
      <x v="27"/>
    </i>
    <i r="1">
      <x v="50"/>
    </i>
    <i r="1">
      <x v="30"/>
    </i>
    <i r="1">
      <x v="86"/>
    </i>
    <i r="1">
      <x v="13"/>
    </i>
    <i r="1">
      <x v="60"/>
    </i>
  </rowItems>
  <colItems count="1">
    <i/>
  </colItems>
  <dataFields count="1">
    <dataField name="Sum of GrossRevenue" fld="25" baseField="0" baseItem="0"/>
  </dataFields>
  <formats count="21">
    <format dxfId="139">
      <pivotArea type="all" dataOnly="0" outline="0" fieldPosition="0"/>
    </format>
    <format dxfId="138">
      <pivotArea outline="0" collapsedLevelsAreSubtotals="1" fieldPosition="0"/>
    </format>
    <format dxfId="137">
      <pivotArea field="17" type="button" dataOnly="0" labelOnly="1" outline="0" axis="axisRow" fieldPosition="0"/>
    </format>
    <format dxfId="136">
      <pivotArea dataOnly="0" labelOnly="1" fieldPosition="0">
        <references count="1">
          <reference field="17" count="0"/>
        </references>
      </pivotArea>
    </format>
    <format dxfId="135">
      <pivotArea dataOnly="0" labelOnly="1" grandRow="1" outline="0" fieldPosition="0"/>
    </format>
    <format dxfId="134">
      <pivotArea dataOnly="0" labelOnly="1" fieldPosition="0">
        <references count="2">
          <reference field="17" count="1" selected="0">
            <x v="0"/>
          </reference>
          <reference field="1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3">
      <pivotArea dataOnly="0" labelOnly="1" fieldPosition="0">
        <references count="2">
          <reference field="17" count="1" selected="0">
            <x v="0"/>
          </reference>
          <reference field="18"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132">
      <pivotArea dataOnly="0" labelOnly="1" fieldPosition="0">
        <references count="2">
          <reference field="17" count="1" selected="0">
            <x v="1"/>
          </reference>
          <reference field="18" count="50">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reference>
        </references>
      </pivotArea>
    </format>
    <format dxfId="131">
      <pivotArea dataOnly="0" labelOnly="1" fieldPosition="0">
        <references count="2">
          <reference field="17" count="1" selected="0">
            <x v="1"/>
          </reference>
          <reference field="18" count="40">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dxfId="130">
      <pivotArea dataOnly="0" labelOnly="1" fieldPosition="0">
        <references count="2">
          <reference field="17" count="1" selected="0">
            <x v="2"/>
          </reference>
          <reference field="18" count="50">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reference>
        </references>
      </pivotArea>
    </format>
    <format dxfId="129">
      <pivotArea dataOnly="0" labelOnly="1" fieldPosition="0">
        <references count="2">
          <reference field="17" count="1" selected="0">
            <x v="2"/>
          </reference>
          <reference field="18" count="31">
            <x v="227"/>
            <x v="228"/>
            <x v="229"/>
            <x v="230"/>
            <x v="231"/>
            <x v="232"/>
            <x v="233"/>
            <x v="234"/>
            <x v="235"/>
            <x v="236"/>
            <x v="237"/>
            <x v="238"/>
            <x v="239"/>
            <x v="240"/>
            <x v="241"/>
            <x v="242"/>
            <x v="243"/>
            <x v="244"/>
            <x v="245"/>
            <x v="246"/>
            <x v="247"/>
            <x v="248"/>
            <x v="249"/>
            <x v="250"/>
            <x v="251"/>
            <x v="252"/>
            <x v="253"/>
            <x v="254"/>
            <x v="255"/>
            <x v="256"/>
            <x v="257"/>
          </reference>
        </references>
      </pivotArea>
    </format>
    <format dxfId="128">
      <pivotArea dataOnly="0" labelOnly="1" fieldPosition="0">
        <references count="2">
          <reference field="17" count="1" selected="0">
            <x v="3"/>
          </reference>
          <reference field="18" count="50">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reference>
        </references>
      </pivotArea>
    </format>
    <format dxfId="127">
      <pivotArea dataOnly="0" labelOnly="1" fieldPosition="0">
        <references count="2">
          <reference field="17" count="1" selected="0">
            <x v="3"/>
          </reference>
          <reference field="18" count="44">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reference>
        </references>
      </pivotArea>
    </format>
    <format dxfId="126">
      <pivotArea dataOnly="0" labelOnly="1" fieldPosition="0">
        <references count="2">
          <reference field="17" count="1" selected="0">
            <x v="4"/>
          </reference>
          <reference field="18" count="50">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reference>
        </references>
      </pivotArea>
    </format>
    <format dxfId="125">
      <pivotArea dataOnly="0" labelOnly="1" fieldPosition="0">
        <references count="2">
          <reference field="17" count="1" selected="0">
            <x v="4"/>
          </reference>
          <reference field="18" count="36">
            <x v="402"/>
            <x v="403"/>
            <x v="404"/>
            <x v="405"/>
            <x v="406"/>
            <x v="407"/>
            <x v="408"/>
            <x v="409"/>
            <x v="410"/>
            <x v="411"/>
            <x v="412"/>
            <x v="413"/>
            <x v="414"/>
            <x v="415"/>
            <x v="416"/>
            <x v="417"/>
            <x v="418"/>
            <x v="419"/>
            <x v="420"/>
            <x v="421"/>
            <x v="422"/>
            <x v="423"/>
            <x v="424"/>
            <x v="425"/>
            <x v="426"/>
            <x v="427"/>
            <x v="428"/>
            <x v="429"/>
            <x v="430"/>
            <x v="431"/>
            <x v="432"/>
            <x v="433"/>
            <x v="434"/>
            <x v="435"/>
            <x v="436"/>
            <x v="437"/>
          </reference>
        </references>
      </pivotArea>
    </format>
    <format dxfId="124">
      <pivotArea dataOnly="0" labelOnly="1" fieldPosition="0">
        <references count="2">
          <reference field="17" count="1" selected="0">
            <x v="5"/>
          </reference>
          <reference field="18" count="50">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reference>
        </references>
      </pivotArea>
    </format>
    <format dxfId="123">
      <pivotArea dataOnly="0" labelOnly="1" fieldPosition="0">
        <references count="2">
          <reference field="17" count="1" selected="0">
            <x v="5"/>
          </reference>
          <reference field="18" count="38">
            <x v="488"/>
            <x v="489"/>
            <x v="490"/>
            <x v="491"/>
            <x v="492"/>
            <x v="493"/>
            <x v="494"/>
            <x v="495"/>
            <x v="496"/>
            <x v="497"/>
            <x v="498"/>
            <x v="499"/>
            <x v="500"/>
            <x v="501"/>
            <x v="502"/>
            <x v="503"/>
            <x v="504"/>
            <x v="505"/>
            <x v="506"/>
            <x v="507"/>
            <x v="508"/>
            <x v="509"/>
            <x v="510"/>
            <x v="511"/>
            <x v="512"/>
            <x v="513"/>
            <x v="514"/>
            <x v="515"/>
            <x v="516"/>
            <x v="517"/>
            <x v="518"/>
            <x v="519"/>
            <x v="520"/>
            <x v="521"/>
            <x v="522"/>
            <x v="523"/>
            <x v="524"/>
            <x v="525"/>
          </reference>
        </references>
      </pivotArea>
    </format>
    <format dxfId="122">
      <pivotArea dataOnly="0" labelOnly="1" fieldPosition="0">
        <references count="2">
          <reference field="17" count="1" selected="0">
            <x v="6"/>
          </reference>
          <reference field="18" count="50">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reference>
        </references>
      </pivotArea>
    </format>
    <format dxfId="121">
      <pivotArea dataOnly="0" labelOnly="1" fieldPosition="0">
        <references count="2">
          <reference field="17" count="1" selected="0">
            <x v="6"/>
          </reference>
          <reference field="18" count="50">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reference>
        </references>
      </pivotArea>
    </format>
    <format dxfId="120">
      <pivotArea dataOnly="0" labelOnly="1" fieldPosition="0">
        <references count="2">
          <reference field="17" count="1" selected="0">
            <x v="6"/>
          </reference>
          <reference field="18" count="3">
            <x v="626"/>
            <x v="627"/>
            <x v="628"/>
          </reference>
        </references>
      </pivotArea>
    </format>
    <format dxfId="1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BA3B9A-C368-462B-926F-0B0229AA8015}" name="PivotTable67" cacheId="2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7:D172" firstHeaderRow="0" firstDataRow="1" firstDataCol="2"/>
  <pivotFields count="41">
    <pivotField dataField="1" compact="0" outline="0" showAll="0" defaultSubtotal="0"/>
    <pivotField compact="0" numFmtId="14" outline="0" showAll="0" defaultSubtotal="0">
      <items count="468">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s>
    </pivotField>
    <pivotField compact="0" numFmtId="17" outline="0" showAll="0" defaultSubtotal="0">
      <items count="33">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s>
    </pivotField>
    <pivotField compact="0" numFmtId="17" outline="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numFmtId="1" outline="0" showAll="0" defaultSubtotal="0"/>
    <pivotField compact="0" numFmtId="1" outline="0" showAll="0" defaultSubtotal="0"/>
    <pivotField compact="0" numFmtId="1" outline="0" showAll="0" defaultSubtotal="0"/>
    <pivotField axis="axisRow" compact="0" outline="0" showAll="0" defaultSubtotal="0">
      <items count="4">
        <item x="0"/>
        <item x="2"/>
        <item x="1"/>
        <item x="3"/>
      </items>
    </pivotField>
    <pivotField compact="0" outline="0" showAll="0" defaultSubtotal="0">
      <items count="12">
        <item x="5"/>
        <item x="3"/>
        <item x="9"/>
        <item x="7"/>
        <item x="6"/>
        <item x="4"/>
        <item x="2"/>
        <item x="0"/>
        <item x="1"/>
        <item x="11"/>
        <item x="8"/>
        <item x="10"/>
      </items>
    </pivotField>
    <pivotField compact="0" outline="0" showAll="0" defaultSubtotal="0"/>
    <pivotField compact="0" outline="0" showAll="0" defaultSubtotal="0"/>
    <pivotField compact="0" outline="0" showAll="0" defaultSubtotal="0">
      <items count="6">
        <item x="4"/>
        <item x="3"/>
        <item x="2"/>
        <item x="5"/>
        <item x="1"/>
        <item x="0"/>
      </items>
    </pivotField>
    <pivotField axis="axisRow" compact="0" outline="0" showAll="0" defaultSubtotal="0">
      <items count="16">
        <item x="8"/>
        <item x="5"/>
        <item x="0"/>
        <item x="14"/>
        <item x="6"/>
        <item x="9"/>
        <item x="3"/>
        <item x="10"/>
        <item x="2"/>
        <item x="1"/>
        <item x="11"/>
        <item x="4"/>
        <item x="12"/>
        <item x="13"/>
        <item x="7"/>
        <item x="15"/>
      </items>
    </pivotField>
    <pivotField compact="0" outline="0" showAll="0" defaultSubtotal="0">
      <items count="7">
        <item x="6"/>
        <item x="0"/>
        <item x="4"/>
        <item x="5"/>
        <item x="2"/>
        <item x="3"/>
        <item x="1"/>
      </items>
    </pivotField>
    <pivotField compact="0"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dataField="1" compact="0" numFmtId="1"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0"/>
        <item x="1"/>
        <item x="2"/>
        <item x="3"/>
        <item x="4"/>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showAll="0" defaultSubtotal="0"/>
    <pivotField compact="0" outline="0" showAll="0" defaultSubtotal="0"/>
    <pivotField compact="0" outline="0" showAll="0" defaultSubtotal="0">
      <items count="5">
        <item x="0"/>
        <item x="1"/>
        <item x="2"/>
        <item x="3"/>
        <item x="4"/>
      </items>
    </pivotField>
  </pivotFields>
  <rowFields count="2">
    <field x="11"/>
    <field x="16"/>
  </rowFields>
  <rowItems count="65">
    <i>
      <x/>
      <x/>
    </i>
    <i r="1">
      <x v="1"/>
    </i>
    <i r="1">
      <x v="2"/>
    </i>
    <i r="1">
      <x v="3"/>
    </i>
    <i r="1">
      <x v="4"/>
    </i>
    <i r="1">
      <x v="5"/>
    </i>
    <i r="1">
      <x v="6"/>
    </i>
    <i r="1">
      <x v="7"/>
    </i>
    <i r="1">
      <x v="8"/>
    </i>
    <i r="1">
      <x v="9"/>
    </i>
    <i r="1">
      <x v="10"/>
    </i>
    <i r="1">
      <x v="11"/>
    </i>
    <i r="1">
      <x v="12"/>
    </i>
    <i r="1">
      <x v="13"/>
    </i>
    <i r="1">
      <x v="14"/>
    </i>
    <i r="1">
      <x v="15"/>
    </i>
    <i>
      <x v="1"/>
      <x/>
    </i>
    <i r="1">
      <x v="1"/>
    </i>
    <i r="1">
      <x v="2"/>
    </i>
    <i r="1">
      <x v="3"/>
    </i>
    <i r="1">
      <x v="4"/>
    </i>
    <i r="1">
      <x v="5"/>
    </i>
    <i r="1">
      <x v="6"/>
    </i>
    <i r="1">
      <x v="7"/>
    </i>
    <i r="1">
      <x v="8"/>
    </i>
    <i r="1">
      <x v="9"/>
    </i>
    <i r="1">
      <x v="10"/>
    </i>
    <i r="1">
      <x v="11"/>
    </i>
    <i r="1">
      <x v="12"/>
    </i>
    <i r="1">
      <x v="13"/>
    </i>
    <i r="1">
      <x v="14"/>
    </i>
    <i r="1">
      <x v="15"/>
    </i>
    <i>
      <x v="2"/>
      <x/>
    </i>
    <i r="1">
      <x v="1"/>
    </i>
    <i r="1">
      <x v="2"/>
    </i>
    <i r="1">
      <x v="3"/>
    </i>
    <i r="1">
      <x v="4"/>
    </i>
    <i r="1">
      <x v="5"/>
    </i>
    <i r="1">
      <x v="6"/>
    </i>
    <i r="1">
      <x v="7"/>
    </i>
    <i r="1">
      <x v="8"/>
    </i>
    <i r="1">
      <x v="9"/>
    </i>
    <i r="1">
      <x v="10"/>
    </i>
    <i r="1">
      <x v="11"/>
    </i>
    <i r="1">
      <x v="12"/>
    </i>
    <i r="1">
      <x v="13"/>
    </i>
    <i r="1">
      <x v="14"/>
    </i>
    <i r="1">
      <x v="15"/>
    </i>
    <i>
      <x v="3"/>
      <x/>
    </i>
    <i r="1">
      <x v="1"/>
    </i>
    <i r="1">
      <x v="2"/>
    </i>
    <i r="1">
      <x v="3"/>
    </i>
    <i r="1">
      <x v="4"/>
    </i>
    <i r="1">
      <x v="5"/>
    </i>
    <i r="1">
      <x v="6"/>
    </i>
    <i r="1">
      <x v="7"/>
    </i>
    <i r="1">
      <x v="8"/>
    </i>
    <i r="1">
      <x v="9"/>
    </i>
    <i r="1">
      <x v="10"/>
    </i>
    <i r="1">
      <x v="11"/>
    </i>
    <i r="1">
      <x v="12"/>
    </i>
    <i r="1">
      <x v="13"/>
    </i>
    <i r="1">
      <x v="14"/>
    </i>
    <i r="1">
      <x v="15"/>
    </i>
    <i t="grand">
      <x/>
    </i>
  </rowItems>
  <colFields count="1">
    <field x="-2"/>
  </colFields>
  <colItems count="2">
    <i>
      <x/>
    </i>
    <i i="1">
      <x v="1"/>
    </i>
  </colItems>
  <dataFields count="2">
    <dataField name="Total Orders" fld="0" subtotal="count" baseField="11" baseItem="0"/>
    <dataField name="Sum of High Discount Flag" fld="23" baseField="0" baseItem="0" numFmtId="1"/>
  </dataFields>
  <formats count="10">
    <format dxfId="11">
      <pivotArea type="all" dataOnly="0" outline="0" fieldPosition="0"/>
    </format>
    <format dxfId="12">
      <pivotArea outline="0" collapsedLevelsAreSubtotals="1" fieldPosition="0"/>
    </format>
    <format dxfId="13">
      <pivotArea field="11" type="button" dataOnly="0" labelOnly="1" outline="0" axis="axisRow" fieldPosition="0"/>
    </format>
    <format dxfId="14">
      <pivotArea dataOnly="0" labelOnly="1" fieldPosition="0">
        <references count="1">
          <reference field="11" count="0"/>
        </references>
      </pivotArea>
    </format>
    <format dxfId="15">
      <pivotArea dataOnly="0" labelOnly="1" grandRow="1" outline="0" fieldPosition="0"/>
    </format>
    <format dxfId="16">
      <pivotArea dataOnly="0" labelOnly="1" fieldPosition="0">
        <references count="2">
          <reference field="11" count="1" selected="0">
            <x v="0"/>
          </reference>
          <reference field="16" count="0"/>
        </references>
      </pivotArea>
    </format>
    <format dxfId="17">
      <pivotArea dataOnly="0" labelOnly="1" fieldPosition="0">
        <references count="2">
          <reference field="11" count="1" selected="0">
            <x v="1"/>
          </reference>
          <reference field="16" count="0"/>
        </references>
      </pivotArea>
    </format>
    <format dxfId="18">
      <pivotArea dataOnly="0" labelOnly="1" fieldPosition="0">
        <references count="2">
          <reference field="11" count="1" selected="0">
            <x v="2"/>
          </reference>
          <reference field="16" count="0"/>
        </references>
      </pivotArea>
    </format>
    <format dxfId="19">
      <pivotArea dataOnly="0" labelOnly="1" fieldPosition="0">
        <references count="2">
          <reference field="11" count="1" selected="0">
            <x v="3"/>
          </reference>
          <reference field="16" count="0"/>
        </references>
      </pivotArea>
    </format>
    <format dxfId="2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8E442E-BED7-4C6C-BAE1-030209F539FC}" name="PivotTable34" cacheId="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B57" firstHeaderRow="0" firstDataRow="1" firstDataCol="0"/>
  <pivotFields count="41">
    <pivotField dataField="1"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7" showAll="0">
      <items count="34">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 t="default"/>
      </items>
    </pivotField>
    <pivotField numFmtId="17" showAll="0"/>
    <pivotField showAll="0"/>
    <pivotField showAll="0"/>
    <pivotField numFmtId="14" showAll="0"/>
    <pivotField numFmtId="14" showAll="0"/>
    <pivotField numFmtId="1" showAll="0"/>
    <pivotField numFmtId="1"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2" showAll="0"/>
    <pivotField numFmtId="1" showAll="0"/>
    <pivotField numFmtId="1"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Count of OrderID" fld="0" subtotal="count" baseField="0" baseItem="0"/>
    <dataField name="Sum of GrossRevenue" fld="25" baseField="0" baseItem="0"/>
  </dataFields>
  <formats count="3">
    <format dxfId="142">
      <pivotArea type="all" dataOnly="0" outline="0" fieldPosition="0"/>
    </format>
    <format dxfId="141">
      <pivotArea outline="0" collapsedLevelsAreSubtotals="1" fieldPosition="0"/>
    </format>
    <format dxfId="14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8AADB2-8E96-4EC5-81CF-8C96411070E6}" name="PivotTable33" cacheId="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42" firstHeaderRow="1" firstDataRow="1" firstDataCol="1"/>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7" showAll="0">
      <items count="34">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 t="default"/>
      </items>
    </pivotField>
    <pivotField numFmtId="17" showAll="0"/>
    <pivotField showAll="0"/>
    <pivotField showAll="0"/>
    <pivotField numFmtId="14" showAll="0"/>
    <pivotField numFmtId="14" showAll="0"/>
    <pivotField numFmtId="1" showAll="0"/>
    <pivotField numFmtId="1"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2" showAll="0"/>
    <pivotField numFmtId="1" showAll="0"/>
    <pivotField numFmtId="1"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Row" numFmtId="165" showAll="0">
      <items count="6">
        <item sd="0" x="0"/>
        <item x="1"/>
        <item x="2"/>
        <item x="3"/>
        <item sd="0" x="4"/>
        <item t="default"/>
      </items>
    </pivotField>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34"/>
    <field x="32"/>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Sum of GrossRevenue" fld="25" baseField="0" baseItem="0"/>
  </dataFields>
  <formats count="4">
    <format dxfId="115">
      <pivotArea type="all" dataOnly="0" outline="0" fieldPosition="0"/>
    </format>
    <format dxfId="116">
      <pivotArea outline="0" collapsedLevelsAreSubtotals="1" fieldPosition="0"/>
    </format>
    <format dxfId="117">
      <pivotArea dataOnly="0" labelOnly="1" grandRow="1" outline="0" fieldPosition="0"/>
    </format>
    <format dxfId="1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833505-B262-4BF1-93B2-244E814C109E}" name="PivotTable58" cacheId="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9:B100" firstHeaderRow="1" firstDataRow="1" firstDataCol="1"/>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7" showAll="0">
      <items count="34">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 t="default"/>
      </items>
    </pivotField>
    <pivotField numFmtId="17" showAll="0"/>
    <pivotField showAll="0"/>
    <pivotField showAll="0"/>
    <pivotField numFmtId="14" showAll="0"/>
    <pivotField numFmtId="14" showAll="0"/>
    <pivotField numFmtId="1" showAll="0"/>
    <pivotField numFmtId="1"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axis="axisRow" showAll="0" measureFilter="1" sortType="ascending">
      <items count="630">
        <item x="139"/>
        <item x="620"/>
        <item x="332"/>
        <item x="414"/>
        <item x="339"/>
        <item x="393"/>
        <item x="440"/>
        <item x="292"/>
        <item x="490"/>
        <item x="586"/>
        <item x="206"/>
        <item x="14"/>
        <item x="477"/>
        <item x="58"/>
        <item x="260"/>
        <item x="59"/>
        <item x="324"/>
        <item x="103"/>
        <item x="170"/>
        <item x="70"/>
        <item x="496"/>
        <item x="415"/>
        <item x="311"/>
        <item x="318"/>
        <item x="488"/>
        <item x="331"/>
        <item x="354"/>
        <item x="515"/>
        <item x="185"/>
        <item x="544"/>
        <item x="220"/>
        <item x="258"/>
        <item x="449"/>
        <item x="520"/>
        <item x="575"/>
        <item x="269"/>
        <item x="22"/>
        <item x="158"/>
        <item x="131"/>
        <item x="154"/>
        <item x="289"/>
        <item x="76"/>
        <item x="113"/>
        <item x="568"/>
        <item x="617"/>
        <item x="587"/>
        <item x="226"/>
        <item x="551"/>
        <item x="550"/>
        <item x="97"/>
        <item x="459"/>
        <item x="213"/>
        <item x="351"/>
        <item x="298"/>
        <item x="57"/>
        <item x="287"/>
        <item x="50"/>
        <item x="147"/>
        <item x="436"/>
        <item x="345"/>
        <item x="180"/>
        <item x="357"/>
        <item x="142"/>
        <item x="492"/>
        <item x="556"/>
        <item x="464"/>
        <item x="603"/>
        <item x="359"/>
        <item x="591"/>
        <item x="10"/>
        <item x="276"/>
        <item x="18"/>
        <item x="337"/>
        <item x="540"/>
        <item x="291"/>
        <item x="453"/>
        <item x="25"/>
        <item x="208"/>
        <item x="93"/>
        <item x="66"/>
        <item x="77"/>
        <item x="553"/>
        <item x="535"/>
        <item x="305"/>
        <item x="182"/>
        <item x="407"/>
        <item x="109"/>
        <item x="75"/>
        <item x="169"/>
        <item x="512"/>
        <item x="470"/>
        <item x="578"/>
        <item x="606"/>
        <item x="623"/>
        <item x="34"/>
        <item x="172"/>
        <item x="626"/>
        <item x="400"/>
        <item x="126"/>
        <item x="390"/>
        <item x="124"/>
        <item x="483"/>
        <item x="522"/>
        <item x="376"/>
        <item x="24"/>
        <item x="87"/>
        <item x="82"/>
        <item x="323"/>
        <item x="509"/>
        <item x="366"/>
        <item x="457"/>
        <item x="12"/>
        <item x="136"/>
        <item x="9"/>
        <item x="293"/>
        <item x="157"/>
        <item x="463"/>
        <item x="209"/>
        <item x="314"/>
        <item x="466"/>
        <item x="85"/>
        <item x="161"/>
        <item x="259"/>
        <item x="347"/>
        <item x="255"/>
        <item x="572"/>
        <item x="219"/>
        <item x="616"/>
        <item x="593"/>
        <item x="325"/>
        <item x="74"/>
        <item x="171"/>
        <item x="588"/>
        <item x="489"/>
        <item x="517"/>
        <item x="462"/>
        <item x="78"/>
        <item x="518"/>
        <item x="563"/>
        <item x="44"/>
        <item x="127"/>
        <item x="125"/>
        <item x="110"/>
        <item x="567"/>
        <item x="503"/>
        <item x="458"/>
        <item x="450"/>
        <item x="396"/>
        <item x="30"/>
        <item x="229"/>
        <item x="61"/>
        <item x="364"/>
        <item x="221"/>
        <item x="205"/>
        <item x="69"/>
        <item x="249"/>
        <item x="36"/>
        <item x="60"/>
        <item x="105"/>
        <item x="510"/>
        <item x="101"/>
        <item x="86"/>
        <item x="233"/>
        <item x="0"/>
        <item x="37"/>
        <item x="392"/>
        <item x="435"/>
        <item x="402"/>
        <item x="288"/>
        <item x="475"/>
        <item x="236"/>
        <item x="584"/>
        <item x="177"/>
        <item x="299"/>
        <item x="266"/>
        <item x="558"/>
        <item x="322"/>
        <item x="474"/>
        <item x="476"/>
        <item x="532"/>
        <item x="166"/>
        <item x="145"/>
        <item x="294"/>
        <item x="15"/>
        <item x="526"/>
        <item x="444"/>
        <item x="581"/>
        <item x="538"/>
        <item x="348"/>
        <item x="119"/>
        <item x="278"/>
        <item x="245"/>
        <item x="383"/>
        <item x="238"/>
        <item x="369"/>
        <item x="628"/>
        <item x="480"/>
        <item x="146"/>
        <item x="19"/>
        <item x="64"/>
        <item x="263"/>
        <item x="506"/>
        <item x="570"/>
        <item x="344"/>
        <item x="99"/>
        <item x="53"/>
        <item x="361"/>
        <item x="513"/>
        <item x="580"/>
        <item x="71"/>
        <item x="308"/>
        <item x="303"/>
        <item x="541"/>
        <item x="241"/>
        <item x="456"/>
        <item x="602"/>
        <item x="23"/>
        <item x="254"/>
        <item x="507"/>
        <item x="104"/>
        <item x="189"/>
        <item x="562"/>
        <item x="386"/>
        <item x="250"/>
        <item x="151"/>
        <item x="519"/>
        <item x="592"/>
        <item x="367"/>
        <item x="56"/>
        <item x="408"/>
        <item x="274"/>
        <item x="173"/>
        <item x="102"/>
        <item x="387"/>
        <item x="533"/>
        <item x="564"/>
        <item x="424"/>
        <item x="52"/>
        <item x="191"/>
        <item x="406"/>
        <item x="117"/>
        <item x="395"/>
        <item x="423"/>
        <item x="72"/>
        <item x="5"/>
        <item x="597"/>
        <item x="429"/>
        <item x="420"/>
        <item x="282"/>
        <item x="328"/>
        <item x="385"/>
        <item x="111"/>
        <item x="223"/>
        <item x="132"/>
        <item x="20"/>
        <item x="401"/>
        <item x="283"/>
        <item x="33"/>
        <item x="338"/>
        <item x="565"/>
        <item x="313"/>
        <item x="270"/>
        <item x="590"/>
        <item x="215"/>
        <item x="186"/>
        <item x="204"/>
        <item x="96"/>
        <item x="403"/>
        <item x="167"/>
        <item x="140"/>
        <item x="68"/>
        <item x="471"/>
        <item x="508"/>
        <item x="216"/>
        <item x="115"/>
        <item x="246"/>
        <item x="596"/>
        <item x="89"/>
        <item x="327"/>
        <item x="248"/>
        <item x="135"/>
        <item x="272"/>
        <item x="426"/>
        <item x="83"/>
        <item x="397"/>
        <item x="121"/>
        <item x="624"/>
        <item x="417"/>
        <item x="614"/>
        <item x="188"/>
        <item x="350"/>
        <item x="548"/>
        <item x="296"/>
        <item x="51"/>
        <item x="251"/>
        <item x="371"/>
        <item x="431"/>
        <item x="498"/>
        <item x="55"/>
        <item x="203"/>
        <item x="455"/>
        <item x="130"/>
        <item x="63"/>
        <item x="232"/>
        <item x="178"/>
        <item x="304"/>
        <item x="446"/>
        <item x="279"/>
        <item x="297"/>
        <item x="183"/>
        <item x="362"/>
        <item x="388"/>
        <item x="560"/>
        <item x="571"/>
        <item x="521"/>
        <item x="546"/>
        <item x="309"/>
        <item x="194"/>
        <item x="165"/>
        <item x="67"/>
        <item x="452"/>
        <item x="8"/>
        <item x="175"/>
        <item x="555"/>
        <item x="445"/>
        <item x="579"/>
        <item x="190"/>
        <item x="168"/>
        <item x="382"/>
        <item x="257"/>
        <item x="210"/>
        <item x="187"/>
        <item x="79"/>
        <item x="609"/>
        <item x="543"/>
        <item x="6"/>
        <item x="271"/>
        <item x="539"/>
        <item x="430"/>
        <item x="184"/>
        <item x="493"/>
        <item x="253"/>
        <item x="88"/>
        <item x="118"/>
        <item x="530"/>
        <item x="163"/>
        <item x="497"/>
        <item x="317"/>
        <item x="394"/>
        <item x="265"/>
        <item x="160"/>
        <item x="40"/>
        <item x="495"/>
        <item x="310"/>
        <item x="494"/>
        <item x="589"/>
        <item x="379"/>
        <item x="41"/>
        <item x="222"/>
        <item x="225"/>
        <item x="301"/>
        <item x="98"/>
        <item x="340"/>
        <item x="73"/>
        <item x="478"/>
        <item x="90"/>
        <item x="45"/>
        <item x="47"/>
        <item x="144"/>
        <item x="256"/>
        <item x="622"/>
        <item x="437"/>
        <item x="561"/>
        <item x="247"/>
        <item x="482"/>
        <item x="576"/>
        <item x="114"/>
        <item x="21"/>
        <item x="398"/>
        <item x="197"/>
        <item x="375"/>
        <item x="574"/>
        <item x="505"/>
        <item x="306"/>
        <item x="573"/>
        <item x="381"/>
        <item x="356"/>
        <item x="316"/>
        <item x="129"/>
        <item x="516"/>
        <item x="112"/>
        <item x="547"/>
        <item x="320"/>
        <item x="619"/>
        <item x="621"/>
        <item x="80"/>
        <item x="321"/>
        <item x="542"/>
        <item x="48"/>
        <item x="461"/>
        <item x="611"/>
        <item x="378"/>
        <item x="275"/>
        <item x="193"/>
        <item x="610"/>
        <item x="465"/>
        <item x="202"/>
        <item x="599"/>
        <item x="502"/>
        <item x="120"/>
        <item x="108"/>
        <item x="534"/>
        <item x="412"/>
        <item x="84"/>
        <item x="549"/>
        <item x="214"/>
        <item x="377"/>
        <item x="155"/>
        <item x="32"/>
        <item x="432"/>
        <item x="501"/>
        <item x="280"/>
        <item x="123"/>
        <item x="618"/>
        <item x="156"/>
        <item x="537"/>
        <item x="613"/>
        <item x="352"/>
        <item x="330"/>
        <item x="261"/>
        <item x="566"/>
        <item x="528"/>
        <item x="343"/>
        <item x="2"/>
        <item x="29"/>
        <item x="434"/>
        <item x="286"/>
        <item x="54"/>
        <item x="419"/>
        <item x="17"/>
        <item x="281"/>
        <item x="346"/>
        <item x="212"/>
        <item x="342"/>
        <item x="28"/>
        <item x="559"/>
        <item x="511"/>
        <item x="201"/>
        <item x="370"/>
        <item x="326"/>
        <item x="107"/>
        <item x="447"/>
        <item x="237"/>
        <item x="481"/>
        <item x="230"/>
        <item x="421"/>
        <item x="133"/>
        <item x="529"/>
        <item x="267"/>
        <item x="425"/>
        <item x="199"/>
        <item x="391"/>
        <item x="91"/>
        <item x="240"/>
        <item x="285"/>
        <item x="262"/>
        <item x="333"/>
        <item x="411"/>
        <item x="439"/>
        <item x="128"/>
        <item x="569"/>
        <item x="3"/>
        <item x="582"/>
        <item x="149"/>
        <item x="65"/>
        <item x="625"/>
        <item x="244"/>
        <item x="31"/>
        <item x="374"/>
        <item x="196"/>
        <item x="302"/>
        <item x="583"/>
        <item x="360"/>
        <item x="162"/>
        <item x="451"/>
        <item x="427"/>
        <item x="405"/>
        <item x="484"/>
        <item x="552"/>
        <item x="315"/>
        <item x="329"/>
        <item x="487"/>
        <item x="454"/>
        <item x="284"/>
        <item x="277"/>
        <item x="27"/>
        <item x="365"/>
        <item x="94"/>
        <item x="11"/>
        <item x="243"/>
        <item x="224"/>
        <item x="604"/>
        <item x="181"/>
        <item x="577"/>
        <item x="335"/>
        <item x="491"/>
        <item x="122"/>
        <item x="373"/>
        <item x="137"/>
        <item x="141"/>
        <item x="531"/>
        <item x="62"/>
        <item x="100"/>
        <item x="418"/>
        <item x="410"/>
        <item x="504"/>
        <item x="235"/>
        <item x="433"/>
        <item x="106"/>
        <item x="499"/>
        <item x="627"/>
        <item x="159"/>
        <item x="319"/>
        <item x="472"/>
        <item x="585"/>
        <item x="195"/>
        <item x="500"/>
        <item x="334"/>
        <item x="231"/>
        <item x="389"/>
        <item x="473"/>
        <item x="264"/>
        <item x="485"/>
        <item x="49"/>
        <item x="525"/>
        <item x="536"/>
        <item x="409"/>
        <item x="514"/>
        <item x="524"/>
        <item x="438"/>
        <item x="227"/>
        <item x="312"/>
        <item x="448"/>
        <item x="554"/>
        <item x="428"/>
        <item x="46"/>
        <item x="523"/>
        <item x="218"/>
        <item x="252"/>
        <item x="307"/>
        <item x="211"/>
        <item x="42"/>
        <item x="467"/>
        <item x="363"/>
        <item x="368"/>
        <item x="174"/>
        <item x="479"/>
        <item x="164"/>
        <item x="26"/>
        <item x="148"/>
        <item x="143"/>
        <item x="35"/>
        <item x="527"/>
        <item x="594"/>
        <item x="134"/>
        <item x="441"/>
        <item x="341"/>
        <item x="608"/>
        <item x="138"/>
        <item x="192"/>
        <item x="239"/>
        <item x="601"/>
        <item x="176"/>
        <item x="612"/>
        <item x="336"/>
        <item x="242"/>
        <item x="605"/>
        <item x="399"/>
        <item x="217"/>
        <item x="615"/>
        <item x="486"/>
        <item x="416"/>
        <item x="380"/>
        <item x="207"/>
        <item x="600"/>
        <item x="150"/>
        <item x="7"/>
        <item x="422"/>
        <item x="116"/>
        <item x="92"/>
        <item x="300"/>
        <item x="39"/>
        <item x="557"/>
        <item x="358"/>
        <item x="268"/>
        <item x="16"/>
        <item x="460"/>
        <item x="198"/>
        <item x="228"/>
        <item x="469"/>
        <item x="153"/>
        <item x="38"/>
        <item x="349"/>
        <item x="234"/>
        <item x="295"/>
        <item x="443"/>
        <item x="4"/>
        <item x="179"/>
        <item x="152"/>
        <item x="13"/>
        <item x="200"/>
        <item x="372"/>
        <item x="273"/>
        <item x="290"/>
        <item x="384"/>
        <item x="95"/>
        <item x="607"/>
        <item x="1"/>
        <item x="404"/>
        <item x="468"/>
        <item x="355"/>
        <item x="442"/>
        <item x="545"/>
        <item x="81"/>
        <item x="43"/>
        <item x="598"/>
        <item x="595"/>
        <item x="353"/>
        <item x="413"/>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2" showAll="0"/>
    <pivotField numFmtId="1" showAll="0"/>
    <pivotField numFmtId="1"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8"/>
  </rowFields>
  <rowItems count="11">
    <i>
      <x v="402"/>
    </i>
    <i>
      <x v="404"/>
    </i>
    <i>
      <x v="206"/>
    </i>
    <i>
      <x v="116"/>
    </i>
    <i>
      <x v="318"/>
    </i>
    <i>
      <x v="269"/>
    </i>
    <i>
      <x v="322"/>
    </i>
    <i>
      <x v="247"/>
    </i>
    <i>
      <x v="367"/>
    </i>
    <i>
      <x v="170"/>
    </i>
    <i t="grand">
      <x/>
    </i>
  </rowItems>
  <colItems count="1">
    <i/>
  </colItems>
  <dataFields count="1">
    <dataField name="Sum of GrossRevenue" fld="25" baseField="0" baseItem="0"/>
  </dataFields>
  <formats count="27">
    <format dxfId="169">
      <pivotArea type="all" dataOnly="0" outline="0" fieldPosition="0"/>
    </format>
    <format dxfId="168">
      <pivotArea outline="0" collapsedLevelsAreSubtotals="1" fieldPosition="0"/>
    </format>
    <format dxfId="167">
      <pivotArea field="18" type="button" dataOnly="0" labelOnly="1" outline="0" axis="axisRow" fieldPosition="0"/>
    </format>
    <format dxfId="166">
      <pivotArea dataOnly="0" labelOnly="1" fieldPosition="0">
        <references count="1">
          <reference field="1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5">
      <pivotArea dataOnly="0" labelOnly="1" fieldPosition="0">
        <references count="1">
          <reference field="1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64">
      <pivotArea dataOnly="0" labelOnly="1" fieldPosition="0">
        <references count="1">
          <reference field="1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63">
      <pivotArea dataOnly="0" labelOnly="1" fieldPosition="0">
        <references count="1">
          <reference field="18"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62">
      <pivotArea dataOnly="0" labelOnly="1" fieldPosition="0">
        <references count="1">
          <reference field="18"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61">
      <pivotArea dataOnly="0" labelOnly="1" fieldPosition="0">
        <references count="1">
          <reference field="18"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60">
      <pivotArea dataOnly="0" labelOnly="1" fieldPosition="0">
        <references count="1">
          <reference field="18"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59">
      <pivotArea dataOnly="0" labelOnly="1" fieldPosition="0">
        <references count="1">
          <reference field="18"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58">
      <pivotArea dataOnly="0" labelOnly="1" fieldPosition="0">
        <references count="1">
          <reference field="18"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57">
      <pivotArea dataOnly="0" labelOnly="1" fieldPosition="0">
        <references count="1">
          <reference field="18"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56">
      <pivotArea dataOnly="0" labelOnly="1" fieldPosition="0">
        <references count="1">
          <reference field="18"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55">
      <pivotArea dataOnly="0" labelOnly="1" fieldPosition="0">
        <references count="1">
          <reference field="18"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54">
      <pivotArea dataOnly="0" labelOnly="1" fieldPosition="0">
        <references count="1">
          <reference field="18" count="29">
            <x v="600"/>
            <x v="601"/>
            <x v="602"/>
            <x v="603"/>
            <x v="604"/>
            <x v="605"/>
            <x v="606"/>
            <x v="607"/>
            <x v="608"/>
            <x v="609"/>
            <x v="610"/>
            <x v="611"/>
            <x v="612"/>
            <x v="613"/>
            <x v="614"/>
            <x v="615"/>
            <x v="616"/>
            <x v="617"/>
            <x v="618"/>
            <x v="619"/>
            <x v="620"/>
            <x v="621"/>
            <x v="622"/>
            <x v="623"/>
            <x v="624"/>
            <x v="625"/>
            <x v="626"/>
            <x v="627"/>
            <x v="628"/>
          </reference>
        </references>
      </pivotArea>
    </format>
    <format dxfId="153">
      <pivotArea dataOnly="0" labelOnly="1" grandRow="1" outline="0" fieldPosition="0"/>
    </format>
    <format dxfId="152">
      <pivotArea dataOnly="0" labelOnly="1" outline="0" axis="axisValues" fieldPosition="0"/>
    </format>
    <format dxfId="151">
      <pivotArea collapsedLevelsAreSubtotals="1" fieldPosition="0">
        <references count="1">
          <reference field="18" count="1">
            <x v="402"/>
          </reference>
        </references>
      </pivotArea>
    </format>
    <format dxfId="150">
      <pivotArea collapsedLevelsAreSubtotals="1" fieldPosition="0">
        <references count="1">
          <reference field="18" count="1">
            <x v="404"/>
          </reference>
        </references>
      </pivotArea>
    </format>
    <format dxfId="149">
      <pivotArea collapsedLevelsAreSubtotals="1" fieldPosition="0">
        <references count="1">
          <reference field="18" count="1">
            <x v="206"/>
          </reference>
        </references>
      </pivotArea>
    </format>
    <format dxfId="148">
      <pivotArea collapsedLevelsAreSubtotals="1" fieldPosition="0">
        <references count="1">
          <reference field="18" count="1">
            <x v="318"/>
          </reference>
        </references>
      </pivotArea>
    </format>
    <format dxfId="147">
      <pivotArea collapsedLevelsAreSubtotals="1" fieldPosition="0">
        <references count="1">
          <reference field="18" count="1">
            <x v="116"/>
          </reference>
        </references>
      </pivotArea>
    </format>
    <format dxfId="146">
      <pivotArea collapsedLevelsAreSubtotals="1" fieldPosition="0">
        <references count="1">
          <reference field="18" count="1">
            <x v="269"/>
          </reference>
        </references>
      </pivotArea>
    </format>
    <format dxfId="145">
      <pivotArea collapsedLevelsAreSubtotals="1" fieldPosition="0">
        <references count="1">
          <reference field="18" count="1">
            <x v="322"/>
          </reference>
        </references>
      </pivotArea>
    </format>
    <format dxfId="144">
      <pivotArea collapsedLevelsAreSubtotals="1" fieldPosition="0">
        <references count="1">
          <reference field="18" count="1">
            <x v="247"/>
          </reference>
        </references>
      </pivotArea>
    </format>
    <format dxfId="143">
      <pivotArea collapsedLevelsAreSubtotals="1" fieldPosition="0">
        <references count="1">
          <reference field="18" count="1">
            <x v="170"/>
          </reference>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17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FE5B90-00A6-44A4-9B23-476179C04B46}" name="PivotTable43" cacheId="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5:H81" firstHeaderRow="1" firstDataRow="2" firstDataCol="1"/>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7" showAll="0">
      <items count="34">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 t="default"/>
      </items>
    </pivotField>
    <pivotField numFmtId="17" showAll="0"/>
    <pivotField showAll="0"/>
    <pivotField showAll="0"/>
    <pivotField numFmtId="14" showAll="0"/>
    <pivotField numFmtId="14" showAll="0"/>
    <pivotField numFmtId="1" showAll="0"/>
    <pivotField numFmtId="1" showAll="0"/>
    <pivotField numFmtId="1"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Col" showAll="0">
      <items count="7">
        <item x="4"/>
        <item x="3"/>
        <item x="2"/>
        <item x="5"/>
        <item x="1"/>
        <item x="0"/>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2" showAll="0"/>
    <pivotField numFmtId="1" showAll="0"/>
    <pivotField numFmtId="1"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Fields count="1">
    <field x="15"/>
  </colFields>
  <colItems count="7">
    <i>
      <x/>
    </i>
    <i>
      <x v="1"/>
    </i>
    <i>
      <x v="2"/>
    </i>
    <i>
      <x v="3"/>
    </i>
    <i>
      <x v="4"/>
    </i>
    <i>
      <x v="5"/>
    </i>
    <i t="grand">
      <x/>
    </i>
  </colItems>
  <dataFields count="1">
    <dataField name="Sum of GrossProfit" fld="27" baseField="0" baseItem="0"/>
  </dataFields>
  <formats count="10">
    <format dxfId="179">
      <pivotArea type="all" dataOnly="0" outline="0" fieldPosition="0"/>
    </format>
    <format dxfId="178">
      <pivotArea outline="0" collapsedLevelsAreSubtotals="1" fieldPosition="0"/>
    </format>
    <format dxfId="177">
      <pivotArea type="origin" dataOnly="0" labelOnly="1" outline="0" fieldPosition="0"/>
    </format>
    <format dxfId="176">
      <pivotArea field="15" type="button" dataOnly="0" labelOnly="1" outline="0" axis="axisCol" fieldPosition="0"/>
    </format>
    <format dxfId="175">
      <pivotArea type="topRight" dataOnly="0" labelOnly="1" outline="0" fieldPosition="0"/>
    </format>
    <format dxfId="174">
      <pivotArea field="11" type="button" dataOnly="0" labelOnly="1" outline="0" axis="axisRow" fieldPosition="0"/>
    </format>
    <format dxfId="173">
      <pivotArea dataOnly="0" labelOnly="1" fieldPosition="0">
        <references count="1">
          <reference field="11" count="0"/>
        </references>
      </pivotArea>
    </format>
    <format dxfId="172">
      <pivotArea dataOnly="0" labelOnly="1" grandRow="1" outline="0" fieldPosition="0"/>
    </format>
    <format dxfId="171">
      <pivotArea dataOnly="0" labelOnly="1" fieldPosition="0">
        <references count="1">
          <reference field="15" count="0"/>
        </references>
      </pivotArea>
    </format>
    <format dxfId="170">
      <pivotArea dataOnly="0" labelOnly="1" grandCol="1" outline="0" fieldPosition="0"/>
    </format>
  </formats>
  <chartFormats count="20">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2">
          <reference field="4294967294" count="1" selected="0">
            <x v="0"/>
          </reference>
          <reference field="15" count="1" selected="0">
            <x v="5"/>
          </reference>
        </references>
      </pivotArea>
    </chartFormat>
    <chartFormat chart="0" format="6">
      <pivotArea type="data" outline="0" fieldPosition="0">
        <references count="3">
          <reference field="4294967294" count="1" selected="0">
            <x v="0"/>
          </reference>
          <reference field="11" count="1" selected="0">
            <x v="1"/>
          </reference>
          <reference field="15" count="1" selected="0">
            <x v="4"/>
          </reference>
        </references>
      </pivotArea>
    </chartFormat>
    <chartFormat chart="0" format="7">
      <pivotArea type="data" outline="0" fieldPosition="0">
        <references count="3">
          <reference field="4294967294" count="1" selected="0">
            <x v="0"/>
          </reference>
          <reference field="11" count="1" selected="0">
            <x v="0"/>
          </reference>
          <reference field="15" count="1" selected="0">
            <x v="4"/>
          </reference>
        </references>
      </pivotArea>
    </chartFormat>
    <chartFormat chart="0" format="8">
      <pivotArea type="data" outline="0" fieldPosition="0">
        <references count="3">
          <reference field="4294967294" count="1" selected="0">
            <x v="0"/>
          </reference>
          <reference field="11" count="1" selected="0">
            <x v="2"/>
          </reference>
          <reference field="15" count="1" selected="0">
            <x v="4"/>
          </reference>
        </references>
      </pivotArea>
    </chartFormat>
    <chartFormat chart="0" format="9">
      <pivotArea type="data" outline="0" fieldPosition="0">
        <references count="3">
          <reference field="4294967294" count="1" selected="0">
            <x v="0"/>
          </reference>
          <reference field="11" count="1" selected="0">
            <x v="3"/>
          </reference>
          <reference field="15" count="1" selected="0">
            <x v="4"/>
          </reference>
        </references>
      </pivotArea>
    </chartFormat>
    <chartFormat chart="2" format="20" series="1">
      <pivotArea type="data" outline="0" fieldPosition="0">
        <references count="2">
          <reference field="4294967294" count="1" selected="0">
            <x v="0"/>
          </reference>
          <reference field="15" count="1" selected="0">
            <x v="0"/>
          </reference>
        </references>
      </pivotArea>
    </chartFormat>
    <chartFormat chart="2" format="21" series="1">
      <pivotArea type="data" outline="0" fieldPosition="0">
        <references count="2">
          <reference field="4294967294" count="1" selected="0">
            <x v="0"/>
          </reference>
          <reference field="15" count="1" selected="0">
            <x v="1"/>
          </reference>
        </references>
      </pivotArea>
    </chartFormat>
    <chartFormat chart="2" format="22" series="1">
      <pivotArea type="data" outline="0" fieldPosition="0">
        <references count="2">
          <reference field="4294967294" count="1" selected="0">
            <x v="0"/>
          </reference>
          <reference field="15" count="1" selected="0">
            <x v="2"/>
          </reference>
        </references>
      </pivotArea>
    </chartFormat>
    <chartFormat chart="2" format="23" series="1">
      <pivotArea type="data" outline="0" fieldPosition="0">
        <references count="2">
          <reference field="4294967294" count="1" selected="0">
            <x v="0"/>
          </reference>
          <reference field="15" count="1" selected="0">
            <x v="3"/>
          </reference>
        </references>
      </pivotArea>
    </chartFormat>
    <chartFormat chart="2" format="24" series="1">
      <pivotArea type="data" outline="0" fieldPosition="0">
        <references count="2">
          <reference field="4294967294" count="1" selected="0">
            <x v="0"/>
          </reference>
          <reference field="15" count="1" selected="0">
            <x v="4"/>
          </reference>
        </references>
      </pivotArea>
    </chartFormat>
    <chartFormat chart="2" format="25">
      <pivotArea type="data" outline="0" fieldPosition="0">
        <references count="3">
          <reference field="4294967294" count="1" selected="0">
            <x v="0"/>
          </reference>
          <reference field="11" count="1" selected="0">
            <x v="0"/>
          </reference>
          <reference field="15" count="1" selected="0">
            <x v="4"/>
          </reference>
        </references>
      </pivotArea>
    </chartFormat>
    <chartFormat chart="2" format="26">
      <pivotArea type="data" outline="0" fieldPosition="0">
        <references count="3">
          <reference field="4294967294" count="1" selected="0">
            <x v="0"/>
          </reference>
          <reference field="11" count="1" selected="0">
            <x v="1"/>
          </reference>
          <reference field="15" count="1" selected="0">
            <x v="4"/>
          </reference>
        </references>
      </pivotArea>
    </chartFormat>
    <chartFormat chart="2" format="27">
      <pivotArea type="data" outline="0" fieldPosition="0">
        <references count="3">
          <reference field="4294967294" count="1" selected="0">
            <x v="0"/>
          </reference>
          <reference field="11" count="1" selected="0">
            <x v="2"/>
          </reference>
          <reference field="15" count="1" selected="0">
            <x v="4"/>
          </reference>
        </references>
      </pivotArea>
    </chartFormat>
    <chartFormat chart="2" format="28">
      <pivotArea type="data" outline="0" fieldPosition="0">
        <references count="3">
          <reference field="4294967294" count="1" selected="0">
            <x v="0"/>
          </reference>
          <reference field="11" count="1" selected="0">
            <x v="3"/>
          </reference>
          <reference field="15" count="1" selected="0">
            <x v="4"/>
          </reference>
        </references>
      </pivotArea>
    </chartFormat>
    <chartFormat chart="2" format="29" series="1">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AFA251-8495-4F23-93EA-0E40EA7BA354}" name="PivotTable37" cacheId="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A71" firstHeaderRow="1" firstDataRow="1" firstDataCol="0"/>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7" showAll="0">
      <items count="34">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 t="default"/>
      </items>
    </pivotField>
    <pivotField numFmtId="17" showAll="0"/>
    <pivotField showAll="0"/>
    <pivotField showAll="0"/>
    <pivotField numFmtId="14" showAll="0"/>
    <pivotField numFmtId="14" showAll="0"/>
    <pivotField numFmtId="1" showAll="0"/>
    <pivotField dataField="1" numFmtId="1"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2" showAll="0"/>
    <pivotField numFmtId="1" showAll="0"/>
    <pivotField numFmtId="1"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On-Time %" fld="9" subtotal="average" baseField="0" baseItem="0" numFmtId="9"/>
  </dataFields>
  <formats count="4">
    <format dxfId="183">
      <pivotArea type="all" dataOnly="0" outline="0" fieldPosition="0"/>
    </format>
    <format dxfId="182">
      <pivotArea outline="0" collapsedLevelsAreSubtotals="1" fieldPosition="0"/>
    </format>
    <format dxfId="181">
      <pivotArea dataOnly="0" labelOnly="1" outline="0" axis="axisValues" fieldPosition="0"/>
    </format>
    <format dxfId="1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EFEC04-94E4-4174-8058-6892DD57C249}" name="PivotTable35" cacheId="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B64" firstHeaderRow="0" firstDataRow="1" firstDataCol="0"/>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7" showAll="0">
      <items count="34">
        <item x="5"/>
        <item x="2"/>
        <item x="22"/>
        <item x="12"/>
        <item x="15"/>
        <item x="23"/>
        <item x="24"/>
        <item x="25"/>
        <item x="27"/>
        <item x="32"/>
        <item x="30"/>
        <item x="4"/>
        <item x="9"/>
        <item x="31"/>
        <item x="0"/>
        <item x="20"/>
        <item x="7"/>
        <item x="17"/>
        <item x="14"/>
        <item x="21"/>
        <item x="29"/>
        <item x="1"/>
        <item x="18"/>
        <item x="6"/>
        <item x="10"/>
        <item x="26"/>
        <item x="3"/>
        <item x="19"/>
        <item x="8"/>
        <item x="16"/>
        <item x="13"/>
        <item x="28"/>
        <item x="11"/>
        <item t="default"/>
      </items>
    </pivotField>
    <pivotField numFmtId="17" showAll="0"/>
    <pivotField showAll="0"/>
    <pivotField showAll="0"/>
    <pivotField numFmtId="14" showAll="0"/>
    <pivotField numFmtId="14" showAll="0"/>
    <pivotField numFmtId="1" showAll="0"/>
    <pivotField numFmtId="1"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2" showAll="0"/>
    <pivotField numFmtId="1" showAll="0"/>
    <pivotField numFmtId="1" showAll="0"/>
    <pivotField dataField="1"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GrossProfit" fld="27" baseField="0" baseItem="0"/>
    <dataField name="Sum of GrossRevenue" fld="25" baseField="0" baseItem="0"/>
  </dataFields>
  <formats count="3">
    <format dxfId="186">
      <pivotArea type="all" dataOnly="0" outline="0" fieldPosition="0"/>
    </format>
    <format dxfId="185">
      <pivotArea outline="0" collapsedLevelsAreSubtotals="1" fieldPosition="0"/>
    </format>
    <format dxfId="18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8598D31-C7E5-469A-B569-756A0EFF8A47}" sourceName="Country">
  <pivotTables>
    <pivotTable tabId="7" name="PivotTable33"/>
    <pivotTable tabId="14" name="PivotTable42"/>
    <pivotTable tabId="13" name="PivotTable40"/>
    <pivotTable tabId="7" name="PivotTable34"/>
    <pivotTable tabId="7" name="PivotTable35"/>
    <pivotTable tabId="7" name="PivotTable37"/>
    <pivotTable tabId="7" name="PivotTable43"/>
    <pivotTable tabId="7" name="PivotTable58"/>
    <pivotTable tabId="7" name="PivotTable67"/>
    <pivotTable tabId="5" name="PivotTable41"/>
    <pivotTable tabId="17" name="PivotTable63"/>
    <pivotTable tabId="17" name="PivotTable64"/>
    <pivotTable tabId="17" name="PivotTable65"/>
  </pivotTables>
  <data>
    <tabular pivotCacheId="291761173">
      <items count="12">
        <i x="5" s="1"/>
        <i x="3" s="1"/>
        <i x="9" s="1"/>
        <i x="7" s="1"/>
        <i x="6" s="1"/>
        <i x="4" s="1"/>
        <i x="2" s="1"/>
        <i x="0" s="1"/>
        <i x="1" s="1"/>
        <i x="11" s="1"/>
        <i x="8"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600570A7-2E5F-47A5-A112-57539C1292CF}" sourceName="Months">
  <pivotTables>
    <pivotTable tabId="7" name="PivotTable33"/>
    <pivotTable tabId="14" name="PivotTable42"/>
    <pivotTable tabId="13" name="PivotTable40"/>
    <pivotTable tabId="7" name="PivotTable34"/>
    <pivotTable tabId="7" name="PivotTable35"/>
    <pivotTable tabId="7" name="PivotTable37"/>
    <pivotTable tabId="7" name="PivotTable43"/>
    <pivotTable tabId="7" name="PivotTable58"/>
    <pivotTable tabId="7" name="PivotTable67"/>
    <pivotTable tabId="5" name="PivotTable41"/>
    <pivotTable tabId="17" name="PivotTable63"/>
    <pivotTable tabId="17" name="PivotTable64"/>
    <pivotTable tabId="17" name="PivotTable65"/>
  </pivotTables>
  <data>
    <tabular pivotCacheId="291761173">
      <items count="33">
        <i x="5" s="1"/>
        <i x="2" s="1"/>
        <i x="22" s="1"/>
        <i x="12" s="1"/>
        <i x="15" s="1"/>
        <i x="23" s="1"/>
        <i x="24" s="1"/>
        <i x="25" s="1"/>
        <i x="27" s="1"/>
        <i x="32" s="1"/>
        <i x="30" s="1"/>
        <i x="4" s="1"/>
        <i x="9" s="1"/>
        <i x="31" s="1"/>
        <i x="0" s="1"/>
        <i x="20" s="1"/>
        <i x="7" s="1"/>
        <i x="17" s="1"/>
        <i x="14" s="1"/>
        <i x="21" s="1"/>
        <i x="29" s="1"/>
        <i x="1" s="1"/>
        <i x="18" s="1"/>
        <i x="6" s="1"/>
        <i x="10" s="1"/>
        <i x="26" s="1"/>
        <i x="3" s="1"/>
        <i x="19" s="1"/>
        <i x="8" s="1"/>
        <i x="16" s="1"/>
        <i x="13" s="1"/>
        <i x="28"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2BB3F36-DE4C-44D6-AC45-98525485871D}" sourceName="Region">
  <pivotTables>
    <pivotTable tabId="7" name="PivotTable33"/>
    <pivotTable tabId="14" name="PivotTable42"/>
    <pivotTable tabId="13" name="PivotTable40"/>
    <pivotTable tabId="7" name="PivotTable34"/>
    <pivotTable tabId="7" name="PivotTable35"/>
    <pivotTable tabId="7" name="PivotTable37"/>
    <pivotTable tabId="7" name="PivotTable43"/>
    <pivotTable tabId="7" name="PivotTable58"/>
    <pivotTable tabId="7" name="PivotTable67"/>
    <pivotTable tabId="5" name="PivotTable41"/>
    <pivotTable tabId="17" name="PivotTable63"/>
    <pivotTable tabId="17" name="PivotTable64"/>
    <pivotTable tabId="17" name="PivotTable65"/>
  </pivotTables>
  <data>
    <tabular pivotCacheId="291761173">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45604AE-9B62-42BB-86E2-811278139DD0}" sourceName="Channel">
  <pivotTables>
    <pivotTable tabId="7" name="PivotTable33"/>
    <pivotTable tabId="14" name="PivotTable42"/>
    <pivotTable tabId="13" name="PivotTable40"/>
    <pivotTable tabId="7" name="PivotTable34"/>
    <pivotTable tabId="7" name="PivotTable35"/>
    <pivotTable tabId="7" name="PivotTable37"/>
    <pivotTable tabId="7" name="PivotTable43"/>
    <pivotTable tabId="7" name="PivotTable58"/>
    <pivotTable tabId="7" name="PivotTable67"/>
    <pivotTable tabId="5" name="PivotTable41"/>
    <pivotTable tabId="17" name="PivotTable63"/>
    <pivotTable tabId="17" name="PivotTable64"/>
    <pivotTable tabId="17" name="PivotTable65"/>
  </pivotTables>
  <data>
    <tabular pivotCacheId="291761173">
      <items count="6">
        <i x="4" s="1"/>
        <i x="3" s="1"/>
        <i x="2" s="1"/>
        <i x="5"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504EFCE-074A-4A9D-87B1-01217241549A}" sourceName="Salesperson">
  <pivotTables>
    <pivotTable tabId="7" name="PivotTable33"/>
    <pivotTable tabId="14" name="PivotTable42"/>
    <pivotTable tabId="13" name="PivotTable40"/>
    <pivotTable tabId="7" name="PivotTable34"/>
    <pivotTable tabId="7" name="PivotTable35"/>
    <pivotTable tabId="7" name="PivotTable37"/>
    <pivotTable tabId="7" name="PivotTable43"/>
    <pivotTable tabId="7" name="PivotTable58"/>
    <pivotTable tabId="7" name="PivotTable67"/>
    <pivotTable tabId="5" name="PivotTable41"/>
    <pivotTable tabId="17" name="PivotTable63"/>
    <pivotTable tabId="17" name="PivotTable64"/>
    <pivotTable tabId="17" name="PivotTable65"/>
  </pivotTables>
  <data>
    <tabular pivotCacheId="291761173">
      <items count="16">
        <i x="8" s="1"/>
        <i x="5" s="1"/>
        <i x="0" s="1"/>
        <i x="14" s="1"/>
        <i x="6" s="1"/>
        <i x="9" s="1"/>
        <i x="3" s="1"/>
        <i x="10" s="1"/>
        <i x="2" s="1"/>
        <i x="1" s="1"/>
        <i x="11" s="1"/>
        <i x="4" s="1"/>
        <i x="12" s="1"/>
        <i x="13" s="1"/>
        <i x="7" s="1"/>
        <i x="1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6DFB5440-0BED-4F6E-A76D-375FE9D66574}" sourceName="ProductCategory">
  <pivotTables>
    <pivotTable tabId="7" name="PivotTable33"/>
    <pivotTable tabId="14" name="PivotTable42"/>
    <pivotTable tabId="13" name="PivotTable40"/>
    <pivotTable tabId="7" name="PivotTable34"/>
    <pivotTable tabId="7" name="PivotTable35"/>
    <pivotTable tabId="7" name="PivotTable37"/>
    <pivotTable tabId="7" name="PivotTable43"/>
    <pivotTable tabId="7" name="PivotTable58"/>
    <pivotTable tabId="7" name="PivotTable67"/>
    <pivotTable tabId="5" name="PivotTable41"/>
    <pivotTable tabId="17" name="PivotTable63"/>
    <pivotTable tabId="17" name="PivotTable64"/>
    <pivotTable tabId="17" name="PivotTable65"/>
  </pivotTables>
  <data>
    <tabular pivotCacheId="291761173">
      <items count="7">
        <i x="6" s="1"/>
        <i x="0" s="1"/>
        <i x="4" s="1"/>
        <i x="5"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B7F4FB8-8A18-4D99-9315-5967D20546F8}" cache="Slicer_Country" caption="Country" columnCount="2" style="Slicer Style 1" rowHeight="234950"/>
  <slicer name="Country 2" xr10:uid="{16C0C7A5-6FEA-4D33-9A5E-C526A3392086}" cache="Slicer_Country" caption="Country" style="Slicer Style 2" rowHeight="234950"/>
  <slicer name="Months" xr10:uid="{43132902-CA15-461A-9365-1EDBC154AEE4}" cache="Slicer_Months" caption="Months" startItem="3" style="Slicer Style 1" rowHeight="234950"/>
  <slicer name="Region 1" xr10:uid="{91B82F1B-CA67-42D6-B56B-293BDFBB9A90}" cache="Slicer_Region1" caption="Region" style="Slicer Style 1" rowHeight="234950"/>
  <slicer name="Channel" xr10:uid="{40B60C3A-540B-4C8D-9D47-6FC53FFA332A}" cache="Slicer_Channel" caption="Channel" style="Slicer Style 1" rowHeight="234950"/>
  <slicer name="Salesperson" xr10:uid="{793F167F-D4F3-4A0D-8A21-BE4CB9C773BF}" cache="Slicer_Salesperson" caption="Salesperson" style="Slicer Style 1" rowHeight="234950"/>
  <slicer name="ProductCategory 1" xr10:uid="{71B199F6-9EE4-433B-A3E2-71B3E0BF312D}" cache="Slicer_ProductCategory1" caption="ProductCategory" startItem="6"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848D62AD-A793-4965-8C32-9B9B9DE202BD}" cache="Slicer_Country" caption="Country" style="Slicer Style 1" rowHeight="234950"/>
  <slicer name="Months 1" xr10:uid="{7EC5BEB4-7276-47C9-BE00-5A5B538A3195}" cache="Slicer_Months" caption="Months" columnCount="2" style="Slicer Style 1" rowHeight="234950"/>
  <slicer name="Region 2" xr10:uid="{F6FB954D-947D-4122-A08E-184BF4E0277E}" cache="Slicer_Region1" caption="Region" style="Slicer Style 1" rowHeight="234950"/>
  <slicer name="Channel 1" xr10:uid="{57025603-2A9D-4937-9427-BBD916F063E3}" cache="Slicer_Channel" caption="Channel" style="Slicer Style 1" rowHeight="234950"/>
  <slicer name="Salesperson 1" xr10:uid="{060195F4-E8B0-4EA3-A94B-D32A51ACBBA0}" cache="Slicer_Salesperson" caption="Salesperson" style="Slicer Style 1" rowHeight="234950"/>
  <slicer name="ProductCategory 2" xr10:uid="{DEFACB02-A7B4-4DE8-A4F7-B317F230C5CA}" cache="Slicer_ProductCategory1" caption="ProductCategory"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7BCDBB-C2AC-4893-A79B-8CFC6494B8A3}" name="Table2" displayName="Table2" ref="A1:AF632" totalsRowShown="0" headerRowDxfId="274" dataDxfId="273" tableBorderDxfId="272">
  <autoFilter ref="A1:AF632" xr:uid="{867BCDBB-C2AC-4893-A79B-8CFC6494B8A3}"/>
  <tableColumns count="32">
    <tableColumn id="1" xr3:uid="{D080D995-AFAF-453F-BA9E-02C158235DA4}" name="OrderID" dataDxfId="271"/>
    <tableColumn id="2" xr3:uid="{6915EE86-915B-4FE8-99A5-6CC58C9DDAB2}" name="OrderDate" dataDxfId="270"/>
    <tableColumn id="36" xr3:uid="{1FE4B1BB-8176-4C15-B767-C30BD4497E4B}" name="Months" dataDxfId="269">
      <calculatedColumnFormula>EOMONTH(Table2[[#This Row],[OrderDate]],-1)+1</calculatedColumnFormula>
    </tableColumn>
    <tableColumn id="33" xr3:uid="{D2A7089B-84FC-4395-AB81-7462ADAF0CF4}" name="FirstPurchase_Month" dataDxfId="268">
      <calculatedColumnFormula>EOMONTH(_xlfn.MINIFS(B2:B632,M2:M632,Table2[[#This Row],[Country]]), -1) + 1</calculatedColumnFormula>
    </tableColumn>
    <tableColumn id="37" xr3:uid="{7BBEC131-930D-4F7B-B9C8-186D0C82BE61}" name="CohortMonthIndex" dataDxfId="83"/>
    <tableColumn id="4" xr3:uid="{B7326925-4BF3-43B1-AB85-7176A1294AC9}" name="Quarter" dataDxfId="82">
      <calculatedColumnFormula>"Q"&amp;ROUNDUP(MONTH(B2)/3,0)&amp;"-"&amp;YEAR(B2)</calculatedColumnFormula>
    </tableColumn>
    <tableColumn id="5" xr3:uid="{D417E300-B7C3-4162-9252-2A8F5870666F}" name="RequiredDate" dataDxfId="267"/>
    <tableColumn id="6" xr3:uid="{04A8DD4F-F1C7-44C0-A35A-E6F90F2C80C6}" name="Corrected Required_Date" dataDxfId="266">
      <calculatedColumnFormula>IF(G2&lt;B2, B2+3, G2)</calculatedColumnFormula>
    </tableColumn>
    <tableColumn id="7" xr3:uid="{37FCEE57-38B6-4F95-933A-BA134D4B124D}" name="LeadTime(Days)" dataDxfId="265">
      <calculatedColumnFormula>H2-B2</calculatedColumnFormula>
    </tableColumn>
    <tableColumn id="31" xr3:uid="{E010A3C2-522E-46CF-A879-F51EFE223864}" name="OnTime" dataDxfId="264">
      <calculatedColumnFormula>IF(I2 &lt;= 7, 1, 0)</calculatedColumnFormula>
    </tableColumn>
    <tableColumn id="8" xr3:uid="{A8A16E30-F984-4CE5-B146-34E66B459605}" name="MeetsSLA" dataDxfId="263">
      <calculatedColumnFormula>IF(I2&lt;=7,1,0)</calculatedColumnFormula>
    </tableColumn>
    <tableColumn id="9" xr3:uid="{C9E9EAA2-4091-4CD0-9C46-2069A8018890}" name="Region" dataDxfId="262"/>
    <tableColumn id="10" xr3:uid="{FF12B9B9-6950-4256-8755-15717619638F}" name="Country" dataDxfId="261"/>
    <tableColumn id="11" xr3:uid="{45BA306E-98D1-4CA6-9A89-26C773F1F675}" name="City" dataDxfId="260"/>
    <tableColumn id="12" xr3:uid="{F97F26A9-5FF4-49DF-A7F9-CC0AEB4617C8}" name="CustomerSegment" dataDxfId="259"/>
    <tableColumn id="13" xr3:uid="{5F24E819-CFD8-4F12-A84C-D88745777D39}" name="Channel" dataDxfId="258"/>
    <tableColumn id="14" xr3:uid="{3D85EDA0-209A-4C3B-97C4-2945CA5D8735}" name="Salesperson" dataDxfId="257"/>
    <tableColumn id="15" xr3:uid="{497275EF-214E-4D66-BC57-AED72E6C7561}" name="ProductCategory" dataDxfId="256"/>
    <tableColumn id="16" xr3:uid="{010B7A29-3302-45B2-9A63-8A8DB9674C3D}" name="SKU" dataDxfId="255"/>
    <tableColumn id="17" xr3:uid="{0778D002-0B78-4E19-94DB-243836677024}" name="UnitCost" dataDxfId="254"/>
    <tableColumn id="19" xr3:uid="{13883B02-E421-4E5C-AA6D-9DEFDEF88079}" name="UnitPrice" dataDxfId="253"/>
    <tableColumn id="20" xr3:uid="{A502C0C8-DBBE-4832-AA79-869A8F0E0D46}" name="Discount" dataDxfId="252">
      <calculatedColumnFormula>IF(W2&gt;0.3,0.3,W2)</calculatedColumnFormula>
    </tableColumn>
    <tableColumn id="21" xr3:uid="{34589989-52C6-4ECF-9478-1AA2C2359368}" name="DiscountPct" dataDxfId="251"/>
    <tableColumn id="30" xr3:uid="{DE994594-C582-4A18-B346-54E201180C2E}" name="High Discount Flag" dataDxfId="80">
      <calculatedColumnFormula>IF(Table2[[#This Row],[DiscountPct]]&gt;0.2,1,0)</calculatedColumnFormula>
    </tableColumn>
    <tableColumn id="22" xr3:uid="{FFE2BE25-1403-4FB6-B7B2-1DBB4CF4F0DA}" name="Quantity" dataDxfId="81"/>
    <tableColumn id="23" xr3:uid="{7D40D593-9793-4BF9-9F93-0B7BC3A5B5BC}" name="GrossRevenue" dataDxfId="250">
      <calculatedColumnFormula>Table2[[#This Row],[UnitPrice]]*Y2*(1-V2)</calculatedColumnFormula>
    </tableColumn>
    <tableColumn id="24" xr3:uid="{CA685BA7-50AA-4FB0-AA35-AB86AE072A4E}" name="CostOfGoods" dataDxfId="249">
      <calculatedColumnFormula>T2*Y2</calculatedColumnFormula>
    </tableColumn>
    <tableColumn id="25" xr3:uid="{E0D013B9-D625-4D33-B899-760185837945}" name="GrossProfit" dataDxfId="248">
      <calculatedColumnFormula>Z2-AA2</calculatedColumnFormula>
    </tableColumn>
    <tableColumn id="26" xr3:uid="{B1B02DB0-9B89-4C3D-836D-FD49BF8B1549}" name="MarginPct" dataDxfId="247">
      <calculatedColumnFormula>IF(Z2=0,0,AB2/Z2)</calculatedColumnFormula>
    </tableColumn>
    <tableColumn id="27" xr3:uid="{C62DCCBB-4E23-4FB6-A705-CDAF0D7E47A4}" name="Low_Medium_Cutoff" dataDxfId="246">
      <calculatedColumnFormula>_xlfn.PERCENTILE.INC(S:S, 0.33)</calculatedColumnFormula>
    </tableColumn>
    <tableColumn id="28" xr3:uid="{8502DCE1-60CA-41B5-8143-CBB15918D92C}" name="Medium_High_Cutoff" dataDxfId="245">
      <calculatedColumnFormula>_xlfn.PERCENTILE.INC(S:S, 0.66)</calculatedColumnFormula>
    </tableColumn>
    <tableColumn id="29" xr3:uid="{25153CBB-2F61-4C6A-BDB6-EA43D97A98A1}" name="PriceBand" dataDxfId="244">
      <calculatedColumnFormula>IF(Z2="","",
   IF(Z2&lt;=AD2,"Low",
      IF(Z2&lt;=AE2,"Medium","High")
   )
)</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F0F0F0"/>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image" Target="../media/image1.pn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image" Target="../media/image1.png"/><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image" Target="../media/image2.png"/><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image" Target="../media/image1.png"/></Relationships>
</file>

<file path=xl/worksheets/_rels/sheet8.xml.rels><?xml version="1.0" encoding="UTF-8" standalone="yes"?>
<Relationships xmlns="http://schemas.openxmlformats.org/package/2006/relationships"><Relationship Id="rId1" Type="http://schemas.openxmlformats.org/officeDocument/2006/relationships/image" Target="../media/image1.png"/></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10" Type="http://schemas.microsoft.com/office/2007/relationships/slicer" Target="../slicers/slicer1.xml"/><Relationship Id="rId4" Type="http://schemas.openxmlformats.org/officeDocument/2006/relationships/pivotTable" Target="../pivotTables/pivotTable13.xml"/><Relationship Id="rId9" Type="http://schemas.openxmlformats.org/officeDocument/2006/relationships/image" Target="../media/image1.png"/></Relationships>
</file>

<file path=xl/worksheets/_rels/sheet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election activeCell="E4" sqref="E4"/>
    </sheetView>
  </sheetViews>
  <sheetFormatPr defaultRowHeight="14.4" x14ac:dyDescent="0.3"/>
  <cols>
    <col min="2" max="3" width="10.33203125" bestFit="1" customWidth="1"/>
    <col min="12" max="15" width="9"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t="s">
        <v>15</v>
      </c>
      <c r="B2" s="3">
        <v>45362</v>
      </c>
      <c r="C2" s="3">
        <v>45388</v>
      </c>
      <c r="D2" s="2" t="s">
        <v>646</v>
      </c>
      <c r="E2" s="2" t="s">
        <v>650</v>
      </c>
      <c r="F2" s="2" t="s">
        <v>662</v>
      </c>
      <c r="G2" s="2" t="s">
        <v>701</v>
      </c>
      <c r="H2" s="2" t="s">
        <v>707</v>
      </c>
      <c r="I2" s="2" t="s">
        <v>712</v>
      </c>
      <c r="J2" s="2" t="s">
        <v>727</v>
      </c>
      <c r="K2" s="2" t="s">
        <v>734</v>
      </c>
      <c r="L2" s="2">
        <v>279.24</v>
      </c>
      <c r="M2" s="2">
        <v>608.9</v>
      </c>
      <c r="N2" s="2">
        <v>0.112</v>
      </c>
      <c r="O2" s="2">
        <v>9</v>
      </c>
    </row>
    <row r="3" spans="1:15" x14ac:dyDescent="0.3">
      <c r="A3" s="2" t="s">
        <v>16</v>
      </c>
      <c r="B3" s="3">
        <v>45588</v>
      </c>
      <c r="C3" s="3">
        <v>45587</v>
      </c>
      <c r="D3" s="2" t="s">
        <v>646</v>
      </c>
      <c r="E3" s="2" t="s">
        <v>651</v>
      </c>
      <c r="F3" s="2" t="s">
        <v>663</v>
      </c>
      <c r="G3" s="2" t="s">
        <v>702</v>
      </c>
      <c r="H3" s="2" t="s">
        <v>708</v>
      </c>
      <c r="I3" s="2" t="s">
        <v>713</v>
      </c>
      <c r="J3" s="2" t="s">
        <v>728</v>
      </c>
      <c r="K3" s="2" t="s">
        <v>735</v>
      </c>
      <c r="L3" s="2">
        <v>1084.3900000000001</v>
      </c>
      <c r="M3" s="2">
        <v>759.33</v>
      </c>
      <c r="N3" s="2">
        <v>0.23699999999999999</v>
      </c>
      <c r="O3" s="2">
        <v>31</v>
      </c>
    </row>
    <row r="4" spans="1:15" x14ac:dyDescent="0.3">
      <c r="A4" s="2" t="s">
        <v>17</v>
      </c>
      <c r="B4" s="3">
        <v>44985</v>
      </c>
      <c r="C4" s="3">
        <v>45010</v>
      </c>
      <c r="D4" s="2" t="s">
        <v>646</v>
      </c>
      <c r="E4" s="2" t="s">
        <v>650</v>
      </c>
      <c r="F4" s="2" t="s">
        <v>664</v>
      </c>
      <c r="G4" s="2" t="s">
        <v>701</v>
      </c>
      <c r="H4" s="2" t="s">
        <v>707</v>
      </c>
      <c r="I4" s="2" t="s">
        <v>714</v>
      </c>
      <c r="J4" s="2" t="s">
        <v>729</v>
      </c>
      <c r="K4" s="2" t="s">
        <v>736</v>
      </c>
      <c r="L4" s="2">
        <v>1460.76</v>
      </c>
      <c r="M4" s="2">
        <v>-30.66</v>
      </c>
      <c r="N4" s="2">
        <v>0.13100000000000001</v>
      </c>
      <c r="O4" s="2">
        <v>12</v>
      </c>
    </row>
    <row r="5" spans="1:15" x14ac:dyDescent="0.3">
      <c r="A5" s="2" t="s">
        <v>18</v>
      </c>
      <c r="B5" s="3">
        <v>45745</v>
      </c>
      <c r="C5" s="3">
        <v>45749</v>
      </c>
      <c r="D5" s="2" t="s">
        <v>646</v>
      </c>
      <c r="E5" s="2" t="s">
        <v>651</v>
      </c>
      <c r="F5" s="2" t="s">
        <v>665</v>
      </c>
      <c r="G5" s="2" t="s">
        <v>703</v>
      </c>
      <c r="H5" s="2" t="s">
        <v>709</v>
      </c>
      <c r="I5" s="2" t="s">
        <v>715</v>
      </c>
      <c r="J5" s="2" t="s">
        <v>730</v>
      </c>
      <c r="K5" s="2" t="s">
        <v>737</v>
      </c>
      <c r="L5" s="2">
        <v>259.93</v>
      </c>
      <c r="M5" s="2">
        <v>255.94</v>
      </c>
      <c r="N5" s="2">
        <v>7.1999999999999995E-2</v>
      </c>
      <c r="O5" s="2">
        <v>22</v>
      </c>
    </row>
    <row r="6" spans="1:15" x14ac:dyDescent="0.3">
      <c r="A6" s="2" t="s">
        <v>19</v>
      </c>
      <c r="B6" s="3">
        <v>45266</v>
      </c>
      <c r="C6" s="3">
        <v>45291</v>
      </c>
      <c r="D6" s="2" t="s">
        <v>647</v>
      </c>
      <c r="E6" s="2" t="s">
        <v>652</v>
      </c>
      <c r="F6" s="2" t="s">
        <v>666</v>
      </c>
      <c r="G6" s="2" t="s">
        <v>704</v>
      </c>
      <c r="H6" s="2" t="s">
        <v>707</v>
      </c>
      <c r="I6" s="2" t="s">
        <v>716</v>
      </c>
      <c r="J6" s="2" t="s">
        <v>728</v>
      </c>
      <c r="K6" s="2" t="s">
        <v>738</v>
      </c>
      <c r="L6" s="2">
        <v>663.03</v>
      </c>
      <c r="M6" s="2">
        <v>813.51</v>
      </c>
      <c r="N6" s="2">
        <v>0.10199999999999999</v>
      </c>
      <c r="O6" s="2">
        <v>15</v>
      </c>
    </row>
    <row r="7" spans="1:15" x14ac:dyDescent="0.3">
      <c r="A7" s="2" t="s">
        <v>20</v>
      </c>
      <c r="B7" s="3">
        <v>44928</v>
      </c>
      <c r="C7" s="3">
        <v>44931</v>
      </c>
      <c r="D7" s="2" t="s">
        <v>648</v>
      </c>
      <c r="E7" s="2" t="s">
        <v>653</v>
      </c>
      <c r="F7" s="2" t="s">
        <v>667</v>
      </c>
      <c r="G7" s="2" t="s">
        <v>701</v>
      </c>
      <c r="H7" s="2" t="s">
        <v>710</v>
      </c>
      <c r="I7" s="2" t="s">
        <v>717</v>
      </c>
      <c r="J7" s="2" t="s">
        <v>731</v>
      </c>
      <c r="K7" s="2" t="s">
        <v>739</v>
      </c>
      <c r="L7" s="2">
        <v>315.87</v>
      </c>
      <c r="M7" s="2">
        <v>591.67999999999995</v>
      </c>
      <c r="N7" s="2">
        <v>0</v>
      </c>
      <c r="O7" s="2">
        <v>7</v>
      </c>
    </row>
    <row r="8" spans="1:15" x14ac:dyDescent="0.3">
      <c r="A8" s="2" t="s">
        <v>21</v>
      </c>
      <c r="B8" s="3">
        <v>45653</v>
      </c>
      <c r="C8" s="3">
        <v>45671</v>
      </c>
      <c r="D8" s="2" t="s">
        <v>647</v>
      </c>
      <c r="E8" s="2" t="s">
        <v>654</v>
      </c>
      <c r="F8" s="2" t="s">
        <v>668</v>
      </c>
      <c r="G8" s="2" t="s">
        <v>705</v>
      </c>
      <c r="H8" s="2" t="s">
        <v>709</v>
      </c>
      <c r="I8" s="2" t="s">
        <v>718</v>
      </c>
      <c r="J8" s="2" t="s">
        <v>732</v>
      </c>
      <c r="K8" s="2" t="s">
        <v>740</v>
      </c>
      <c r="L8" s="2">
        <v>586.07000000000005</v>
      </c>
      <c r="M8" s="2">
        <v>845.97</v>
      </c>
      <c r="N8" s="2">
        <v>0.14699999999999999</v>
      </c>
      <c r="O8" s="2">
        <v>4</v>
      </c>
    </row>
    <row r="9" spans="1:15" x14ac:dyDescent="0.3">
      <c r="A9" s="2" t="s">
        <v>22</v>
      </c>
      <c r="B9" s="3">
        <v>44941</v>
      </c>
      <c r="C9" s="3">
        <v>44939</v>
      </c>
      <c r="D9" s="2" t="s">
        <v>646</v>
      </c>
      <c r="E9" s="2" t="s">
        <v>651</v>
      </c>
      <c r="F9" s="2" t="s">
        <v>669</v>
      </c>
      <c r="G9" s="2" t="s">
        <v>702</v>
      </c>
      <c r="H9" s="2" t="s">
        <v>708</v>
      </c>
      <c r="I9" s="2" t="s">
        <v>719</v>
      </c>
      <c r="J9" s="2" t="s">
        <v>728</v>
      </c>
      <c r="K9" s="2" t="s">
        <v>741</v>
      </c>
      <c r="L9" s="2">
        <v>28.38</v>
      </c>
      <c r="M9" s="2">
        <v>47.22</v>
      </c>
      <c r="N9" s="2">
        <v>0.19400000000000001</v>
      </c>
      <c r="O9" s="2">
        <v>18</v>
      </c>
    </row>
    <row r="10" spans="1:15" x14ac:dyDescent="0.3">
      <c r="A10" s="2" t="s">
        <v>23</v>
      </c>
      <c r="B10" s="3">
        <v>45416</v>
      </c>
      <c r="C10" s="3">
        <v>45441</v>
      </c>
      <c r="D10" s="2" t="s">
        <v>646</v>
      </c>
      <c r="E10" s="2" t="s">
        <v>651</v>
      </c>
      <c r="F10" s="2" t="s">
        <v>669</v>
      </c>
      <c r="G10" s="2" t="s">
        <v>703</v>
      </c>
      <c r="H10" s="2" t="s">
        <v>709</v>
      </c>
      <c r="I10" s="2" t="s">
        <v>719</v>
      </c>
      <c r="J10" s="2" t="s">
        <v>732</v>
      </c>
      <c r="K10" s="2" t="s">
        <v>742</v>
      </c>
      <c r="L10" s="2">
        <v>1295.3399999999999</v>
      </c>
      <c r="M10" s="2">
        <v>2530.81</v>
      </c>
      <c r="N10" s="2">
        <v>3.1E-2</v>
      </c>
      <c r="O10" s="2">
        <v>6</v>
      </c>
    </row>
    <row r="11" spans="1:15" x14ac:dyDescent="0.3">
      <c r="A11" s="2" t="s">
        <v>24</v>
      </c>
      <c r="B11" s="3">
        <v>45798</v>
      </c>
      <c r="C11" s="3">
        <v>45817</v>
      </c>
      <c r="D11" s="2" t="s">
        <v>648</v>
      </c>
      <c r="E11" s="2" t="s">
        <v>655</v>
      </c>
      <c r="F11" s="2" t="s">
        <v>670</v>
      </c>
      <c r="G11" s="2" t="s">
        <v>703</v>
      </c>
      <c r="H11" s="2" t="s">
        <v>708</v>
      </c>
      <c r="I11" s="2" t="s">
        <v>720</v>
      </c>
      <c r="J11" s="2" t="s">
        <v>727</v>
      </c>
      <c r="K11" s="2" t="s">
        <v>743</v>
      </c>
      <c r="L11" s="2">
        <v>1331.38</v>
      </c>
      <c r="M11" s="2">
        <v>2309.56</v>
      </c>
      <c r="N11" s="2">
        <v>0.14899999999999999</v>
      </c>
      <c r="O11" s="2">
        <v>31</v>
      </c>
    </row>
    <row r="12" spans="1:15" x14ac:dyDescent="0.3">
      <c r="A12" s="2" t="s">
        <v>25</v>
      </c>
      <c r="B12" s="3">
        <v>45319</v>
      </c>
      <c r="C12" s="3">
        <v>45331</v>
      </c>
      <c r="D12" s="2" t="s">
        <v>649</v>
      </c>
      <c r="E12" s="2" t="s">
        <v>656</v>
      </c>
      <c r="F12" s="2" t="s">
        <v>671</v>
      </c>
      <c r="G12" s="2" t="s">
        <v>701</v>
      </c>
      <c r="H12" s="2" t="s">
        <v>708</v>
      </c>
      <c r="I12" s="2" t="s">
        <v>715</v>
      </c>
      <c r="J12" s="2" t="s">
        <v>733</v>
      </c>
      <c r="K12" s="2" t="s">
        <v>744</v>
      </c>
      <c r="L12" s="2">
        <v>644.16999999999996</v>
      </c>
      <c r="M12" s="2">
        <v>700.12</v>
      </c>
      <c r="N12" s="2">
        <v>6.0000000000000001E-3</v>
      </c>
      <c r="O12" s="2">
        <v>23</v>
      </c>
    </row>
    <row r="13" spans="1:15" x14ac:dyDescent="0.3">
      <c r="A13" s="2" t="s">
        <v>26</v>
      </c>
      <c r="B13" s="3">
        <v>45660</v>
      </c>
      <c r="C13" s="3">
        <v>45680</v>
      </c>
      <c r="D13" s="2" t="s">
        <v>647</v>
      </c>
      <c r="E13" s="2" t="s">
        <v>652</v>
      </c>
      <c r="F13" s="2" t="s">
        <v>666</v>
      </c>
      <c r="G13" s="2" t="s">
        <v>701</v>
      </c>
      <c r="H13" s="2" t="s">
        <v>710</v>
      </c>
      <c r="I13" s="2" t="s">
        <v>721</v>
      </c>
      <c r="J13" s="2" t="s">
        <v>730</v>
      </c>
      <c r="K13" s="2" t="s">
        <v>745</v>
      </c>
      <c r="L13" s="2">
        <v>908.6</v>
      </c>
      <c r="M13" s="2">
        <v>691.37</v>
      </c>
      <c r="N13" s="2">
        <v>0.25</v>
      </c>
      <c r="O13" s="2">
        <v>20</v>
      </c>
    </row>
    <row r="14" spans="1:15" x14ac:dyDescent="0.3">
      <c r="A14" s="2" t="s">
        <v>27</v>
      </c>
      <c r="B14" s="3">
        <v>45722</v>
      </c>
      <c r="C14" s="3">
        <v>45747</v>
      </c>
      <c r="D14" s="2" t="s">
        <v>648</v>
      </c>
      <c r="E14" s="2" t="s">
        <v>655</v>
      </c>
      <c r="F14" s="2" t="s">
        <v>672</v>
      </c>
      <c r="G14" s="2" t="s">
        <v>703</v>
      </c>
      <c r="H14" s="2" t="s">
        <v>708</v>
      </c>
      <c r="I14" s="2" t="s">
        <v>713</v>
      </c>
      <c r="J14" s="2" t="s">
        <v>727</v>
      </c>
      <c r="K14" s="2" t="s">
        <v>746</v>
      </c>
      <c r="L14" s="2">
        <v>331.57</v>
      </c>
      <c r="M14" s="2">
        <v>548.4</v>
      </c>
      <c r="N14" s="2">
        <v>9.4E-2</v>
      </c>
      <c r="O14" s="2">
        <v>10</v>
      </c>
    </row>
    <row r="15" spans="1:15" x14ac:dyDescent="0.3">
      <c r="A15" s="2" t="s">
        <v>28</v>
      </c>
      <c r="B15" s="3">
        <v>45311</v>
      </c>
      <c r="C15" s="3">
        <v>45335</v>
      </c>
      <c r="D15" s="2" t="s">
        <v>649</v>
      </c>
      <c r="E15" s="2" t="s">
        <v>657</v>
      </c>
      <c r="F15" s="2" t="s">
        <v>673</v>
      </c>
      <c r="G15" s="2" t="s">
        <v>701</v>
      </c>
      <c r="H15" s="2" t="s">
        <v>707</v>
      </c>
      <c r="I15" s="2" t="s">
        <v>722</v>
      </c>
      <c r="J15" s="2" t="s">
        <v>728</v>
      </c>
      <c r="K15" s="2" t="s">
        <v>747</v>
      </c>
      <c r="L15" s="2">
        <v>643.53</v>
      </c>
      <c r="M15" s="2">
        <v>1439.01</v>
      </c>
      <c r="N15" s="2">
        <v>0</v>
      </c>
      <c r="O15" s="2">
        <v>15</v>
      </c>
    </row>
    <row r="16" spans="1:15" x14ac:dyDescent="0.3">
      <c r="A16" s="2" t="s">
        <v>29</v>
      </c>
      <c r="B16" s="3">
        <v>45901</v>
      </c>
      <c r="C16" s="3">
        <v>45930</v>
      </c>
      <c r="D16" s="2" t="s">
        <v>648</v>
      </c>
      <c r="E16" s="2" t="s">
        <v>655</v>
      </c>
      <c r="F16" s="2" t="s">
        <v>672</v>
      </c>
      <c r="G16" s="2" t="s">
        <v>702</v>
      </c>
      <c r="H16" s="2" t="s">
        <v>707</v>
      </c>
      <c r="I16" s="2" t="s">
        <v>723</v>
      </c>
      <c r="J16" s="2" t="s">
        <v>733</v>
      </c>
      <c r="K16" s="2" t="s">
        <v>748</v>
      </c>
      <c r="L16" s="2">
        <v>780.59</v>
      </c>
      <c r="M16" s="2">
        <v>631.57000000000005</v>
      </c>
      <c r="N16" s="2">
        <v>0</v>
      </c>
      <c r="O16" s="2">
        <v>12</v>
      </c>
    </row>
    <row r="17" spans="1:15" x14ac:dyDescent="0.3">
      <c r="A17" s="2" t="s">
        <v>30</v>
      </c>
      <c r="B17" s="3">
        <v>45039</v>
      </c>
      <c r="C17" s="3">
        <v>45038</v>
      </c>
      <c r="D17" s="2" t="s">
        <v>646</v>
      </c>
      <c r="E17" s="2" t="s">
        <v>650</v>
      </c>
      <c r="F17" s="2" t="s">
        <v>664</v>
      </c>
      <c r="G17" s="2" t="s">
        <v>705</v>
      </c>
      <c r="H17" s="2" t="s">
        <v>711</v>
      </c>
      <c r="I17" s="2" t="s">
        <v>718</v>
      </c>
      <c r="J17" s="2" t="s">
        <v>731</v>
      </c>
      <c r="K17" s="2" t="s">
        <v>749</v>
      </c>
      <c r="L17" s="2">
        <v>756.51</v>
      </c>
      <c r="M17" s="2">
        <v>850.8</v>
      </c>
      <c r="N17" s="2">
        <v>7.3999999999999996E-2</v>
      </c>
      <c r="O17" s="2">
        <v>9</v>
      </c>
    </row>
    <row r="18" spans="1:15" x14ac:dyDescent="0.3">
      <c r="A18" s="2" t="s">
        <v>31</v>
      </c>
      <c r="B18" s="3">
        <v>45636</v>
      </c>
      <c r="C18" s="3">
        <v>45665</v>
      </c>
      <c r="D18" s="2" t="s">
        <v>649</v>
      </c>
      <c r="E18" s="2" t="s">
        <v>657</v>
      </c>
      <c r="F18" s="2" t="s">
        <v>673</v>
      </c>
      <c r="G18" s="2" t="s">
        <v>705</v>
      </c>
      <c r="H18" s="2" t="s">
        <v>707</v>
      </c>
      <c r="I18" s="2" t="s">
        <v>723</v>
      </c>
      <c r="J18" s="2" t="s">
        <v>728</v>
      </c>
      <c r="K18" s="2" t="s">
        <v>750</v>
      </c>
      <c r="L18" s="2">
        <v>891.08</v>
      </c>
      <c r="M18" s="2">
        <v>1040.0999999999999</v>
      </c>
      <c r="N18" s="2">
        <v>0.109</v>
      </c>
      <c r="O18" s="2">
        <v>28</v>
      </c>
    </row>
    <row r="19" spans="1:15" x14ac:dyDescent="0.3">
      <c r="A19" s="2" t="s">
        <v>32</v>
      </c>
      <c r="B19" s="3">
        <v>45908</v>
      </c>
      <c r="C19" s="3">
        <v>45916</v>
      </c>
      <c r="D19" s="2" t="s">
        <v>647</v>
      </c>
      <c r="E19" s="2" t="s">
        <v>652</v>
      </c>
      <c r="F19" s="2" t="s">
        <v>666</v>
      </c>
      <c r="G19" s="2" t="s">
        <v>701</v>
      </c>
      <c r="H19" s="2" t="s">
        <v>710</v>
      </c>
      <c r="I19" s="2" t="s">
        <v>712</v>
      </c>
      <c r="J19" s="2" t="s">
        <v>730</v>
      </c>
      <c r="K19" s="2" t="s">
        <v>751</v>
      </c>
      <c r="L19" s="2">
        <v>1225.57</v>
      </c>
      <c r="M19" s="2">
        <v>2705.57</v>
      </c>
      <c r="N19" s="2">
        <v>0.183</v>
      </c>
      <c r="O19" s="2">
        <v>16</v>
      </c>
    </row>
    <row r="20" spans="1:15" x14ac:dyDescent="0.3">
      <c r="A20" s="2" t="s">
        <v>33</v>
      </c>
      <c r="B20" s="3">
        <v>45858</v>
      </c>
      <c r="C20" s="3">
        <v>45874</v>
      </c>
      <c r="D20" s="2" t="s">
        <v>648</v>
      </c>
      <c r="E20" s="2" t="s">
        <v>655</v>
      </c>
      <c r="F20" s="2" t="s">
        <v>672</v>
      </c>
      <c r="G20" s="2" t="s">
        <v>706</v>
      </c>
      <c r="H20" s="2" t="s">
        <v>709</v>
      </c>
      <c r="I20" s="2" t="s">
        <v>715</v>
      </c>
      <c r="J20" s="2" t="s">
        <v>733</v>
      </c>
      <c r="K20" s="2" t="s">
        <v>752</v>
      </c>
      <c r="L20" s="2">
        <v>1068.17</v>
      </c>
      <c r="M20" s="2">
        <v>2375.37</v>
      </c>
      <c r="N20" s="2">
        <v>0.109</v>
      </c>
      <c r="O20" s="2">
        <v>18</v>
      </c>
    </row>
    <row r="21" spans="1:15" x14ac:dyDescent="0.3">
      <c r="A21" s="2" t="s">
        <v>34</v>
      </c>
      <c r="B21" s="3">
        <v>45798</v>
      </c>
      <c r="C21" s="3">
        <v>45796</v>
      </c>
      <c r="D21" s="2" t="s">
        <v>649</v>
      </c>
      <c r="E21" s="2" t="s">
        <v>658</v>
      </c>
      <c r="F21" s="2" t="s">
        <v>674</v>
      </c>
      <c r="G21" s="2" t="s">
        <v>706</v>
      </c>
      <c r="H21" s="2" t="s">
        <v>708</v>
      </c>
      <c r="I21" s="2" t="s">
        <v>724</v>
      </c>
      <c r="J21" s="2" t="s">
        <v>731</v>
      </c>
      <c r="K21" s="2" t="s">
        <v>753</v>
      </c>
      <c r="L21" s="2">
        <v>1015.16</v>
      </c>
      <c r="M21" s="2">
        <v>2148.14</v>
      </c>
      <c r="N21" s="2">
        <v>3.7999999999999999E-2</v>
      </c>
      <c r="O21" s="2">
        <v>19</v>
      </c>
    </row>
    <row r="22" spans="1:15" x14ac:dyDescent="0.3">
      <c r="A22" s="2" t="s">
        <v>35</v>
      </c>
      <c r="B22" s="3">
        <v>45498</v>
      </c>
      <c r="C22" s="3">
        <v>45497</v>
      </c>
      <c r="D22" s="2" t="s">
        <v>646</v>
      </c>
      <c r="E22" s="2" t="s">
        <v>650</v>
      </c>
      <c r="F22" s="2" t="s">
        <v>675</v>
      </c>
      <c r="G22" s="2" t="s">
        <v>703</v>
      </c>
      <c r="H22" s="2" t="s">
        <v>711</v>
      </c>
      <c r="I22" s="2" t="s">
        <v>713</v>
      </c>
      <c r="J22" s="2" t="s">
        <v>731</v>
      </c>
      <c r="K22" s="2" t="s">
        <v>754</v>
      </c>
      <c r="L22" s="2">
        <v>1494.4</v>
      </c>
      <c r="M22" s="2">
        <v>3661.07</v>
      </c>
      <c r="N22" s="2">
        <v>7.1999999999999995E-2</v>
      </c>
      <c r="O22" s="2">
        <v>7</v>
      </c>
    </row>
    <row r="23" spans="1:15" x14ac:dyDescent="0.3">
      <c r="A23" s="2" t="s">
        <v>36</v>
      </c>
      <c r="B23" s="3">
        <v>45057</v>
      </c>
      <c r="C23" s="3">
        <v>45074</v>
      </c>
      <c r="D23" s="2" t="s">
        <v>647</v>
      </c>
      <c r="E23" s="2" t="s">
        <v>659</v>
      </c>
      <c r="F23" s="2" t="s">
        <v>676</v>
      </c>
      <c r="G23" s="2" t="s">
        <v>706</v>
      </c>
      <c r="H23" s="2" t="s">
        <v>709</v>
      </c>
      <c r="I23" s="2" t="s">
        <v>718</v>
      </c>
      <c r="J23" s="2" t="s">
        <v>729</v>
      </c>
      <c r="K23" s="2" t="s">
        <v>755</v>
      </c>
      <c r="L23" s="2">
        <v>1331.19</v>
      </c>
      <c r="M23" s="2">
        <v>2903.09</v>
      </c>
      <c r="N23" s="2">
        <v>0.14299999999999999</v>
      </c>
      <c r="O23" s="2">
        <v>8</v>
      </c>
    </row>
    <row r="24" spans="1:15" x14ac:dyDescent="0.3">
      <c r="A24" s="2" t="s">
        <v>37</v>
      </c>
      <c r="B24" s="3">
        <v>45822</v>
      </c>
      <c r="C24" s="3">
        <v>45837</v>
      </c>
      <c r="D24" s="2" t="s">
        <v>646</v>
      </c>
      <c r="E24" s="2" t="s">
        <v>651</v>
      </c>
      <c r="F24" s="2" t="s">
        <v>663</v>
      </c>
      <c r="G24" s="2" t="s">
        <v>704</v>
      </c>
      <c r="H24" s="2" t="s">
        <v>709</v>
      </c>
      <c r="I24" s="2" t="s">
        <v>724</v>
      </c>
      <c r="J24" s="2" t="s">
        <v>733</v>
      </c>
      <c r="K24" s="2" t="s">
        <v>756</v>
      </c>
      <c r="L24" s="2">
        <v>730.99</v>
      </c>
      <c r="M24" s="2">
        <v>1242.8399999999999</v>
      </c>
      <c r="N24" s="2">
        <v>0.12</v>
      </c>
      <c r="O24" s="2">
        <v>10</v>
      </c>
    </row>
    <row r="25" spans="1:15" x14ac:dyDescent="0.3">
      <c r="A25" s="2" t="s">
        <v>38</v>
      </c>
      <c r="B25" s="3">
        <v>45430</v>
      </c>
      <c r="C25" s="3">
        <v>45435</v>
      </c>
      <c r="D25" s="2" t="s">
        <v>648</v>
      </c>
      <c r="E25" s="2" t="s">
        <v>660</v>
      </c>
      <c r="F25" s="2" t="s">
        <v>677</v>
      </c>
      <c r="G25" s="2" t="s">
        <v>706</v>
      </c>
      <c r="H25" s="2" t="s">
        <v>707</v>
      </c>
      <c r="I25" s="2" t="s">
        <v>722</v>
      </c>
      <c r="J25" s="2" t="s">
        <v>731</v>
      </c>
      <c r="K25" s="2" t="s">
        <v>757</v>
      </c>
      <c r="L25" s="2">
        <v>1274.5899999999999</v>
      </c>
      <c r="M25" s="2">
        <v>2553.69</v>
      </c>
      <c r="N25" s="2">
        <v>0.01</v>
      </c>
      <c r="O25" s="2">
        <v>8</v>
      </c>
    </row>
    <row r="26" spans="1:15" x14ac:dyDescent="0.3">
      <c r="A26" s="2" t="s">
        <v>39</v>
      </c>
      <c r="B26" s="3">
        <v>44964</v>
      </c>
      <c r="C26" s="3">
        <v>44969</v>
      </c>
      <c r="D26" s="2" t="s">
        <v>648</v>
      </c>
      <c r="E26" s="2" t="s">
        <v>655</v>
      </c>
      <c r="F26" s="2" t="s">
        <v>670</v>
      </c>
      <c r="G26" s="2" t="s">
        <v>702</v>
      </c>
      <c r="H26" s="2" t="s">
        <v>708</v>
      </c>
      <c r="I26" s="2" t="s">
        <v>725</v>
      </c>
      <c r="J26" s="2" t="s">
        <v>727</v>
      </c>
      <c r="K26" s="2" t="s">
        <v>758</v>
      </c>
      <c r="L26" s="2">
        <v>948.55</v>
      </c>
      <c r="M26" s="2">
        <v>2089.16</v>
      </c>
      <c r="N26" s="2">
        <v>7.0000000000000001E-3</v>
      </c>
      <c r="O26" s="2">
        <v>12</v>
      </c>
    </row>
    <row r="27" spans="1:15" x14ac:dyDescent="0.3">
      <c r="A27" s="2" t="s">
        <v>40</v>
      </c>
      <c r="B27" s="3">
        <v>45473</v>
      </c>
      <c r="C27" s="3">
        <v>45487</v>
      </c>
      <c r="D27" s="2" t="s">
        <v>648</v>
      </c>
      <c r="E27" s="2" t="s">
        <v>655</v>
      </c>
      <c r="F27" s="2" t="s">
        <v>672</v>
      </c>
      <c r="G27" s="2" t="s">
        <v>702</v>
      </c>
      <c r="H27" s="2" t="s">
        <v>707</v>
      </c>
      <c r="I27" s="2" t="s">
        <v>712</v>
      </c>
      <c r="J27" s="2" t="s">
        <v>733</v>
      </c>
      <c r="K27" s="2" t="s">
        <v>759</v>
      </c>
      <c r="L27" s="2">
        <v>1491.85</v>
      </c>
      <c r="M27" s="2">
        <v>2583.02</v>
      </c>
      <c r="N27" s="2">
        <v>0.16800000000000001</v>
      </c>
      <c r="O27" s="2">
        <v>4</v>
      </c>
    </row>
    <row r="28" spans="1:15" x14ac:dyDescent="0.3">
      <c r="A28" s="2" t="s">
        <v>41</v>
      </c>
      <c r="B28" s="3">
        <v>45626</v>
      </c>
      <c r="C28" s="3">
        <v>45656</v>
      </c>
      <c r="D28" s="2" t="s">
        <v>649</v>
      </c>
      <c r="E28" s="2" t="s">
        <v>657</v>
      </c>
      <c r="F28" s="2" t="s">
        <v>673</v>
      </c>
      <c r="G28" s="2" t="s">
        <v>704</v>
      </c>
      <c r="H28" s="2" t="s">
        <v>709</v>
      </c>
      <c r="I28" s="2" t="s">
        <v>721</v>
      </c>
      <c r="J28" s="2" t="s">
        <v>728</v>
      </c>
      <c r="K28" s="2" t="s">
        <v>760</v>
      </c>
      <c r="L28" s="2">
        <v>117.64</v>
      </c>
      <c r="M28" s="2">
        <v>175.67</v>
      </c>
      <c r="N28" s="2">
        <v>0</v>
      </c>
      <c r="O28" s="2">
        <v>10</v>
      </c>
    </row>
    <row r="29" spans="1:15" x14ac:dyDescent="0.3">
      <c r="A29" s="2" t="s">
        <v>42</v>
      </c>
      <c r="B29" s="3">
        <v>45492</v>
      </c>
      <c r="C29" s="3">
        <v>45492</v>
      </c>
      <c r="D29" s="2" t="s">
        <v>646</v>
      </c>
      <c r="E29" s="2" t="s">
        <v>650</v>
      </c>
      <c r="F29" s="2" t="s">
        <v>662</v>
      </c>
      <c r="G29" s="2" t="s">
        <v>705</v>
      </c>
      <c r="H29" s="2" t="s">
        <v>707</v>
      </c>
      <c r="I29" s="2" t="s">
        <v>720</v>
      </c>
      <c r="J29" s="2" t="s">
        <v>730</v>
      </c>
      <c r="K29" s="2" t="s">
        <v>761</v>
      </c>
      <c r="L29" s="2">
        <v>857.24</v>
      </c>
      <c r="M29" s="2">
        <v>758.23</v>
      </c>
      <c r="N29" s="2">
        <v>0.125</v>
      </c>
      <c r="O29" s="2">
        <v>6</v>
      </c>
    </row>
    <row r="30" spans="1:15" x14ac:dyDescent="0.3">
      <c r="A30" s="2" t="s">
        <v>43</v>
      </c>
      <c r="B30" s="3">
        <v>45030</v>
      </c>
      <c r="C30" s="3">
        <v>45060</v>
      </c>
      <c r="D30" s="2" t="s">
        <v>646</v>
      </c>
      <c r="E30" s="2" t="s">
        <v>650</v>
      </c>
      <c r="F30" s="2" t="s">
        <v>678</v>
      </c>
      <c r="G30" s="2" t="s">
        <v>704</v>
      </c>
      <c r="H30" s="2" t="s">
        <v>709</v>
      </c>
      <c r="I30" s="2" t="s">
        <v>724</v>
      </c>
      <c r="J30" s="2" t="s">
        <v>730</v>
      </c>
      <c r="K30" s="2" t="s">
        <v>762</v>
      </c>
      <c r="L30" s="2">
        <v>209.25</v>
      </c>
      <c r="M30" s="2">
        <v>434.8</v>
      </c>
      <c r="N30" s="2">
        <v>0</v>
      </c>
      <c r="O30" s="2">
        <v>9</v>
      </c>
    </row>
    <row r="31" spans="1:15" x14ac:dyDescent="0.3">
      <c r="A31" s="2" t="s">
        <v>44</v>
      </c>
      <c r="B31" s="3">
        <v>45754</v>
      </c>
      <c r="C31" s="3">
        <v>45758</v>
      </c>
      <c r="D31" s="2" t="s">
        <v>649</v>
      </c>
      <c r="E31" s="2" t="s">
        <v>657</v>
      </c>
      <c r="F31" s="2" t="s">
        <v>679</v>
      </c>
      <c r="G31" s="2" t="s">
        <v>702</v>
      </c>
      <c r="H31" s="2" t="s">
        <v>707</v>
      </c>
      <c r="I31" s="2" t="s">
        <v>718</v>
      </c>
      <c r="J31" s="2" t="s">
        <v>729</v>
      </c>
      <c r="K31" s="2" t="s">
        <v>763</v>
      </c>
      <c r="L31" s="2">
        <v>754.77</v>
      </c>
      <c r="M31" s="2">
        <v>1666.18</v>
      </c>
      <c r="N31" s="2">
        <v>0.13900000000000001</v>
      </c>
      <c r="O31" s="2">
        <v>14</v>
      </c>
    </row>
    <row r="32" spans="1:15" x14ac:dyDescent="0.3">
      <c r="A32" s="2" t="s">
        <v>45</v>
      </c>
      <c r="B32" s="3">
        <v>45653</v>
      </c>
      <c r="C32" s="3">
        <v>45672</v>
      </c>
      <c r="D32" s="2" t="s">
        <v>647</v>
      </c>
      <c r="E32" s="2" t="s">
        <v>654</v>
      </c>
      <c r="F32" s="2" t="s">
        <v>680</v>
      </c>
      <c r="G32" s="2" t="s">
        <v>703</v>
      </c>
      <c r="H32" s="2" t="s">
        <v>710</v>
      </c>
      <c r="I32" s="2" t="s">
        <v>715</v>
      </c>
      <c r="J32" s="2" t="s">
        <v>727</v>
      </c>
      <c r="K32" s="2" t="s">
        <v>764</v>
      </c>
      <c r="L32" s="2">
        <v>495.59</v>
      </c>
      <c r="M32" s="2">
        <v>631.78</v>
      </c>
      <c r="N32" s="2">
        <v>8.6999999999999994E-2</v>
      </c>
      <c r="O32" s="2">
        <v>17</v>
      </c>
    </row>
    <row r="33" spans="1:15" x14ac:dyDescent="0.3">
      <c r="A33" s="2" t="s">
        <v>46</v>
      </c>
      <c r="B33" s="3">
        <v>44980</v>
      </c>
      <c r="C33" s="3">
        <v>45010</v>
      </c>
      <c r="D33" s="2" t="s">
        <v>648</v>
      </c>
      <c r="E33" s="2" t="s">
        <v>653</v>
      </c>
      <c r="F33" s="2" t="s">
        <v>681</v>
      </c>
      <c r="G33" s="2" t="s">
        <v>706</v>
      </c>
      <c r="H33" s="2" t="s">
        <v>708</v>
      </c>
      <c r="I33" s="2" t="s">
        <v>726</v>
      </c>
      <c r="J33" s="2" t="s">
        <v>730</v>
      </c>
      <c r="K33" s="2" t="s">
        <v>765</v>
      </c>
      <c r="L33" s="2">
        <v>1242.6600000000001</v>
      </c>
      <c r="M33" s="2">
        <v>1794.07</v>
      </c>
      <c r="N33" s="2">
        <v>8.8999999999999996E-2</v>
      </c>
      <c r="O33" s="2">
        <v>16</v>
      </c>
    </row>
    <row r="34" spans="1:15" x14ac:dyDescent="0.3">
      <c r="A34" s="2" t="s">
        <v>47</v>
      </c>
      <c r="B34" s="3">
        <v>45862</v>
      </c>
      <c r="C34" s="3">
        <v>45875</v>
      </c>
      <c r="D34" s="2" t="s">
        <v>646</v>
      </c>
      <c r="E34" s="2" t="s">
        <v>661</v>
      </c>
      <c r="F34" s="2" t="s">
        <v>682</v>
      </c>
      <c r="G34" s="2" t="s">
        <v>702</v>
      </c>
      <c r="H34" s="2" t="s">
        <v>709</v>
      </c>
      <c r="I34" s="2" t="s">
        <v>726</v>
      </c>
      <c r="J34" s="2" t="s">
        <v>729</v>
      </c>
      <c r="K34" s="2" t="s">
        <v>766</v>
      </c>
      <c r="L34" s="2">
        <v>1463.9</v>
      </c>
      <c r="M34" s="2">
        <v>2633.02</v>
      </c>
      <c r="N34" s="2">
        <v>8.4000000000000005E-2</v>
      </c>
      <c r="O34" s="2">
        <v>4</v>
      </c>
    </row>
    <row r="35" spans="1:15" x14ac:dyDescent="0.3">
      <c r="A35" s="2" t="s">
        <v>48</v>
      </c>
      <c r="B35" s="3">
        <v>45400</v>
      </c>
      <c r="C35" s="3">
        <v>45420</v>
      </c>
      <c r="D35" s="2" t="s">
        <v>649</v>
      </c>
      <c r="E35" s="2" t="s">
        <v>658</v>
      </c>
      <c r="F35" s="2" t="s">
        <v>683</v>
      </c>
      <c r="G35" s="2" t="s">
        <v>703</v>
      </c>
      <c r="H35" s="2"/>
      <c r="I35" s="2" t="s">
        <v>726</v>
      </c>
      <c r="J35" s="2" t="s">
        <v>731</v>
      </c>
      <c r="K35" s="2" t="s">
        <v>767</v>
      </c>
      <c r="L35" s="2">
        <v>645.33000000000004</v>
      </c>
      <c r="M35" s="2">
        <v>1321.85</v>
      </c>
      <c r="N35" s="2">
        <v>0</v>
      </c>
      <c r="O35" s="2">
        <v>10</v>
      </c>
    </row>
    <row r="36" spans="1:15" x14ac:dyDescent="0.3">
      <c r="A36" s="2" t="s">
        <v>49</v>
      </c>
      <c r="B36" s="3">
        <v>45527</v>
      </c>
      <c r="C36" s="3">
        <v>45525</v>
      </c>
      <c r="D36" s="2" t="s">
        <v>646</v>
      </c>
      <c r="E36" s="2" t="s">
        <v>661</v>
      </c>
      <c r="F36" s="2" t="s">
        <v>682</v>
      </c>
      <c r="G36" s="2" t="s">
        <v>702</v>
      </c>
      <c r="H36" s="2" t="s">
        <v>707</v>
      </c>
      <c r="I36" s="2" t="s">
        <v>718</v>
      </c>
      <c r="J36" s="2" t="s">
        <v>727</v>
      </c>
      <c r="K36" s="2" t="s">
        <v>768</v>
      </c>
      <c r="L36" s="2">
        <v>1432.52</v>
      </c>
      <c r="M36" s="2">
        <v>3036.87</v>
      </c>
      <c r="N36" s="2">
        <v>0</v>
      </c>
      <c r="O36" s="2">
        <v>9</v>
      </c>
    </row>
    <row r="37" spans="1:15" x14ac:dyDescent="0.3">
      <c r="A37" s="2" t="s">
        <v>50</v>
      </c>
      <c r="B37" s="3">
        <v>45012</v>
      </c>
      <c r="C37" s="3">
        <v>45038</v>
      </c>
      <c r="D37" s="2" t="s">
        <v>647</v>
      </c>
      <c r="E37" s="2" t="s">
        <v>654</v>
      </c>
      <c r="F37" s="2" t="s">
        <v>680</v>
      </c>
      <c r="G37" s="2" t="s">
        <v>703</v>
      </c>
      <c r="H37" s="2" t="s">
        <v>709</v>
      </c>
      <c r="I37" s="2" t="s">
        <v>713</v>
      </c>
      <c r="J37" s="2" t="s">
        <v>728</v>
      </c>
      <c r="K37" s="2" t="s">
        <v>769</v>
      </c>
      <c r="L37" s="2">
        <v>178.53</v>
      </c>
      <c r="M37" s="2">
        <v>199.37</v>
      </c>
      <c r="N37" s="2">
        <v>0.10100000000000001</v>
      </c>
      <c r="O37" s="2">
        <v>37</v>
      </c>
    </row>
    <row r="38" spans="1:15" x14ac:dyDescent="0.3">
      <c r="A38" s="2" t="s">
        <v>51</v>
      </c>
      <c r="B38" s="3">
        <v>45358</v>
      </c>
      <c r="C38" s="3">
        <v>45376</v>
      </c>
      <c r="D38" s="2" t="s">
        <v>649</v>
      </c>
      <c r="E38" s="2" t="s">
        <v>656</v>
      </c>
      <c r="F38" s="2" t="s">
        <v>684</v>
      </c>
      <c r="G38" s="2" t="s">
        <v>701</v>
      </c>
      <c r="H38" s="2" t="s">
        <v>708</v>
      </c>
      <c r="I38" s="2" t="s">
        <v>717</v>
      </c>
      <c r="J38" s="2" t="s">
        <v>727</v>
      </c>
      <c r="K38" s="2" t="s">
        <v>770</v>
      </c>
      <c r="L38" s="2">
        <v>712.84</v>
      </c>
      <c r="M38" s="2">
        <v>927.51</v>
      </c>
      <c r="N38" s="2">
        <v>0.24299999999999999</v>
      </c>
      <c r="O38" s="2">
        <v>27</v>
      </c>
    </row>
    <row r="39" spans="1:15" x14ac:dyDescent="0.3">
      <c r="A39" s="2" t="s">
        <v>52</v>
      </c>
      <c r="B39" s="3">
        <v>45832</v>
      </c>
      <c r="C39" s="3">
        <v>45848</v>
      </c>
      <c r="D39" s="2" t="s">
        <v>647</v>
      </c>
      <c r="E39" s="2" t="s">
        <v>659</v>
      </c>
      <c r="F39" s="2" t="s">
        <v>685</v>
      </c>
      <c r="G39" s="2" t="s">
        <v>706</v>
      </c>
      <c r="H39" s="2" t="s">
        <v>711</v>
      </c>
      <c r="I39" s="2" t="s">
        <v>725</v>
      </c>
      <c r="J39" s="2" t="s">
        <v>727</v>
      </c>
      <c r="K39" s="2" t="s">
        <v>771</v>
      </c>
      <c r="L39" s="2">
        <v>757.19</v>
      </c>
      <c r="M39" s="2">
        <v>1735.41</v>
      </c>
      <c r="N39" s="2">
        <v>0.13600000000000001</v>
      </c>
      <c r="O39" s="2">
        <v>8</v>
      </c>
    </row>
    <row r="40" spans="1:15" x14ac:dyDescent="0.3">
      <c r="A40" s="2" t="s">
        <v>53</v>
      </c>
      <c r="B40" s="3">
        <v>45401</v>
      </c>
      <c r="C40" s="3">
        <v>45418</v>
      </c>
      <c r="D40" s="2" t="s">
        <v>646</v>
      </c>
      <c r="E40" s="2" t="s">
        <v>651</v>
      </c>
      <c r="F40" s="2" t="s">
        <v>663</v>
      </c>
      <c r="G40" s="2" t="s">
        <v>703</v>
      </c>
      <c r="H40" s="2" t="s">
        <v>708</v>
      </c>
      <c r="I40" s="2" t="s">
        <v>720</v>
      </c>
      <c r="J40" s="2" t="s">
        <v>728</v>
      </c>
      <c r="K40" s="2" t="s">
        <v>772</v>
      </c>
      <c r="L40" s="2">
        <v>865.33</v>
      </c>
      <c r="M40" s="2">
        <v>1395.64</v>
      </c>
      <c r="N40" s="2">
        <v>0.17499999999999999</v>
      </c>
      <c r="O40" s="2">
        <v>13</v>
      </c>
    </row>
    <row r="41" spans="1:15" x14ac:dyDescent="0.3">
      <c r="A41" s="2" t="s">
        <v>54</v>
      </c>
      <c r="B41" s="3">
        <v>45094</v>
      </c>
      <c r="C41" s="3">
        <v>45101</v>
      </c>
      <c r="D41" s="2" t="s">
        <v>648</v>
      </c>
      <c r="E41" s="2" t="s">
        <v>660</v>
      </c>
      <c r="F41" s="2" t="s">
        <v>686</v>
      </c>
      <c r="G41" s="2" t="s">
        <v>701</v>
      </c>
      <c r="H41" s="2" t="s">
        <v>707</v>
      </c>
      <c r="I41" s="2" t="s">
        <v>714</v>
      </c>
      <c r="J41" s="2" t="s">
        <v>728</v>
      </c>
      <c r="K41" s="2" t="s">
        <v>773</v>
      </c>
      <c r="L41" s="2">
        <v>313.99</v>
      </c>
      <c r="M41" s="2">
        <v>454.42</v>
      </c>
      <c r="N41" s="2">
        <v>0.129</v>
      </c>
      <c r="O41" s="2">
        <v>9</v>
      </c>
    </row>
    <row r="42" spans="1:15" x14ac:dyDescent="0.3">
      <c r="A42" s="2" t="s">
        <v>55</v>
      </c>
      <c r="B42" s="3">
        <v>45531</v>
      </c>
      <c r="C42" s="3">
        <v>45554</v>
      </c>
      <c r="D42" s="2" t="s">
        <v>649</v>
      </c>
      <c r="E42" s="2" t="s">
        <v>656</v>
      </c>
      <c r="F42" s="2" t="s">
        <v>671</v>
      </c>
      <c r="G42" s="2" t="s">
        <v>705</v>
      </c>
      <c r="H42" s="2" t="s">
        <v>711</v>
      </c>
      <c r="I42" s="2" t="s">
        <v>726</v>
      </c>
      <c r="J42" s="2" t="s">
        <v>732</v>
      </c>
      <c r="K42" s="2" t="s">
        <v>774</v>
      </c>
      <c r="L42" s="2">
        <v>1024.01</v>
      </c>
      <c r="M42" s="2">
        <v>1580.97</v>
      </c>
      <c r="N42" s="2">
        <v>3.6999999999999998E-2</v>
      </c>
      <c r="O42" s="2">
        <v>27</v>
      </c>
    </row>
    <row r="43" spans="1:15" x14ac:dyDescent="0.3">
      <c r="A43" s="2" t="s">
        <v>56</v>
      </c>
      <c r="B43" s="3">
        <v>45302</v>
      </c>
      <c r="C43" s="3">
        <v>45324</v>
      </c>
      <c r="D43" s="2" t="s">
        <v>646</v>
      </c>
      <c r="E43" s="2" t="s">
        <v>661</v>
      </c>
      <c r="F43" s="2" t="s">
        <v>687</v>
      </c>
      <c r="G43" s="2" t="s">
        <v>704</v>
      </c>
      <c r="H43" s="2" t="s">
        <v>708</v>
      </c>
      <c r="I43" s="2" t="s">
        <v>723</v>
      </c>
      <c r="J43" s="2" t="s">
        <v>729</v>
      </c>
      <c r="K43" s="2" t="s">
        <v>775</v>
      </c>
      <c r="L43" s="2">
        <v>1206.2</v>
      </c>
      <c r="M43" s="2">
        <v>1759.79</v>
      </c>
      <c r="N43" s="2">
        <v>0</v>
      </c>
      <c r="O43" s="2">
        <v>6</v>
      </c>
    </row>
    <row r="44" spans="1:15" x14ac:dyDescent="0.3">
      <c r="A44" s="2" t="s">
        <v>57</v>
      </c>
      <c r="B44" s="3">
        <v>45590</v>
      </c>
      <c r="C44" s="3">
        <v>45610</v>
      </c>
      <c r="D44" s="2" t="s">
        <v>646</v>
      </c>
      <c r="E44" s="2" t="s">
        <v>650</v>
      </c>
      <c r="F44" s="2" t="s">
        <v>675</v>
      </c>
      <c r="G44" s="2" t="s">
        <v>701</v>
      </c>
      <c r="H44" s="2" t="s">
        <v>711</v>
      </c>
      <c r="I44" s="2" t="s">
        <v>722</v>
      </c>
      <c r="J44" s="2" t="s">
        <v>728</v>
      </c>
      <c r="K44" s="2" t="s">
        <v>776</v>
      </c>
      <c r="L44" s="2">
        <v>1396.48</v>
      </c>
      <c r="M44" s="2">
        <v>3204.5</v>
      </c>
      <c r="N44" s="2">
        <v>0.318</v>
      </c>
      <c r="O44" s="2">
        <v>14</v>
      </c>
    </row>
    <row r="45" spans="1:15" x14ac:dyDescent="0.3">
      <c r="A45" s="2" t="s">
        <v>58</v>
      </c>
      <c r="B45" s="3">
        <v>45806</v>
      </c>
      <c r="C45" s="3">
        <v>45828</v>
      </c>
      <c r="D45" s="2" t="s">
        <v>649</v>
      </c>
      <c r="E45" s="2" t="s">
        <v>656</v>
      </c>
      <c r="F45" s="2" t="s">
        <v>671</v>
      </c>
      <c r="G45" s="2" t="s">
        <v>701</v>
      </c>
      <c r="H45" s="2" t="s">
        <v>711</v>
      </c>
      <c r="I45" s="2" t="s">
        <v>720</v>
      </c>
      <c r="J45" s="2" t="s">
        <v>728</v>
      </c>
      <c r="K45" s="2" t="s">
        <v>777</v>
      </c>
      <c r="L45" s="2">
        <v>483.47</v>
      </c>
      <c r="M45" s="2">
        <v>1135.43</v>
      </c>
      <c r="N45" s="2">
        <v>0.14599999999999999</v>
      </c>
      <c r="O45" s="2">
        <v>11</v>
      </c>
    </row>
    <row r="46" spans="1:15" x14ac:dyDescent="0.3">
      <c r="A46" s="2" t="s">
        <v>59</v>
      </c>
      <c r="B46" s="3">
        <v>45432</v>
      </c>
      <c r="C46" s="3">
        <v>45445</v>
      </c>
      <c r="D46" s="2" t="s">
        <v>648</v>
      </c>
      <c r="E46" s="2" t="s">
        <v>653</v>
      </c>
      <c r="F46" s="2" t="s">
        <v>688</v>
      </c>
      <c r="G46" s="2" t="s">
        <v>706</v>
      </c>
      <c r="H46" s="2" t="s">
        <v>709</v>
      </c>
      <c r="I46" s="2" t="s">
        <v>723</v>
      </c>
      <c r="J46" s="2" t="s">
        <v>727</v>
      </c>
      <c r="K46" s="2" t="s">
        <v>778</v>
      </c>
      <c r="L46" s="2">
        <v>675.43</v>
      </c>
      <c r="M46" s="2">
        <v>996.36</v>
      </c>
      <c r="N46" s="2">
        <v>0.182</v>
      </c>
      <c r="O46" s="2">
        <v>22</v>
      </c>
    </row>
    <row r="47" spans="1:15" x14ac:dyDescent="0.3">
      <c r="A47" s="2" t="s">
        <v>60</v>
      </c>
      <c r="B47" s="3">
        <v>45035</v>
      </c>
      <c r="C47" s="3">
        <v>45046</v>
      </c>
      <c r="D47" s="2" t="s">
        <v>647</v>
      </c>
      <c r="E47" s="2" t="s">
        <v>654</v>
      </c>
      <c r="F47" s="2" t="s">
        <v>680</v>
      </c>
      <c r="G47" s="2" t="s">
        <v>705</v>
      </c>
      <c r="H47" s="2" t="s">
        <v>707</v>
      </c>
      <c r="I47" s="2" t="s">
        <v>720</v>
      </c>
      <c r="J47" s="2" t="s">
        <v>729</v>
      </c>
      <c r="K47" s="2" t="s">
        <v>779</v>
      </c>
      <c r="L47" s="2">
        <v>826.55</v>
      </c>
      <c r="M47" s="2">
        <v>1397.05</v>
      </c>
      <c r="N47" s="2">
        <v>0.16900000000000001</v>
      </c>
      <c r="O47" s="2">
        <v>28</v>
      </c>
    </row>
    <row r="48" spans="1:15" x14ac:dyDescent="0.3">
      <c r="A48" s="2" t="s">
        <v>61</v>
      </c>
      <c r="B48" s="3">
        <v>45100</v>
      </c>
      <c r="C48" s="3">
        <v>45110</v>
      </c>
      <c r="D48" s="2" t="s">
        <v>646</v>
      </c>
      <c r="E48" s="2" t="s">
        <v>651</v>
      </c>
      <c r="F48" s="2" t="s">
        <v>669</v>
      </c>
      <c r="G48" s="2" t="s">
        <v>704</v>
      </c>
      <c r="H48" s="2" t="s">
        <v>708</v>
      </c>
      <c r="I48" s="2" t="s">
        <v>713</v>
      </c>
      <c r="J48" s="2" t="s">
        <v>728</v>
      </c>
      <c r="K48" s="2" t="s">
        <v>780</v>
      </c>
      <c r="L48" s="2">
        <v>337.75</v>
      </c>
      <c r="M48" s="2">
        <v>548.89</v>
      </c>
      <c r="N48" s="2">
        <v>0</v>
      </c>
      <c r="O48" s="2">
        <v>13</v>
      </c>
    </row>
    <row r="49" spans="1:15" x14ac:dyDescent="0.3">
      <c r="A49" s="2" t="s">
        <v>62</v>
      </c>
      <c r="B49" s="3">
        <v>45426</v>
      </c>
      <c r="C49" s="3">
        <v>45440</v>
      </c>
      <c r="D49" s="2" t="s">
        <v>649</v>
      </c>
      <c r="E49" s="2" t="s">
        <v>658</v>
      </c>
      <c r="F49" s="2" t="s">
        <v>674</v>
      </c>
      <c r="G49" s="2" t="s">
        <v>704</v>
      </c>
      <c r="H49" s="2" t="s">
        <v>707</v>
      </c>
      <c r="I49" s="2" t="s">
        <v>717</v>
      </c>
      <c r="J49" s="2" t="s">
        <v>729</v>
      </c>
      <c r="K49" s="2" t="s">
        <v>781</v>
      </c>
      <c r="L49" s="2">
        <v>1421.14</v>
      </c>
      <c r="M49" s="2">
        <v>3524</v>
      </c>
      <c r="N49" s="2">
        <v>0</v>
      </c>
      <c r="O49" s="2">
        <v>31</v>
      </c>
    </row>
    <row r="50" spans="1:15" x14ac:dyDescent="0.3">
      <c r="A50" s="2" t="s">
        <v>63</v>
      </c>
      <c r="B50" s="3">
        <v>45579</v>
      </c>
      <c r="C50" s="3">
        <v>45604</v>
      </c>
      <c r="D50" s="2" t="s">
        <v>646</v>
      </c>
      <c r="E50" s="2" t="s">
        <v>651</v>
      </c>
      <c r="F50" s="2" t="s">
        <v>665</v>
      </c>
      <c r="G50" s="2" t="s">
        <v>706</v>
      </c>
      <c r="H50" s="2" t="s">
        <v>708</v>
      </c>
      <c r="I50" s="2" t="s">
        <v>719</v>
      </c>
      <c r="J50" s="2" t="s">
        <v>729</v>
      </c>
      <c r="K50" s="2" t="s">
        <v>782</v>
      </c>
      <c r="L50" s="2">
        <v>859.35</v>
      </c>
      <c r="M50" s="2">
        <v>1825.61</v>
      </c>
      <c r="N50" s="2">
        <v>0.187</v>
      </c>
      <c r="O50" s="2">
        <v>24</v>
      </c>
    </row>
    <row r="51" spans="1:15" x14ac:dyDescent="0.3">
      <c r="A51" s="2" t="s">
        <v>64</v>
      </c>
      <c r="B51" s="3">
        <v>45117</v>
      </c>
      <c r="C51" s="3">
        <v>45139</v>
      </c>
      <c r="D51" s="2" t="s">
        <v>649</v>
      </c>
      <c r="E51" s="2" t="s">
        <v>657</v>
      </c>
      <c r="F51" s="2" t="s">
        <v>673</v>
      </c>
      <c r="G51" s="2" t="s">
        <v>704</v>
      </c>
      <c r="H51" s="2" t="s">
        <v>709</v>
      </c>
      <c r="I51" s="2" t="s">
        <v>717</v>
      </c>
      <c r="J51" s="2" t="s">
        <v>728</v>
      </c>
      <c r="K51" s="2" t="s">
        <v>783</v>
      </c>
      <c r="L51" s="2">
        <v>1303.56</v>
      </c>
      <c r="M51" s="2">
        <v>1791.37</v>
      </c>
      <c r="N51" s="2">
        <v>0.126</v>
      </c>
      <c r="O51" s="2">
        <v>22</v>
      </c>
    </row>
    <row r="52" spans="1:15" x14ac:dyDescent="0.3">
      <c r="A52" s="2" t="s">
        <v>65</v>
      </c>
      <c r="B52" s="3">
        <v>45602</v>
      </c>
      <c r="C52" s="3">
        <v>45618</v>
      </c>
      <c r="D52" s="2" t="s">
        <v>648</v>
      </c>
      <c r="E52" s="2" t="s">
        <v>653</v>
      </c>
      <c r="F52" s="2" t="s">
        <v>667</v>
      </c>
      <c r="G52" s="2" t="s">
        <v>703</v>
      </c>
      <c r="H52" s="2" t="s">
        <v>710</v>
      </c>
      <c r="I52" s="2" t="s">
        <v>726</v>
      </c>
      <c r="J52" s="2" t="s">
        <v>733</v>
      </c>
      <c r="K52" s="2" t="s">
        <v>784</v>
      </c>
      <c r="L52" s="2">
        <v>1454.11</v>
      </c>
      <c r="M52" s="2">
        <v>2629.75</v>
      </c>
      <c r="N52" s="2">
        <v>0.29199999999999998</v>
      </c>
      <c r="O52" s="2">
        <v>8</v>
      </c>
    </row>
    <row r="53" spans="1:15" x14ac:dyDescent="0.3">
      <c r="A53" s="2" t="s">
        <v>66</v>
      </c>
      <c r="B53" s="3">
        <v>45582</v>
      </c>
      <c r="C53" s="3">
        <v>45602</v>
      </c>
      <c r="D53" s="2" t="s">
        <v>647</v>
      </c>
      <c r="E53" s="2" t="s">
        <v>654</v>
      </c>
      <c r="F53" s="2" t="s">
        <v>668</v>
      </c>
      <c r="G53" s="2" t="s">
        <v>706</v>
      </c>
      <c r="H53" s="2" t="s">
        <v>710</v>
      </c>
      <c r="I53" s="2" t="s">
        <v>719</v>
      </c>
      <c r="J53" s="2" t="s">
        <v>732</v>
      </c>
      <c r="K53" s="2" t="s">
        <v>785</v>
      </c>
      <c r="L53" s="2">
        <v>72.94</v>
      </c>
      <c r="M53" s="2">
        <v>106.3</v>
      </c>
      <c r="N53" s="2">
        <v>0.29499999999999998</v>
      </c>
      <c r="O53" s="2">
        <v>8</v>
      </c>
    </row>
    <row r="54" spans="1:15" x14ac:dyDescent="0.3">
      <c r="A54" s="2" t="s">
        <v>67</v>
      </c>
      <c r="B54" s="3">
        <v>45016</v>
      </c>
      <c r="C54" s="3">
        <v>45021</v>
      </c>
      <c r="D54" s="2" t="s">
        <v>646</v>
      </c>
      <c r="E54" s="2" t="s">
        <v>650</v>
      </c>
      <c r="F54" s="2" t="s">
        <v>678</v>
      </c>
      <c r="G54" s="2" t="s">
        <v>702</v>
      </c>
      <c r="H54" s="2" t="s">
        <v>709</v>
      </c>
      <c r="I54" s="2" t="s">
        <v>717</v>
      </c>
      <c r="J54" s="2" t="s">
        <v>731</v>
      </c>
      <c r="K54" s="2" t="s">
        <v>786</v>
      </c>
      <c r="L54" s="2">
        <v>533.26</v>
      </c>
      <c r="M54" s="2">
        <v>385.72</v>
      </c>
      <c r="N54" s="2">
        <v>0</v>
      </c>
      <c r="O54" s="2">
        <v>15</v>
      </c>
    </row>
    <row r="55" spans="1:15" x14ac:dyDescent="0.3">
      <c r="A55" s="2" t="s">
        <v>68</v>
      </c>
      <c r="B55" s="3">
        <v>45678</v>
      </c>
      <c r="C55" s="3">
        <v>45704</v>
      </c>
      <c r="D55" s="2" t="s">
        <v>649</v>
      </c>
      <c r="E55" s="2" t="s">
        <v>657</v>
      </c>
      <c r="F55" s="2" t="s">
        <v>679</v>
      </c>
      <c r="G55" s="2" t="s">
        <v>701</v>
      </c>
      <c r="H55" s="2" t="s">
        <v>710</v>
      </c>
      <c r="I55" s="2" t="s">
        <v>719</v>
      </c>
      <c r="J55" s="2" t="s">
        <v>731</v>
      </c>
      <c r="K55" s="2" t="s">
        <v>787</v>
      </c>
      <c r="L55" s="2">
        <v>204.11</v>
      </c>
      <c r="M55" s="2">
        <v>236.87</v>
      </c>
      <c r="N55" s="2">
        <v>0.182</v>
      </c>
      <c r="O55" s="2">
        <v>13</v>
      </c>
    </row>
    <row r="56" spans="1:15" x14ac:dyDescent="0.3">
      <c r="A56" s="2" t="s">
        <v>69</v>
      </c>
      <c r="B56" s="3">
        <v>45168</v>
      </c>
      <c r="C56" s="3">
        <v>45170</v>
      </c>
      <c r="D56" s="2" t="s">
        <v>649</v>
      </c>
      <c r="E56" s="2" t="s">
        <v>656</v>
      </c>
      <c r="F56" s="2" t="s">
        <v>684</v>
      </c>
      <c r="G56" s="2" t="s">
        <v>701</v>
      </c>
      <c r="H56" s="2" t="s">
        <v>711</v>
      </c>
      <c r="I56" s="2" t="s">
        <v>725</v>
      </c>
      <c r="J56" s="2" t="s">
        <v>729</v>
      </c>
      <c r="K56" s="2" t="s">
        <v>788</v>
      </c>
      <c r="L56" s="2">
        <v>44.42</v>
      </c>
      <c r="M56" s="2">
        <v>41.9</v>
      </c>
      <c r="N56" s="2">
        <v>0.14399999999999999</v>
      </c>
      <c r="O56" s="2">
        <v>6</v>
      </c>
    </row>
    <row r="57" spans="1:15" x14ac:dyDescent="0.3">
      <c r="A57" s="2" t="s">
        <v>70</v>
      </c>
      <c r="B57" s="3">
        <v>45753</v>
      </c>
      <c r="C57" s="3">
        <v>45777</v>
      </c>
      <c r="D57" s="2" t="s">
        <v>648</v>
      </c>
      <c r="E57" s="2" t="s">
        <v>655</v>
      </c>
      <c r="F57" s="2" t="s">
        <v>672</v>
      </c>
      <c r="G57" s="2" t="s">
        <v>702</v>
      </c>
      <c r="H57" s="2" t="s">
        <v>708</v>
      </c>
      <c r="I57" s="2" t="s">
        <v>723</v>
      </c>
      <c r="J57" s="2" t="s">
        <v>732</v>
      </c>
      <c r="K57" s="2" t="s">
        <v>789</v>
      </c>
      <c r="L57" s="2">
        <v>855.78</v>
      </c>
      <c r="M57" s="2">
        <v>977.38</v>
      </c>
      <c r="N57" s="2">
        <v>0.14699999999999999</v>
      </c>
      <c r="O57" s="2">
        <v>38</v>
      </c>
    </row>
    <row r="58" spans="1:15" x14ac:dyDescent="0.3">
      <c r="A58" s="2" t="s">
        <v>71</v>
      </c>
      <c r="B58" s="3">
        <v>45697</v>
      </c>
      <c r="C58" s="3">
        <v>45717</v>
      </c>
      <c r="D58" s="2" t="s">
        <v>648</v>
      </c>
      <c r="E58" s="2" t="s">
        <v>655</v>
      </c>
      <c r="F58" s="2" t="s">
        <v>670</v>
      </c>
      <c r="G58" s="2" t="s">
        <v>701</v>
      </c>
      <c r="H58" s="2" t="s">
        <v>710</v>
      </c>
      <c r="I58" s="2" t="s">
        <v>717</v>
      </c>
      <c r="J58" s="2" t="s">
        <v>731</v>
      </c>
      <c r="K58" s="2" t="s">
        <v>790</v>
      </c>
      <c r="L58" s="2">
        <v>1154.6400000000001</v>
      </c>
      <c r="M58" s="2">
        <v>2794.13</v>
      </c>
      <c r="N58" s="2">
        <v>3.5000000000000003E-2</v>
      </c>
      <c r="O58" s="2">
        <v>11</v>
      </c>
    </row>
    <row r="59" spans="1:15" x14ac:dyDescent="0.3">
      <c r="A59" s="2" t="s">
        <v>72</v>
      </c>
      <c r="B59" s="3">
        <v>45643</v>
      </c>
      <c r="C59" s="3">
        <v>45644</v>
      </c>
      <c r="D59" s="2" t="s">
        <v>649</v>
      </c>
      <c r="E59" s="2" t="s">
        <v>656</v>
      </c>
      <c r="F59" s="2" t="s">
        <v>684</v>
      </c>
      <c r="G59" s="2" t="s">
        <v>702</v>
      </c>
      <c r="H59" s="2" t="s">
        <v>707</v>
      </c>
      <c r="I59" s="2" t="s">
        <v>716</v>
      </c>
      <c r="J59" s="2" t="s">
        <v>733</v>
      </c>
      <c r="K59" s="2" t="s">
        <v>791</v>
      </c>
      <c r="L59" s="2">
        <v>346.82</v>
      </c>
      <c r="M59" s="2">
        <v>701.95</v>
      </c>
      <c r="N59" s="2">
        <v>0.14699999999999999</v>
      </c>
      <c r="O59" s="2">
        <v>8</v>
      </c>
    </row>
    <row r="60" spans="1:15" x14ac:dyDescent="0.3">
      <c r="A60" s="2" t="s">
        <v>73</v>
      </c>
      <c r="B60" s="3">
        <v>45817</v>
      </c>
      <c r="C60" s="3">
        <v>45826</v>
      </c>
      <c r="D60" s="2" t="s">
        <v>649</v>
      </c>
      <c r="E60" s="2" t="s">
        <v>657</v>
      </c>
      <c r="F60" s="2" t="s">
        <v>673</v>
      </c>
      <c r="G60" s="2" t="s">
        <v>705</v>
      </c>
      <c r="H60" s="2" t="s">
        <v>709</v>
      </c>
      <c r="I60" s="2" t="s">
        <v>722</v>
      </c>
      <c r="J60" s="2" t="s">
        <v>733</v>
      </c>
      <c r="K60" s="2" t="s">
        <v>792</v>
      </c>
      <c r="L60" s="2">
        <v>1225.5</v>
      </c>
      <c r="M60" s="2">
        <v>-5.27</v>
      </c>
      <c r="N60" s="2">
        <v>7.4999999999999997E-2</v>
      </c>
      <c r="O60" s="2">
        <v>56</v>
      </c>
    </row>
    <row r="61" spans="1:15" x14ac:dyDescent="0.3">
      <c r="A61" s="2" t="s">
        <v>74</v>
      </c>
      <c r="B61" s="3">
        <v>45779</v>
      </c>
      <c r="C61" s="3">
        <v>45790</v>
      </c>
      <c r="D61" s="2" t="s">
        <v>646</v>
      </c>
      <c r="E61" s="2" t="s">
        <v>650</v>
      </c>
      <c r="F61" s="2" t="s">
        <v>678</v>
      </c>
      <c r="G61" s="2" t="s">
        <v>705</v>
      </c>
      <c r="H61" s="2" t="s">
        <v>708</v>
      </c>
      <c r="I61" s="2" t="s">
        <v>720</v>
      </c>
      <c r="J61" s="2" t="s">
        <v>733</v>
      </c>
      <c r="K61" s="2" t="s">
        <v>793</v>
      </c>
      <c r="L61" s="2">
        <v>1057.5999999999999</v>
      </c>
      <c r="M61" s="2">
        <v>1437.06</v>
      </c>
      <c r="N61" s="2">
        <v>0.20499999999999999</v>
      </c>
      <c r="O61" s="2">
        <v>4</v>
      </c>
    </row>
    <row r="62" spans="1:15" x14ac:dyDescent="0.3">
      <c r="A62" s="2" t="s">
        <v>75</v>
      </c>
      <c r="B62" s="3">
        <v>45361</v>
      </c>
      <c r="C62" s="3">
        <v>45391</v>
      </c>
      <c r="D62" s="2" t="s">
        <v>649</v>
      </c>
      <c r="E62" s="2" t="s">
        <v>657</v>
      </c>
      <c r="F62" s="2" t="s">
        <v>679</v>
      </c>
      <c r="G62" s="2" t="s">
        <v>701</v>
      </c>
      <c r="H62" s="2" t="s">
        <v>711</v>
      </c>
      <c r="I62" s="2" t="s">
        <v>714</v>
      </c>
      <c r="J62" s="2" t="s">
        <v>727</v>
      </c>
      <c r="K62" s="2" t="s">
        <v>794</v>
      </c>
      <c r="L62" s="2">
        <v>1176.56</v>
      </c>
      <c r="M62" s="2">
        <v>1911.89</v>
      </c>
      <c r="N62" s="2">
        <v>0.11899999999999999</v>
      </c>
      <c r="O62" s="2">
        <v>20</v>
      </c>
    </row>
    <row r="63" spans="1:15" x14ac:dyDescent="0.3">
      <c r="A63" s="2" t="s">
        <v>76</v>
      </c>
      <c r="B63" s="3">
        <v>45910</v>
      </c>
      <c r="C63" s="3">
        <v>45912</v>
      </c>
      <c r="D63" s="2" t="s">
        <v>647</v>
      </c>
      <c r="E63" s="2" t="s">
        <v>652</v>
      </c>
      <c r="F63" s="2" t="s">
        <v>689</v>
      </c>
      <c r="G63" s="2" t="s">
        <v>704</v>
      </c>
      <c r="H63" s="2" t="s">
        <v>708</v>
      </c>
      <c r="I63" s="2" t="s">
        <v>719</v>
      </c>
      <c r="J63" s="2" t="s">
        <v>727</v>
      </c>
      <c r="K63" s="2" t="s">
        <v>795</v>
      </c>
      <c r="L63" s="2">
        <v>1470.15</v>
      </c>
      <c r="M63" s="2">
        <v>2593.7800000000002</v>
      </c>
      <c r="N63" s="2">
        <v>0.11</v>
      </c>
      <c r="O63" s="2">
        <v>12</v>
      </c>
    </row>
    <row r="64" spans="1:15" x14ac:dyDescent="0.3">
      <c r="A64" s="2" t="s">
        <v>77</v>
      </c>
      <c r="B64" s="3">
        <v>45774</v>
      </c>
      <c r="C64" s="3">
        <v>45802</v>
      </c>
      <c r="D64" s="2" t="s">
        <v>649</v>
      </c>
      <c r="E64" s="2" t="s">
        <v>657</v>
      </c>
      <c r="F64" s="2" t="s">
        <v>690</v>
      </c>
      <c r="G64" s="2" t="s">
        <v>705</v>
      </c>
      <c r="H64" s="2" t="s">
        <v>709</v>
      </c>
      <c r="I64" s="2" t="s">
        <v>714</v>
      </c>
      <c r="J64" s="2" t="s">
        <v>730</v>
      </c>
      <c r="K64" s="2" t="s">
        <v>796</v>
      </c>
      <c r="L64" s="2">
        <v>603.45000000000005</v>
      </c>
      <c r="M64" s="2">
        <v>1244.08</v>
      </c>
      <c r="N64" s="2">
        <v>0.2</v>
      </c>
      <c r="O64" s="2">
        <v>11</v>
      </c>
    </row>
    <row r="65" spans="1:15" x14ac:dyDescent="0.3">
      <c r="A65" s="2" t="s">
        <v>78</v>
      </c>
      <c r="B65" s="3">
        <v>45598</v>
      </c>
      <c r="C65" s="3">
        <v>45614</v>
      </c>
      <c r="D65" s="2" t="s">
        <v>647</v>
      </c>
      <c r="E65" s="2" t="s">
        <v>654</v>
      </c>
      <c r="F65" s="2" t="s">
        <v>691</v>
      </c>
      <c r="G65" s="2" t="s">
        <v>705</v>
      </c>
      <c r="H65" s="2" t="s">
        <v>710</v>
      </c>
      <c r="I65" s="2" t="s">
        <v>719</v>
      </c>
      <c r="J65" s="2" t="s">
        <v>732</v>
      </c>
      <c r="K65" s="2" t="s">
        <v>797</v>
      </c>
      <c r="L65" s="2">
        <v>1233.58</v>
      </c>
      <c r="M65" s="2">
        <v>1912.51</v>
      </c>
      <c r="N65" s="2">
        <v>0.255</v>
      </c>
      <c r="O65" s="2">
        <v>51</v>
      </c>
    </row>
    <row r="66" spans="1:15" x14ac:dyDescent="0.3">
      <c r="A66" s="2" t="s">
        <v>79</v>
      </c>
      <c r="B66" s="3">
        <v>44972</v>
      </c>
      <c r="C66" s="3">
        <v>44983</v>
      </c>
      <c r="D66" s="2" t="s">
        <v>646</v>
      </c>
      <c r="E66" s="2" t="s">
        <v>661</v>
      </c>
      <c r="F66" s="2" t="s">
        <v>682</v>
      </c>
      <c r="G66" s="2" t="s">
        <v>703</v>
      </c>
      <c r="H66" s="2" t="s">
        <v>707</v>
      </c>
      <c r="I66" s="2" t="s">
        <v>723</v>
      </c>
      <c r="J66" s="2" t="s">
        <v>731</v>
      </c>
      <c r="K66" s="2" t="s">
        <v>798</v>
      </c>
      <c r="L66" s="2">
        <v>498.5</v>
      </c>
      <c r="M66" s="2">
        <v>755.87</v>
      </c>
      <c r="N66" s="2">
        <v>0.13</v>
      </c>
      <c r="O66" s="2">
        <v>40</v>
      </c>
    </row>
    <row r="67" spans="1:15" x14ac:dyDescent="0.3">
      <c r="A67" s="2" t="s">
        <v>80</v>
      </c>
      <c r="B67" s="3">
        <v>45263</v>
      </c>
      <c r="C67" s="3">
        <v>45286</v>
      </c>
      <c r="D67" s="2" t="s">
        <v>648</v>
      </c>
      <c r="E67" s="2" t="s">
        <v>655</v>
      </c>
      <c r="F67" s="2" t="s">
        <v>692</v>
      </c>
      <c r="G67" s="2" t="s">
        <v>702</v>
      </c>
      <c r="H67" s="2" t="s">
        <v>707</v>
      </c>
      <c r="I67" s="2" t="s">
        <v>719</v>
      </c>
      <c r="J67" s="2" t="s">
        <v>730</v>
      </c>
      <c r="K67" s="2" t="s">
        <v>799</v>
      </c>
      <c r="L67" s="2">
        <v>1303.1099999999999</v>
      </c>
      <c r="M67" s="2">
        <v>1145.67</v>
      </c>
      <c r="N67" s="2">
        <v>0.184</v>
      </c>
      <c r="O67" s="2">
        <v>13</v>
      </c>
    </row>
    <row r="68" spans="1:15" x14ac:dyDescent="0.3">
      <c r="A68" s="2" t="s">
        <v>81</v>
      </c>
      <c r="B68" s="3">
        <v>45004</v>
      </c>
      <c r="C68" s="3">
        <v>45025</v>
      </c>
      <c r="D68" s="2" t="s">
        <v>649</v>
      </c>
      <c r="E68" s="2" t="s">
        <v>658</v>
      </c>
      <c r="F68" s="2" t="s">
        <v>693</v>
      </c>
      <c r="G68" s="2" t="s">
        <v>704</v>
      </c>
      <c r="H68" s="2" t="s">
        <v>707</v>
      </c>
      <c r="I68" s="2" t="s">
        <v>716</v>
      </c>
      <c r="J68" s="2" t="s">
        <v>733</v>
      </c>
      <c r="K68" s="2" t="s">
        <v>800</v>
      </c>
      <c r="L68" s="2">
        <v>1082.17</v>
      </c>
      <c r="M68" s="2">
        <v>1234.0999999999999</v>
      </c>
      <c r="N68" s="2">
        <v>0.189</v>
      </c>
      <c r="O68" s="2">
        <v>16</v>
      </c>
    </row>
    <row r="69" spans="1:15" x14ac:dyDescent="0.3">
      <c r="A69" s="2" t="s">
        <v>82</v>
      </c>
      <c r="B69" s="3">
        <v>45434</v>
      </c>
      <c r="C69" s="3">
        <v>45449</v>
      </c>
      <c r="D69" s="2" t="s">
        <v>647</v>
      </c>
      <c r="E69" s="2" t="s">
        <v>652</v>
      </c>
      <c r="F69" s="2" t="s">
        <v>694</v>
      </c>
      <c r="G69" s="2" t="s">
        <v>701</v>
      </c>
      <c r="H69" s="2" t="s">
        <v>710</v>
      </c>
      <c r="I69" s="2" t="s">
        <v>712</v>
      </c>
      <c r="J69" s="2" t="s">
        <v>732</v>
      </c>
      <c r="K69" s="2" t="s">
        <v>801</v>
      </c>
      <c r="L69" s="2">
        <v>673.88</v>
      </c>
      <c r="M69" s="2">
        <v>1228.01</v>
      </c>
      <c r="N69" s="2">
        <v>0.105</v>
      </c>
      <c r="O69" s="2">
        <v>13</v>
      </c>
    </row>
    <row r="70" spans="1:15" x14ac:dyDescent="0.3">
      <c r="A70" s="2" t="s">
        <v>83</v>
      </c>
      <c r="B70" s="3">
        <v>45157</v>
      </c>
      <c r="C70" s="3">
        <v>45176</v>
      </c>
      <c r="D70" s="2" t="s">
        <v>646</v>
      </c>
      <c r="E70" s="2" t="s">
        <v>661</v>
      </c>
      <c r="F70" s="2" t="s">
        <v>682</v>
      </c>
      <c r="G70" s="2" t="s">
        <v>706</v>
      </c>
      <c r="H70" s="2" t="s">
        <v>707</v>
      </c>
      <c r="I70" s="2" t="s">
        <v>726</v>
      </c>
      <c r="J70" s="2" t="s">
        <v>732</v>
      </c>
      <c r="K70" s="2" t="s">
        <v>802</v>
      </c>
      <c r="L70" s="2">
        <v>494.61</v>
      </c>
      <c r="M70" s="2">
        <v>605.23</v>
      </c>
      <c r="N70" s="2">
        <v>0.20399999999999999</v>
      </c>
      <c r="O70" s="2">
        <v>18</v>
      </c>
    </row>
    <row r="71" spans="1:15" x14ac:dyDescent="0.3">
      <c r="A71" s="2" t="s">
        <v>84</v>
      </c>
      <c r="B71" s="3">
        <v>45037</v>
      </c>
      <c r="C71" s="3">
        <v>45056</v>
      </c>
      <c r="D71" s="2" t="s">
        <v>647</v>
      </c>
      <c r="E71" s="2" t="s">
        <v>659</v>
      </c>
      <c r="F71" s="2" t="s">
        <v>685</v>
      </c>
      <c r="G71" s="2" t="s">
        <v>701</v>
      </c>
      <c r="H71" s="2" t="s">
        <v>707</v>
      </c>
      <c r="I71" s="2" t="s">
        <v>720</v>
      </c>
      <c r="J71" s="2" t="s">
        <v>727</v>
      </c>
      <c r="K71" s="2" t="s">
        <v>803</v>
      </c>
      <c r="L71" s="2">
        <v>882.33</v>
      </c>
      <c r="M71" s="2">
        <v>1880.15</v>
      </c>
      <c r="N71" s="2">
        <v>0.05</v>
      </c>
      <c r="O71" s="2">
        <v>5</v>
      </c>
    </row>
    <row r="72" spans="1:15" x14ac:dyDescent="0.3">
      <c r="A72" s="2" t="s">
        <v>85</v>
      </c>
      <c r="B72" s="3">
        <v>45369</v>
      </c>
      <c r="C72" s="3">
        <v>45372</v>
      </c>
      <c r="D72" s="2" t="s">
        <v>649</v>
      </c>
      <c r="E72" s="2" t="s">
        <v>656</v>
      </c>
      <c r="F72" s="2" t="s">
        <v>684</v>
      </c>
      <c r="G72" s="2" t="s">
        <v>705</v>
      </c>
      <c r="H72" s="2" t="s">
        <v>708</v>
      </c>
      <c r="I72" s="2" t="s">
        <v>724</v>
      </c>
      <c r="J72" s="2" t="s">
        <v>733</v>
      </c>
      <c r="K72" s="2" t="s">
        <v>804</v>
      </c>
      <c r="L72" s="2">
        <v>910.63</v>
      </c>
      <c r="M72" s="2">
        <v>1269.4000000000001</v>
      </c>
      <c r="N72" s="2">
        <v>6.8000000000000005E-2</v>
      </c>
      <c r="O72" s="2">
        <v>9</v>
      </c>
    </row>
    <row r="73" spans="1:15" x14ac:dyDescent="0.3">
      <c r="A73" s="2" t="s">
        <v>86</v>
      </c>
      <c r="B73" s="3">
        <v>45756</v>
      </c>
      <c r="C73" s="3">
        <v>45783</v>
      </c>
      <c r="D73" s="2" t="s">
        <v>648</v>
      </c>
      <c r="E73" s="2" t="s">
        <v>655</v>
      </c>
      <c r="F73" s="2" t="s">
        <v>672</v>
      </c>
      <c r="G73" s="2" t="s">
        <v>706</v>
      </c>
      <c r="H73" s="2" t="s">
        <v>709</v>
      </c>
      <c r="I73" s="2" t="s">
        <v>721</v>
      </c>
      <c r="J73" s="2" t="s">
        <v>731</v>
      </c>
      <c r="K73" s="2" t="s">
        <v>805</v>
      </c>
      <c r="L73" s="2">
        <v>264.19</v>
      </c>
      <c r="M73" s="2">
        <v>620.92999999999995</v>
      </c>
      <c r="N73" s="2">
        <v>0.14199999999999999</v>
      </c>
      <c r="O73" s="2">
        <v>12</v>
      </c>
    </row>
    <row r="74" spans="1:15" x14ac:dyDescent="0.3">
      <c r="A74" s="2" t="s">
        <v>87</v>
      </c>
      <c r="B74" s="3">
        <v>45394</v>
      </c>
      <c r="C74" s="3">
        <v>45419</v>
      </c>
      <c r="D74" s="2" t="s">
        <v>646</v>
      </c>
      <c r="E74" s="2" t="s">
        <v>661</v>
      </c>
      <c r="F74" s="2" t="s">
        <v>682</v>
      </c>
      <c r="G74" s="2" t="s">
        <v>702</v>
      </c>
      <c r="H74" s="2" t="s">
        <v>710</v>
      </c>
      <c r="I74" s="2" t="s">
        <v>720</v>
      </c>
      <c r="J74" s="2" t="s">
        <v>731</v>
      </c>
      <c r="K74" s="2" t="s">
        <v>806</v>
      </c>
      <c r="L74" s="2">
        <v>1376.51</v>
      </c>
      <c r="M74" s="2">
        <v>1455.91</v>
      </c>
      <c r="N74" s="2">
        <v>0.185</v>
      </c>
      <c r="O74" s="2">
        <v>17</v>
      </c>
    </row>
    <row r="75" spans="1:15" x14ac:dyDescent="0.3">
      <c r="A75" s="2" t="s">
        <v>88</v>
      </c>
      <c r="B75" s="3">
        <v>45641</v>
      </c>
      <c r="C75" s="3">
        <v>45646</v>
      </c>
      <c r="D75" s="2" t="s">
        <v>647</v>
      </c>
      <c r="E75" s="2" t="s">
        <v>659</v>
      </c>
      <c r="F75" s="2" t="s">
        <v>676</v>
      </c>
      <c r="G75" s="2" t="s">
        <v>705</v>
      </c>
      <c r="H75" s="2" t="s">
        <v>711</v>
      </c>
      <c r="I75" s="2" t="s">
        <v>713</v>
      </c>
      <c r="J75" s="2" t="s">
        <v>729</v>
      </c>
      <c r="K75" s="2" t="s">
        <v>807</v>
      </c>
      <c r="L75" s="2">
        <v>717.55</v>
      </c>
      <c r="M75" s="2">
        <v>546.42999999999995</v>
      </c>
      <c r="N75" s="2">
        <v>4.7E-2</v>
      </c>
      <c r="O75" s="2">
        <v>18</v>
      </c>
    </row>
    <row r="76" spans="1:15" x14ac:dyDescent="0.3">
      <c r="A76" s="2" t="s">
        <v>89</v>
      </c>
      <c r="B76" s="3">
        <v>45066</v>
      </c>
      <c r="C76" s="3">
        <v>45064</v>
      </c>
      <c r="D76" s="2" t="s">
        <v>646</v>
      </c>
      <c r="E76" s="2" t="s">
        <v>661</v>
      </c>
      <c r="F76" s="2" t="s">
        <v>687</v>
      </c>
      <c r="G76" s="2" t="s">
        <v>701</v>
      </c>
      <c r="H76" s="2" t="s">
        <v>710</v>
      </c>
      <c r="I76" s="2" t="s">
        <v>720</v>
      </c>
      <c r="J76" s="2" t="s">
        <v>727</v>
      </c>
      <c r="K76" s="2" t="s">
        <v>808</v>
      </c>
      <c r="L76" s="2">
        <v>917.88</v>
      </c>
      <c r="M76" s="2">
        <v>1347.92</v>
      </c>
      <c r="N76" s="2">
        <v>0.34300000000000003</v>
      </c>
      <c r="O76" s="2">
        <v>5</v>
      </c>
    </row>
    <row r="77" spans="1:15" x14ac:dyDescent="0.3">
      <c r="A77" s="2" t="s">
        <v>90</v>
      </c>
      <c r="B77" s="3">
        <v>45187</v>
      </c>
      <c r="C77" s="3">
        <v>45207</v>
      </c>
      <c r="D77" s="2" t="s">
        <v>647</v>
      </c>
      <c r="E77" s="2" t="s">
        <v>654</v>
      </c>
      <c r="F77" s="2" t="s">
        <v>680</v>
      </c>
      <c r="G77" s="2" t="s">
        <v>705</v>
      </c>
      <c r="H77" s="2" t="s">
        <v>711</v>
      </c>
      <c r="I77" s="2" t="s">
        <v>717</v>
      </c>
      <c r="J77" s="2" t="s">
        <v>727</v>
      </c>
      <c r="K77" s="2" t="s">
        <v>809</v>
      </c>
      <c r="L77" s="2">
        <v>825.64</v>
      </c>
      <c r="M77" s="2">
        <v>1108.43</v>
      </c>
      <c r="N77" s="2">
        <v>0.114</v>
      </c>
      <c r="O77" s="2">
        <v>7</v>
      </c>
    </row>
    <row r="78" spans="1:15" x14ac:dyDescent="0.3">
      <c r="A78" s="2" t="s">
        <v>91</v>
      </c>
      <c r="B78" s="3">
        <v>45532</v>
      </c>
      <c r="C78" s="3">
        <v>45560</v>
      </c>
      <c r="D78" s="2" t="s">
        <v>648</v>
      </c>
      <c r="E78" s="2" t="s">
        <v>655</v>
      </c>
      <c r="F78" s="2" t="s">
        <v>692</v>
      </c>
      <c r="G78" s="2" t="s">
        <v>703</v>
      </c>
      <c r="H78" s="2" t="s">
        <v>708</v>
      </c>
      <c r="I78" s="2"/>
      <c r="J78" s="2" t="s">
        <v>733</v>
      </c>
      <c r="K78" s="2" t="s">
        <v>810</v>
      </c>
      <c r="L78" s="2">
        <v>1394.65</v>
      </c>
      <c r="M78" s="2">
        <v>3144.1</v>
      </c>
      <c r="N78" s="2">
        <v>0.13400000000000001</v>
      </c>
      <c r="O78" s="2">
        <v>13</v>
      </c>
    </row>
    <row r="79" spans="1:15" x14ac:dyDescent="0.3">
      <c r="A79" s="2" t="s">
        <v>92</v>
      </c>
      <c r="B79" s="3">
        <v>45473</v>
      </c>
      <c r="C79" s="3">
        <v>45471</v>
      </c>
      <c r="D79" s="2" t="s">
        <v>648</v>
      </c>
      <c r="E79" s="2" t="s">
        <v>655</v>
      </c>
      <c r="F79" s="2" t="s">
        <v>692</v>
      </c>
      <c r="G79" s="2" t="s">
        <v>705</v>
      </c>
      <c r="H79" s="2" t="s">
        <v>711</v>
      </c>
      <c r="I79" s="2" t="s">
        <v>716</v>
      </c>
      <c r="J79" s="2" t="s">
        <v>733</v>
      </c>
      <c r="K79" s="2" t="s">
        <v>811</v>
      </c>
      <c r="L79" s="2">
        <v>1112.98</v>
      </c>
      <c r="M79" s="2">
        <v>2095.73</v>
      </c>
      <c r="N79" s="2">
        <v>7.1999999999999995E-2</v>
      </c>
      <c r="O79" s="2">
        <v>17</v>
      </c>
    </row>
    <row r="80" spans="1:15" x14ac:dyDescent="0.3">
      <c r="A80" s="2" t="s">
        <v>93</v>
      </c>
      <c r="B80" s="3">
        <v>45091</v>
      </c>
      <c r="C80" s="3">
        <v>45093</v>
      </c>
      <c r="D80" s="2" t="s">
        <v>649</v>
      </c>
      <c r="E80" s="2" t="s">
        <v>658</v>
      </c>
      <c r="F80" s="2" t="s">
        <v>693</v>
      </c>
      <c r="G80" s="2" t="s">
        <v>703</v>
      </c>
      <c r="H80" s="2" t="s">
        <v>711</v>
      </c>
      <c r="I80" s="2" t="s">
        <v>723</v>
      </c>
      <c r="J80" s="2" t="s">
        <v>727</v>
      </c>
      <c r="K80" s="2" t="s">
        <v>812</v>
      </c>
      <c r="L80" s="2">
        <v>357.36</v>
      </c>
      <c r="M80" s="2">
        <v>703.62</v>
      </c>
      <c r="N80" s="2">
        <v>0.25700000000000001</v>
      </c>
      <c r="O80" s="2">
        <v>20</v>
      </c>
    </row>
    <row r="81" spans="1:15" x14ac:dyDescent="0.3">
      <c r="A81" s="2" t="s">
        <v>94</v>
      </c>
      <c r="B81" s="3">
        <v>45617</v>
      </c>
      <c r="C81" s="3">
        <v>45647</v>
      </c>
      <c r="D81" s="2" t="s">
        <v>649</v>
      </c>
      <c r="E81" s="2" t="s">
        <v>657</v>
      </c>
      <c r="F81" s="2" t="s">
        <v>673</v>
      </c>
      <c r="G81" s="2" t="s">
        <v>705</v>
      </c>
      <c r="H81" s="2" t="s">
        <v>711</v>
      </c>
      <c r="I81" s="2" t="s">
        <v>714</v>
      </c>
      <c r="J81" s="2" t="s">
        <v>732</v>
      </c>
      <c r="K81" s="2" t="s">
        <v>813</v>
      </c>
      <c r="L81" s="2">
        <v>1122.68</v>
      </c>
      <c r="M81" s="2">
        <v>1997.19</v>
      </c>
      <c r="N81" s="2">
        <v>0.186</v>
      </c>
      <c r="O81" s="2">
        <v>3</v>
      </c>
    </row>
    <row r="82" spans="1:15" x14ac:dyDescent="0.3">
      <c r="A82" s="2" t="s">
        <v>95</v>
      </c>
      <c r="B82" s="3">
        <v>44965</v>
      </c>
      <c r="C82" s="3">
        <v>44968</v>
      </c>
      <c r="D82" s="2" t="s">
        <v>646</v>
      </c>
      <c r="E82" s="2" t="s">
        <v>661</v>
      </c>
      <c r="F82" s="2" t="s">
        <v>695</v>
      </c>
      <c r="G82" s="2" t="s">
        <v>701</v>
      </c>
      <c r="H82" s="2" t="s">
        <v>711</v>
      </c>
      <c r="I82" s="2" t="s">
        <v>724</v>
      </c>
      <c r="J82" s="2" t="s">
        <v>729</v>
      </c>
      <c r="K82" s="2" t="s">
        <v>814</v>
      </c>
      <c r="L82" s="2">
        <v>1410.05</v>
      </c>
      <c r="M82" s="2">
        <v>2763.95</v>
      </c>
      <c r="N82" s="2">
        <v>0.161</v>
      </c>
      <c r="O82" s="2">
        <v>26</v>
      </c>
    </row>
    <row r="83" spans="1:15" x14ac:dyDescent="0.3">
      <c r="A83" s="2" t="s">
        <v>96</v>
      </c>
      <c r="B83" s="3">
        <v>45157</v>
      </c>
      <c r="C83" s="3">
        <v>45181</v>
      </c>
      <c r="D83" s="2" t="s">
        <v>648</v>
      </c>
      <c r="E83" s="2" t="s">
        <v>653</v>
      </c>
      <c r="F83" s="2" t="s">
        <v>688</v>
      </c>
      <c r="G83" s="2" t="s">
        <v>706</v>
      </c>
      <c r="H83" s="2" t="s">
        <v>707</v>
      </c>
      <c r="I83" s="2" t="s">
        <v>714</v>
      </c>
      <c r="J83" s="2" t="s">
        <v>728</v>
      </c>
      <c r="K83" s="2" t="s">
        <v>815</v>
      </c>
      <c r="L83" s="2">
        <v>1183.95</v>
      </c>
      <c r="M83" s="2">
        <v>1503.53</v>
      </c>
      <c r="N83" s="2">
        <v>0.24099999999999999</v>
      </c>
      <c r="O83" s="2">
        <v>16</v>
      </c>
    </row>
    <row r="84" spans="1:15" x14ac:dyDescent="0.3">
      <c r="A84" s="2" t="s">
        <v>97</v>
      </c>
      <c r="B84" s="3">
        <v>45791</v>
      </c>
      <c r="C84" s="3">
        <v>45801</v>
      </c>
      <c r="D84" s="2" t="s">
        <v>649</v>
      </c>
      <c r="E84" s="2" t="s">
        <v>657</v>
      </c>
      <c r="F84" s="2" t="s">
        <v>690</v>
      </c>
      <c r="G84" s="2" t="s">
        <v>705</v>
      </c>
      <c r="H84" s="2" t="s">
        <v>709</v>
      </c>
      <c r="I84" s="2" t="s">
        <v>723</v>
      </c>
      <c r="J84" s="2" t="s">
        <v>727</v>
      </c>
      <c r="K84" s="2" t="s">
        <v>816</v>
      </c>
      <c r="L84" s="2">
        <v>170.39</v>
      </c>
      <c r="M84" s="2">
        <v>388.04</v>
      </c>
      <c r="N84" s="2">
        <v>8.4000000000000005E-2</v>
      </c>
      <c r="O84" s="2">
        <v>15</v>
      </c>
    </row>
    <row r="85" spans="1:15" x14ac:dyDescent="0.3">
      <c r="A85" s="2" t="s">
        <v>98</v>
      </c>
      <c r="B85" s="3">
        <v>45770</v>
      </c>
      <c r="C85" s="3">
        <v>45769</v>
      </c>
      <c r="D85" s="2" t="s">
        <v>648</v>
      </c>
      <c r="E85" s="2" t="s">
        <v>660</v>
      </c>
      <c r="F85" s="2" t="s">
        <v>686</v>
      </c>
      <c r="G85" s="2" t="s">
        <v>703</v>
      </c>
      <c r="H85" s="2" t="s">
        <v>710</v>
      </c>
      <c r="I85" s="2" t="s">
        <v>726</v>
      </c>
      <c r="J85" s="2" t="s">
        <v>732</v>
      </c>
      <c r="K85" s="2" t="s">
        <v>817</v>
      </c>
      <c r="L85" s="2">
        <v>23.24</v>
      </c>
      <c r="M85" s="2">
        <v>44.57</v>
      </c>
      <c r="N85" s="2">
        <v>0.215</v>
      </c>
      <c r="O85" s="2">
        <v>15</v>
      </c>
    </row>
    <row r="86" spans="1:15" x14ac:dyDescent="0.3">
      <c r="A86" s="2" t="s">
        <v>99</v>
      </c>
      <c r="B86" s="3">
        <v>45741</v>
      </c>
      <c r="C86" s="3">
        <v>45764</v>
      </c>
      <c r="D86" s="2" t="s">
        <v>649</v>
      </c>
      <c r="E86" s="2" t="s">
        <v>658</v>
      </c>
      <c r="F86" s="2" t="s">
        <v>683</v>
      </c>
      <c r="G86" s="2" t="s">
        <v>704</v>
      </c>
      <c r="H86" s="2" t="s">
        <v>707</v>
      </c>
      <c r="I86" s="2" t="s">
        <v>722</v>
      </c>
      <c r="J86" s="2" t="s">
        <v>729</v>
      </c>
      <c r="K86" s="2" t="s">
        <v>818</v>
      </c>
      <c r="L86" s="2">
        <v>1421.19</v>
      </c>
      <c r="M86" s="2">
        <v>1808.26</v>
      </c>
      <c r="N86" s="2">
        <v>0.104</v>
      </c>
      <c r="O86" s="2">
        <v>13</v>
      </c>
    </row>
    <row r="87" spans="1:15" x14ac:dyDescent="0.3">
      <c r="A87" s="2" t="s">
        <v>100</v>
      </c>
      <c r="B87" s="3">
        <v>45282</v>
      </c>
      <c r="C87" s="3">
        <v>45283</v>
      </c>
      <c r="D87" s="2" t="s">
        <v>646</v>
      </c>
      <c r="E87" s="2" t="s">
        <v>661</v>
      </c>
      <c r="F87" s="2" t="s">
        <v>695</v>
      </c>
      <c r="G87" s="2" t="s">
        <v>703</v>
      </c>
      <c r="H87" s="2" t="s">
        <v>709</v>
      </c>
      <c r="I87" s="2" t="s">
        <v>726</v>
      </c>
      <c r="J87" s="2" t="s">
        <v>727</v>
      </c>
      <c r="K87" s="2" t="s">
        <v>819</v>
      </c>
      <c r="L87" s="2">
        <v>1186.18</v>
      </c>
      <c r="M87" s="2">
        <v>1285.0899999999999</v>
      </c>
      <c r="N87" s="2">
        <v>7.0000000000000007E-2</v>
      </c>
      <c r="O87" s="2">
        <v>11</v>
      </c>
    </row>
    <row r="88" spans="1:15" x14ac:dyDescent="0.3">
      <c r="A88" s="2" t="s">
        <v>101</v>
      </c>
      <c r="B88" s="3">
        <v>45388</v>
      </c>
      <c r="C88" s="3">
        <v>45407</v>
      </c>
      <c r="D88" s="2" t="s">
        <v>647</v>
      </c>
      <c r="E88" s="2" t="s">
        <v>659</v>
      </c>
      <c r="F88" s="2" t="s">
        <v>685</v>
      </c>
      <c r="G88" s="2" t="s">
        <v>701</v>
      </c>
      <c r="H88" s="2" t="s">
        <v>707</v>
      </c>
      <c r="I88" s="2" t="s">
        <v>723</v>
      </c>
      <c r="J88" s="2" t="s">
        <v>727</v>
      </c>
      <c r="K88" s="2" t="s">
        <v>820</v>
      </c>
      <c r="L88" s="2">
        <v>1366.48</v>
      </c>
      <c r="M88" s="2">
        <v>1678.14</v>
      </c>
      <c r="N88" s="2">
        <v>0.154</v>
      </c>
      <c r="O88" s="2">
        <v>10</v>
      </c>
    </row>
    <row r="89" spans="1:15" x14ac:dyDescent="0.3">
      <c r="A89" s="2" t="s">
        <v>102</v>
      </c>
      <c r="B89" s="3">
        <v>45876</v>
      </c>
      <c r="C89" s="3">
        <v>45888</v>
      </c>
      <c r="D89" s="2" t="s">
        <v>646</v>
      </c>
      <c r="E89" s="2" t="s">
        <v>650</v>
      </c>
      <c r="F89" s="2" t="s">
        <v>678</v>
      </c>
      <c r="G89" s="2" t="s">
        <v>701</v>
      </c>
      <c r="H89" s="2"/>
      <c r="I89" s="2" t="s">
        <v>724</v>
      </c>
      <c r="J89" s="2" t="s">
        <v>727</v>
      </c>
      <c r="K89" s="2" t="s">
        <v>821</v>
      </c>
      <c r="L89" s="2">
        <v>601.51</v>
      </c>
      <c r="M89" s="2">
        <v>679.35</v>
      </c>
      <c r="N89" s="2">
        <v>0.188</v>
      </c>
      <c r="O89" s="2">
        <v>3</v>
      </c>
    </row>
    <row r="90" spans="1:15" x14ac:dyDescent="0.3">
      <c r="A90" s="2" t="s">
        <v>103</v>
      </c>
      <c r="B90" s="3">
        <v>45312</v>
      </c>
      <c r="C90" s="3">
        <v>45316</v>
      </c>
      <c r="D90" s="2" t="s">
        <v>647</v>
      </c>
      <c r="E90" s="2" t="s">
        <v>654</v>
      </c>
      <c r="F90" s="2" t="s">
        <v>680</v>
      </c>
      <c r="G90" s="2" t="s">
        <v>704</v>
      </c>
      <c r="H90" s="2" t="s">
        <v>711</v>
      </c>
      <c r="I90" s="2" t="s">
        <v>712</v>
      </c>
      <c r="J90" s="2" t="s">
        <v>732</v>
      </c>
      <c r="K90" s="2" t="s">
        <v>822</v>
      </c>
      <c r="L90" s="2">
        <v>523.70000000000005</v>
      </c>
      <c r="M90" s="2">
        <v>1109.92</v>
      </c>
      <c r="N90" s="2">
        <v>0.03</v>
      </c>
      <c r="O90" s="2">
        <v>11</v>
      </c>
    </row>
    <row r="91" spans="1:15" x14ac:dyDescent="0.3">
      <c r="A91" s="2" t="s">
        <v>104</v>
      </c>
      <c r="B91" s="3">
        <v>45106</v>
      </c>
      <c r="C91" s="3">
        <v>45109</v>
      </c>
      <c r="D91" s="2" t="s">
        <v>647</v>
      </c>
      <c r="E91" s="2" t="s">
        <v>652</v>
      </c>
      <c r="F91" s="2" t="s">
        <v>694</v>
      </c>
      <c r="G91" s="2" t="s">
        <v>702</v>
      </c>
      <c r="H91" s="2" t="s">
        <v>709</v>
      </c>
      <c r="I91" s="2" t="s">
        <v>721</v>
      </c>
      <c r="J91" s="2" t="s">
        <v>732</v>
      </c>
      <c r="K91" s="2" t="s">
        <v>823</v>
      </c>
      <c r="L91" s="2">
        <v>55.65</v>
      </c>
      <c r="M91" s="2">
        <v>83.57</v>
      </c>
      <c r="N91" s="2">
        <v>6.6000000000000003E-2</v>
      </c>
      <c r="O91" s="2">
        <v>8</v>
      </c>
    </row>
    <row r="92" spans="1:15" x14ac:dyDescent="0.3">
      <c r="A92" s="2" t="s">
        <v>105</v>
      </c>
      <c r="B92" s="3">
        <v>45775</v>
      </c>
      <c r="C92" s="3">
        <v>45792</v>
      </c>
      <c r="D92" s="2" t="s">
        <v>647</v>
      </c>
      <c r="E92" s="2" t="s">
        <v>652</v>
      </c>
      <c r="F92" s="2" t="s">
        <v>694</v>
      </c>
      <c r="G92" s="2" t="s">
        <v>702</v>
      </c>
      <c r="H92" s="2" t="s">
        <v>711</v>
      </c>
      <c r="I92" s="2" t="s">
        <v>725</v>
      </c>
      <c r="J92" s="2" t="s">
        <v>729</v>
      </c>
      <c r="K92" s="2" t="s">
        <v>824</v>
      </c>
      <c r="L92" s="2">
        <v>691.19</v>
      </c>
      <c r="M92" s="2">
        <v>1284.3</v>
      </c>
      <c r="N92" s="2">
        <v>7.3999999999999996E-2</v>
      </c>
      <c r="O92" s="2">
        <v>7</v>
      </c>
    </row>
    <row r="93" spans="1:15" x14ac:dyDescent="0.3">
      <c r="A93" s="2" t="s">
        <v>106</v>
      </c>
      <c r="B93" s="3">
        <v>45817</v>
      </c>
      <c r="C93" s="3">
        <v>45833</v>
      </c>
      <c r="D93" s="2" t="s">
        <v>647</v>
      </c>
      <c r="E93" s="2" t="s">
        <v>654</v>
      </c>
      <c r="F93" s="2" t="s">
        <v>696</v>
      </c>
      <c r="G93" s="2" t="s">
        <v>706</v>
      </c>
      <c r="H93" s="2" t="s">
        <v>710</v>
      </c>
      <c r="I93" s="2" t="s">
        <v>724</v>
      </c>
      <c r="J93" s="2" t="s">
        <v>730</v>
      </c>
      <c r="K93" s="2" t="s">
        <v>825</v>
      </c>
      <c r="L93" s="2">
        <v>527.33000000000004</v>
      </c>
      <c r="M93" s="2">
        <v>911.72</v>
      </c>
      <c r="N93" s="2">
        <v>0.14399999999999999</v>
      </c>
      <c r="O93" s="2">
        <v>25</v>
      </c>
    </row>
    <row r="94" spans="1:15" x14ac:dyDescent="0.3">
      <c r="A94" s="2" t="s">
        <v>107</v>
      </c>
      <c r="B94" s="3">
        <v>45101</v>
      </c>
      <c r="C94" s="3">
        <v>45100</v>
      </c>
      <c r="D94" s="2" t="s">
        <v>648</v>
      </c>
      <c r="E94" s="2" t="s">
        <v>655</v>
      </c>
      <c r="F94" s="2" t="s">
        <v>692</v>
      </c>
      <c r="G94" s="2" t="s">
        <v>703</v>
      </c>
      <c r="H94" s="2" t="s">
        <v>707</v>
      </c>
      <c r="I94" s="2" t="s">
        <v>718</v>
      </c>
      <c r="J94" s="2" t="s">
        <v>728</v>
      </c>
      <c r="K94" s="2" t="s">
        <v>826</v>
      </c>
      <c r="L94" s="2">
        <v>804.01</v>
      </c>
      <c r="M94" s="2">
        <v>1405.07</v>
      </c>
      <c r="N94" s="2">
        <v>9.6000000000000002E-2</v>
      </c>
      <c r="O94" s="2">
        <v>8</v>
      </c>
    </row>
    <row r="95" spans="1:15" x14ac:dyDescent="0.3">
      <c r="A95" s="2" t="s">
        <v>108</v>
      </c>
      <c r="B95" s="3">
        <v>45569</v>
      </c>
      <c r="C95" s="3">
        <v>45598</v>
      </c>
      <c r="D95" s="2" t="s">
        <v>646</v>
      </c>
      <c r="E95" s="2" t="s">
        <v>651</v>
      </c>
      <c r="F95" s="2" t="s">
        <v>669</v>
      </c>
      <c r="G95" s="2" t="s">
        <v>701</v>
      </c>
      <c r="H95" s="2" t="s">
        <v>710</v>
      </c>
      <c r="I95" s="2" t="s">
        <v>721</v>
      </c>
      <c r="J95" s="2" t="s">
        <v>733</v>
      </c>
      <c r="K95" s="2" t="s">
        <v>827</v>
      </c>
      <c r="L95" s="2">
        <v>412.09</v>
      </c>
      <c r="M95" s="2">
        <v>968.94</v>
      </c>
      <c r="N95" s="2">
        <v>9.9000000000000005E-2</v>
      </c>
      <c r="O95" s="2">
        <v>23</v>
      </c>
    </row>
    <row r="96" spans="1:15" x14ac:dyDescent="0.3">
      <c r="A96" s="2" t="s">
        <v>109</v>
      </c>
      <c r="B96" s="3">
        <v>45910</v>
      </c>
      <c r="C96" s="3">
        <v>45930</v>
      </c>
      <c r="D96" s="2" t="s">
        <v>646</v>
      </c>
      <c r="E96" s="2" t="s">
        <v>650</v>
      </c>
      <c r="F96" s="2" t="s">
        <v>675</v>
      </c>
      <c r="G96" s="2" t="s">
        <v>701</v>
      </c>
      <c r="H96" s="2" t="s">
        <v>711</v>
      </c>
      <c r="I96" s="2" t="s">
        <v>716</v>
      </c>
      <c r="J96" s="2" t="s">
        <v>730</v>
      </c>
      <c r="K96" s="2" t="s">
        <v>828</v>
      </c>
      <c r="L96" s="2">
        <v>1009.48</v>
      </c>
      <c r="M96" s="2">
        <v>1088.81</v>
      </c>
      <c r="N96" s="2">
        <v>0.16</v>
      </c>
      <c r="O96" s="2">
        <v>6</v>
      </c>
    </row>
    <row r="97" spans="1:15" x14ac:dyDescent="0.3">
      <c r="A97" s="2" t="s">
        <v>110</v>
      </c>
      <c r="B97" s="3">
        <v>45022</v>
      </c>
      <c r="C97" s="3">
        <v>45043</v>
      </c>
      <c r="D97" s="2" t="s">
        <v>649</v>
      </c>
      <c r="E97" s="2" t="s">
        <v>658</v>
      </c>
      <c r="F97" s="2" t="s">
        <v>693</v>
      </c>
      <c r="G97" s="2" t="s">
        <v>706</v>
      </c>
      <c r="H97" s="2" t="s">
        <v>710</v>
      </c>
      <c r="I97" s="2" t="s">
        <v>714</v>
      </c>
      <c r="J97" s="2" t="s">
        <v>728</v>
      </c>
      <c r="K97" s="2" t="s">
        <v>829</v>
      </c>
      <c r="L97" s="2">
        <v>1084.79</v>
      </c>
      <c r="M97" s="2">
        <v>2484.9899999999998</v>
      </c>
      <c r="N97" s="2">
        <v>3.4000000000000002E-2</v>
      </c>
      <c r="O97" s="2">
        <v>18</v>
      </c>
    </row>
    <row r="98" spans="1:15" x14ac:dyDescent="0.3">
      <c r="A98" s="2" t="s">
        <v>111</v>
      </c>
      <c r="B98" s="3">
        <v>45870</v>
      </c>
      <c r="C98" s="3">
        <v>45885</v>
      </c>
      <c r="D98" s="2" t="s">
        <v>647</v>
      </c>
      <c r="E98" s="2" t="s">
        <v>654</v>
      </c>
      <c r="F98" s="2"/>
      <c r="G98" s="2" t="s">
        <v>706</v>
      </c>
      <c r="H98" s="2" t="s">
        <v>711</v>
      </c>
      <c r="I98" s="2" t="s">
        <v>719</v>
      </c>
      <c r="J98" s="2" t="s">
        <v>732</v>
      </c>
      <c r="K98" s="2" t="s">
        <v>830</v>
      </c>
      <c r="L98" s="2">
        <v>24.44</v>
      </c>
      <c r="M98" s="2">
        <v>28.69</v>
      </c>
      <c r="N98" s="2">
        <v>0.14599999999999999</v>
      </c>
      <c r="O98" s="2">
        <v>6</v>
      </c>
    </row>
    <row r="99" spans="1:15" x14ac:dyDescent="0.3">
      <c r="A99" s="2" t="s">
        <v>112</v>
      </c>
      <c r="B99" s="3">
        <v>45440</v>
      </c>
      <c r="C99" s="3">
        <v>45438</v>
      </c>
      <c r="D99" s="2" t="s">
        <v>646</v>
      </c>
      <c r="E99" s="2" t="s">
        <v>651</v>
      </c>
      <c r="F99" s="2" t="s">
        <v>669</v>
      </c>
      <c r="G99" s="2" t="s">
        <v>706</v>
      </c>
      <c r="H99" s="2" t="s">
        <v>708</v>
      </c>
      <c r="I99" s="2" t="s">
        <v>721</v>
      </c>
      <c r="J99" s="2" t="s">
        <v>733</v>
      </c>
      <c r="K99" s="2" t="s">
        <v>831</v>
      </c>
      <c r="L99" s="2">
        <v>1227.08</v>
      </c>
      <c r="M99" s="2">
        <v>1896.62</v>
      </c>
      <c r="N99" s="2">
        <v>0</v>
      </c>
      <c r="O99" s="2">
        <v>18</v>
      </c>
    </row>
    <row r="100" spans="1:15" x14ac:dyDescent="0.3">
      <c r="A100" s="2" t="s">
        <v>113</v>
      </c>
      <c r="B100" s="3">
        <v>45860</v>
      </c>
      <c r="C100" s="3">
        <v>45887</v>
      </c>
      <c r="D100" s="2" t="s">
        <v>647</v>
      </c>
      <c r="E100" s="2" t="s">
        <v>659</v>
      </c>
      <c r="F100" s="2" t="s">
        <v>676</v>
      </c>
      <c r="G100" s="2" t="s">
        <v>703</v>
      </c>
      <c r="H100" s="2" t="s">
        <v>709</v>
      </c>
      <c r="I100" s="2" t="s">
        <v>724</v>
      </c>
      <c r="J100" s="2" t="s">
        <v>729</v>
      </c>
      <c r="K100" s="2" t="s">
        <v>832</v>
      </c>
      <c r="L100" s="2">
        <v>547.32000000000005</v>
      </c>
      <c r="M100" s="2">
        <v>419.17</v>
      </c>
      <c r="N100" s="2">
        <v>9.1999999999999998E-2</v>
      </c>
      <c r="O100" s="2">
        <v>14</v>
      </c>
    </row>
    <row r="101" spans="1:15" x14ac:dyDescent="0.3">
      <c r="A101" s="2" t="s">
        <v>114</v>
      </c>
      <c r="B101" s="3">
        <v>44985</v>
      </c>
      <c r="C101" s="3">
        <v>45005</v>
      </c>
      <c r="D101" s="2" t="s">
        <v>649</v>
      </c>
      <c r="E101" s="2" t="s">
        <v>656</v>
      </c>
      <c r="F101" s="2" t="s">
        <v>671</v>
      </c>
      <c r="G101" s="2" t="s">
        <v>705</v>
      </c>
      <c r="H101" s="2" t="s">
        <v>711</v>
      </c>
      <c r="I101" s="2" t="s">
        <v>722</v>
      </c>
      <c r="J101" s="2" t="s">
        <v>731</v>
      </c>
      <c r="K101" s="2" t="s">
        <v>833</v>
      </c>
      <c r="L101" s="2">
        <v>1200.78</v>
      </c>
      <c r="M101" s="2">
        <v>2001.17</v>
      </c>
      <c r="N101" s="2">
        <v>0.29199999999999998</v>
      </c>
      <c r="O101" s="2">
        <v>18</v>
      </c>
    </row>
    <row r="102" spans="1:15" x14ac:dyDescent="0.3">
      <c r="A102" s="2" t="s">
        <v>115</v>
      </c>
      <c r="B102" s="3">
        <v>45684</v>
      </c>
      <c r="C102" s="3">
        <v>45703</v>
      </c>
      <c r="D102" s="2" t="s">
        <v>647</v>
      </c>
      <c r="E102" s="2" t="s">
        <v>659</v>
      </c>
      <c r="F102" s="2" t="s">
        <v>676</v>
      </c>
      <c r="G102" s="2" t="s">
        <v>703</v>
      </c>
      <c r="H102" s="2" t="s">
        <v>711</v>
      </c>
      <c r="I102" s="2" t="s">
        <v>716</v>
      </c>
      <c r="J102" s="2" t="s">
        <v>730</v>
      </c>
      <c r="K102" s="2" t="s">
        <v>834</v>
      </c>
      <c r="L102" s="2">
        <v>1253.22</v>
      </c>
      <c r="M102" s="2">
        <v>3104.71</v>
      </c>
      <c r="N102" s="2">
        <v>0</v>
      </c>
      <c r="O102" s="2">
        <v>17</v>
      </c>
    </row>
    <row r="103" spans="1:15" x14ac:dyDescent="0.3">
      <c r="A103" s="2" t="s">
        <v>116</v>
      </c>
      <c r="B103" s="3">
        <v>45304</v>
      </c>
      <c r="C103" s="3">
        <v>45313</v>
      </c>
      <c r="D103" s="2" t="s">
        <v>647</v>
      </c>
      <c r="E103" s="2" t="s">
        <v>654</v>
      </c>
      <c r="F103" s="2" t="s">
        <v>691</v>
      </c>
      <c r="G103" s="2" t="s">
        <v>706</v>
      </c>
      <c r="H103" s="2" t="s">
        <v>709</v>
      </c>
      <c r="I103" s="2" t="s">
        <v>713</v>
      </c>
      <c r="J103" s="2" t="s">
        <v>727</v>
      </c>
      <c r="K103" s="2" t="s">
        <v>835</v>
      </c>
      <c r="L103" s="2">
        <v>313.60000000000002</v>
      </c>
      <c r="M103" s="2">
        <v>334.28</v>
      </c>
      <c r="N103" s="2">
        <v>0.14000000000000001</v>
      </c>
      <c r="O103" s="2">
        <v>22</v>
      </c>
    </row>
    <row r="104" spans="1:15" x14ac:dyDescent="0.3">
      <c r="A104" s="2" t="s">
        <v>117</v>
      </c>
      <c r="B104" s="3">
        <v>45747</v>
      </c>
      <c r="C104" s="3">
        <v>45751</v>
      </c>
      <c r="D104" s="2" t="s">
        <v>646</v>
      </c>
      <c r="E104" s="2" t="s">
        <v>650</v>
      </c>
      <c r="F104" s="2" t="s">
        <v>678</v>
      </c>
      <c r="G104" s="2" t="s">
        <v>701</v>
      </c>
      <c r="H104" s="2" t="s">
        <v>711</v>
      </c>
      <c r="I104" s="2" t="s">
        <v>712</v>
      </c>
      <c r="J104" s="2" t="s">
        <v>731</v>
      </c>
      <c r="K104" s="2" t="s">
        <v>836</v>
      </c>
      <c r="L104" s="2">
        <v>862.08</v>
      </c>
      <c r="M104" s="2">
        <v>1952.83</v>
      </c>
      <c r="N104" s="2">
        <v>0</v>
      </c>
      <c r="O104" s="2">
        <v>7</v>
      </c>
    </row>
    <row r="105" spans="1:15" x14ac:dyDescent="0.3">
      <c r="A105" s="2" t="s">
        <v>118</v>
      </c>
      <c r="B105" s="3">
        <v>45631</v>
      </c>
      <c r="C105" s="3">
        <v>45654</v>
      </c>
      <c r="D105" s="2" t="s">
        <v>648</v>
      </c>
      <c r="E105" s="2" t="s">
        <v>653</v>
      </c>
      <c r="F105" s="2" t="s">
        <v>688</v>
      </c>
      <c r="G105" s="2" t="s">
        <v>701</v>
      </c>
      <c r="H105" s="2" t="s">
        <v>711</v>
      </c>
      <c r="I105" s="2" t="s">
        <v>721</v>
      </c>
      <c r="J105" s="2" t="s">
        <v>733</v>
      </c>
      <c r="K105" s="2" t="s">
        <v>837</v>
      </c>
      <c r="L105" s="2">
        <v>107.03</v>
      </c>
      <c r="M105" s="2">
        <v>242.29</v>
      </c>
      <c r="N105" s="2">
        <v>0.18</v>
      </c>
      <c r="O105" s="2">
        <v>30</v>
      </c>
    </row>
    <row r="106" spans="1:15" x14ac:dyDescent="0.3">
      <c r="A106" s="2" t="s">
        <v>119</v>
      </c>
      <c r="B106" s="3">
        <v>45549</v>
      </c>
      <c r="C106" s="3">
        <v>45570</v>
      </c>
      <c r="D106" s="2" t="s">
        <v>647</v>
      </c>
      <c r="E106" s="2" t="s">
        <v>659</v>
      </c>
      <c r="F106" s="2" t="s">
        <v>685</v>
      </c>
      <c r="G106" s="2" t="s">
        <v>705</v>
      </c>
      <c r="H106" s="2" t="s">
        <v>708</v>
      </c>
      <c r="I106" s="2" t="s">
        <v>722</v>
      </c>
      <c r="J106" s="2" t="s">
        <v>731</v>
      </c>
      <c r="K106" s="2" t="s">
        <v>838</v>
      </c>
      <c r="L106" s="2">
        <v>1405.56</v>
      </c>
      <c r="M106" s="2">
        <v>2968.87</v>
      </c>
      <c r="N106" s="2">
        <v>0.16900000000000001</v>
      </c>
      <c r="O106" s="2">
        <v>5</v>
      </c>
    </row>
    <row r="107" spans="1:15" x14ac:dyDescent="0.3">
      <c r="A107" s="2" t="s">
        <v>120</v>
      </c>
      <c r="B107" s="3">
        <v>45433</v>
      </c>
      <c r="C107" s="3">
        <v>45439</v>
      </c>
      <c r="D107" s="2" t="s">
        <v>646</v>
      </c>
      <c r="E107" s="2" t="s">
        <v>661</v>
      </c>
      <c r="F107" s="2" t="s">
        <v>682</v>
      </c>
      <c r="G107" s="2" t="s">
        <v>703</v>
      </c>
      <c r="H107" s="2" t="s">
        <v>708</v>
      </c>
      <c r="I107" s="2" t="s">
        <v>724</v>
      </c>
      <c r="J107" s="2" t="s">
        <v>727</v>
      </c>
      <c r="K107" s="2" t="s">
        <v>839</v>
      </c>
      <c r="L107" s="2">
        <v>1157.51</v>
      </c>
      <c r="M107" s="2">
        <v>1394.3</v>
      </c>
      <c r="N107" s="2">
        <v>0.27800000000000002</v>
      </c>
      <c r="O107" s="2">
        <v>12</v>
      </c>
    </row>
    <row r="108" spans="1:15" x14ac:dyDescent="0.3">
      <c r="A108" s="2" t="s">
        <v>121</v>
      </c>
      <c r="B108" s="3">
        <v>45057</v>
      </c>
      <c r="C108" s="3">
        <v>45084</v>
      </c>
      <c r="D108" s="2" t="s">
        <v>646</v>
      </c>
      <c r="E108" s="2" t="s">
        <v>650</v>
      </c>
      <c r="F108" s="2" t="s">
        <v>675</v>
      </c>
      <c r="G108" s="2" t="s">
        <v>701</v>
      </c>
      <c r="H108" s="2" t="s">
        <v>708</v>
      </c>
      <c r="I108" s="2" t="s">
        <v>713</v>
      </c>
      <c r="J108" s="2" t="s">
        <v>730</v>
      </c>
      <c r="K108" s="2" t="s">
        <v>840</v>
      </c>
      <c r="L108" s="2">
        <v>12.85</v>
      </c>
      <c r="M108" s="2">
        <v>15.41</v>
      </c>
      <c r="N108" s="2">
        <v>0.13700000000000001</v>
      </c>
      <c r="O108" s="2">
        <v>39</v>
      </c>
    </row>
    <row r="109" spans="1:15" x14ac:dyDescent="0.3">
      <c r="A109" s="2" t="s">
        <v>122</v>
      </c>
      <c r="B109" s="3">
        <v>45518</v>
      </c>
      <c r="C109" s="3">
        <v>45539</v>
      </c>
      <c r="D109" s="2" t="s">
        <v>649</v>
      </c>
      <c r="E109" s="2" t="s">
        <v>658</v>
      </c>
      <c r="F109" s="2" t="s">
        <v>693</v>
      </c>
      <c r="G109" s="2" t="s">
        <v>703</v>
      </c>
      <c r="H109" s="2" t="s">
        <v>708</v>
      </c>
      <c r="I109" s="2" t="s">
        <v>713</v>
      </c>
      <c r="J109" s="2" t="s">
        <v>730</v>
      </c>
      <c r="K109" s="2" t="s">
        <v>841</v>
      </c>
      <c r="L109" s="2">
        <v>1138.8</v>
      </c>
      <c r="M109" s="2">
        <v>2250.81</v>
      </c>
      <c r="N109" s="2">
        <v>0.123</v>
      </c>
      <c r="O109" s="2">
        <v>12</v>
      </c>
    </row>
    <row r="110" spans="1:15" x14ac:dyDescent="0.3">
      <c r="A110" s="2" t="s">
        <v>123</v>
      </c>
      <c r="B110" s="3">
        <v>45581</v>
      </c>
      <c r="C110" s="3">
        <v>45604</v>
      </c>
      <c r="D110" s="2" t="s">
        <v>647</v>
      </c>
      <c r="E110" s="2" t="s">
        <v>652</v>
      </c>
      <c r="F110" s="2" t="s">
        <v>666</v>
      </c>
      <c r="G110" s="2" t="s">
        <v>705</v>
      </c>
      <c r="H110" s="2" t="s">
        <v>707</v>
      </c>
      <c r="I110" s="2" t="s">
        <v>713</v>
      </c>
      <c r="J110" s="2" t="s">
        <v>729</v>
      </c>
      <c r="K110" s="2" t="s">
        <v>842</v>
      </c>
      <c r="L110" s="2">
        <v>82.14</v>
      </c>
      <c r="M110" s="2">
        <v>166.04</v>
      </c>
      <c r="N110" s="2">
        <v>0</v>
      </c>
      <c r="O110" s="2">
        <v>10</v>
      </c>
    </row>
    <row r="111" spans="1:15" x14ac:dyDescent="0.3">
      <c r="A111" s="2" t="s">
        <v>124</v>
      </c>
      <c r="B111" s="3">
        <v>45445</v>
      </c>
      <c r="C111" s="3">
        <v>45451</v>
      </c>
      <c r="D111" s="2" t="s">
        <v>646</v>
      </c>
      <c r="E111" s="2" t="s">
        <v>650</v>
      </c>
      <c r="F111" s="2" t="s">
        <v>662</v>
      </c>
      <c r="G111" s="2" t="s">
        <v>704</v>
      </c>
      <c r="H111" s="2" t="s">
        <v>709</v>
      </c>
      <c r="I111" s="2" t="s">
        <v>720</v>
      </c>
      <c r="J111" s="2" t="s">
        <v>733</v>
      </c>
      <c r="K111" s="2" t="s">
        <v>843</v>
      </c>
      <c r="L111" s="2">
        <v>292.94</v>
      </c>
      <c r="M111" s="2">
        <v>356.55</v>
      </c>
      <c r="N111" s="2">
        <v>0.22900000000000001</v>
      </c>
      <c r="O111" s="2">
        <v>2</v>
      </c>
    </row>
    <row r="112" spans="1:15" x14ac:dyDescent="0.3">
      <c r="A112" s="2" t="s">
        <v>125</v>
      </c>
      <c r="B112" s="3">
        <v>45452</v>
      </c>
      <c r="C112" s="3">
        <v>45480</v>
      </c>
      <c r="D112" s="2" t="s">
        <v>647</v>
      </c>
      <c r="E112" s="2" t="s">
        <v>659</v>
      </c>
      <c r="F112" s="2" t="s">
        <v>676</v>
      </c>
      <c r="G112" s="2" t="s">
        <v>701</v>
      </c>
      <c r="H112" s="2" t="s">
        <v>708</v>
      </c>
      <c r="I112" s="2" t="s">
        <v>713</v>
      </c>
      <c r="J112" s="2" t="s">
        <v>727</v>
      </c>
      <c r="K112" s="2" t="s">
        <v>844</v>
      </c>
      <c r="L112" s="2">
        <v>550.22</v>
      </c>
      <c r="M112" s="2">
        <v>1025.05</v>
      </c>
      <c r="N112" s="2">
        <v>0</v>
      </c>
      <c r="O112" s="2">
        <v>27</v>
      </c>
    </row>
    <row r="113" spans="1:15" x14ac:dyDescent="0.3">
      <c r="A113" s="2" t="s">
        <v>126</v>
      </c>
      <c r="B113" s="3">
        <v>45453</v>
      </c>
      <c r="C113" s="3">
        <v>45454</v>
      </c>
      <c r="D113" s="2" t="s">
        <v>649</v>
      </c>
      <c r="E113" s="2" t="s">
        <v>658</v>
      </c>
      <c r="F113" s="2" t="s">
        <v>674</v>
      </c>
      <c r="G113" s="2" t="s">
        <v>705</v>
      </c>
      <c r="H113" s="2" t="s">
        <v>709</v>
      </c>
      <c r="I113" s="2" t="s">
        <v>724</v>
      </c>
      <c r="J113" s="2" t="s">
        <v>731</v>
      </c>
      <c r="K113" s="2" t="s">
        <v>845</v>
      </c>
      <c r="L113" s="2">
        <v>1187.1300000000001</v>
      </c>
      <c r="M113" s="2">
        <v>1795.17</v>
      </c>
      <c r="N113" s="2">
        <v>1.2E-2</v>
      </c>
      <c r="O113" s="2">
        <v>17</v>
      </c>
    </row>
    <row r="114" spans="1:15" x14ac:dyDescent="0.3">
      <c r="A114" s="2" t="s">
        <v>127</v>
      </c>
      <c r="B114" s="3">
        <v>45472</v>
      </c>
      <c r="C114" s="3">
        <v>45499</v>
      </c>
      <c r="D114" s="2" t="s">
        <v>646</v>
      </c>
      <c r="E114" s="2" t="s">
        <v>661</v>
      </c>
      <c r="F114" s="2" t="s">
        <v>687</v>
      </c>
      <c r="G114" s="2" t="s">
        <v>706</v>
      </c>
      <c r="H114" s="2" t="s">
        <v>710</v>
      </c>
      <c r="I114" s="2" t="s">
        <v>717</v>
      </c>
      <c r="J114" s="2" t="s">
        <v>729</v>
      </c>
      <c r="K114" s="2" t="s">
        <v>846</v>
      </c>
      <c r="L114" s="2">
        <v>5.36</v>
      </c>
      <c r="M114" s="2">
        <v>4.37</v>
      </c>
      <c r="N114" s="2">
        <v>0.11799999999999999</v>
      </c>
      <c r="O114" s="2">
        <v>9</v>
      </c>
    </row>
    <row r="115" spans="1:15" x14ac:dyDescent="0.3">
      <c r="A115" s="2" t="s">
        <v>128</v>
      </c>
      <c r="B115" s="3">
        <v>45674</v>
      </c>
      <c r="C115" s="3">
        <v>45681</v>
      </c>
      <c r="D115" s="2" t="s">
        <v>648</v>
      </c>
      <c r="E115" s="2" t="s">
        <v>660</v>
      </c>
      <c r="F115" s="2" t="s">
        <v>697</v>
      </c>
      <c r="G115" s="2" t="s">
        <v>706</v>
      </c>
      <c r="H115" s="2" t="s">
        <v>708</v>
      </c>
      <c r="I115" s="2" t="s">
        <v>715</v>
      </c>
      <c r="J115" s="2" t="s">
        <v>733</v>
      </c>
      <c r="K115" s="2" t="s">
        <v>847</v>
      </c>
      <c r="L115" s="2">
        <v>142.09</v>
      </c>
      <c r="M115" s="2">
        <v>218.5</v>
      </c>
      <c r="N115" s="2">
        <v>0.11899999999999999</v>
      </c>
      <c r="O115" s="2">
        <v>11</v>
      </c>
    </row>
    <row r="116" spans="1:15" x14ac:dyDescent="0.3">
      <c r="A116" s="2" t="s">
        <v>129</v>
      </c>
      <c r="B116" s="3">
        <v>45250</v>
      </c>
      <c r="C116" s="3">
        <v>45265</v>
      </c>
      <c r="D116" s="2" t="s">
        <v>647</v>
      </c>
      <c r="E116" s="2" t="s">
        <v>652</v>
      </c>
      <c r="F116" s="2" t="s">
        <v>689</v>
      </c>
      <c r="G116" s="2" t="s">
        <v>706</v>
      </c>
      <c r="H116" s="2" t="s">
        <v>707</v>
      </c>
      <c r="I116" s="2" t="s">
        <v>716</v>
      </c>
      <c r="J116" s="2" t="s">
        <v>729</v>
      </c>
      <c r="K116" s="2" t="s">
        <v>848</v>
      </c>
      <c r="L116" s="2">
        <v>354.24</v>
      </c>
      <c r="M116" s="2">
        <v>249.87</v>
      </c>
      <c r="N116" s="2">
        <v>0</v>
      </c>
      <c r="O116" s="2">
        <v>6</v>
      </c>
    </row>
    <row r="117" spans="1:15" x14ac:dyDescent="0.3">
      <c r="A117" s="2" t="s">
        <v>130</v>
      </c>
      <c r="B117" s="3">
        <v>44987</v>
      </c>
      <c r="C117" s="3">
        <v>44990</v>
      </c>
      <c r="D117" s="2" t="s">
        <v>648</v>
      </c>
      <c r="E117" s="2" t="s">
        <v>655</v>
      </c>
      <c r="F117" s="2" t="s">
        <v>672</v>
      </c>
      <c r="G117" s="2" t="s">
        <v>706</v>
      </c>
      <c r="H117" s="2" t="s">
        <v>711</v>
      </c>
      <c r="I117" s="2" t="s">
        <v>715</v>
      </c>
      <c r="J117" s="2" t="s">
        <v>732</v>
      </c>
      <c r="K117" s="2" t="s">
        <v>849</v>
      </c>
      <c r="L117" s="2">
        <v>1473.58</v>
      </c>
      <c r="M117" s="2">
        <v>3436.52</v>
      </c>
      <c r="N117" s="2">
        <v>0.108</v>
      </c>
      <c r="O117" s="2">
        <v>8</v>
      </c>
    </row>
    <row r="118" spans="1:15" x14ac:dyDescent="0.3">
      <c r="A118" s="2" t="s">
        <v>131</v>
      </c>
      <c r="B118" s="3">
        <v>45811</v>
      </c>
      <c r="C118" s="3">
        <v>45818</v>
      </c>
      <c r="D118" s="2" t="s">
        <v>648</v>
      </c>
      <c r="E118" s="2" t="s">
        <v>653</v>
      </c>
      <c r="F118" s="2" t="s">
        <v>667</v>
      </c>
      <c r="G118" s="2" t="s">
        <v>704</v>
      </c>
      <c r="H118" s="2" t="s">
        <v>710</v>
      </c>
      <c r="I118" s="2" t="s">
        <v>719</v>
      </c>
      <c r="J118" s="2" t="s">
        <v>728</v>
      </c>
      <c r="K118" s="2" t="s">
        <v>850</v>
      </c>
      <c r="L118" s="2">
        <v>75.180000000000007</v>
      </c>
      <c r="M118" s="2">
        <v>53.45</v>
      </c>
      <c r="N118" s="2">
        <v>0.157</v>
      </c>
      <c r="O118" s="2">
        <v>17</v>
      </c>
    </row>
    <row r="119" spans="1:15" x14ac:dyDescent="0.3">
      <c r="A119" s="2" t="s">
        <v>132</v>
      </c>
      <c r="B119" s="3">
        <v>45653</v>
      </c>
      <c r="C119" s="3">
        <v>45659</v>
      </c>
      <c r="D119" s="2" t="s">
        <v>649</v>
      </c>
      <c r="E119" s="2" t="s">
        <v>656</v>
      </c>
      <c r="F119" s="2" t="s">
        <v>698</v>
      </c>
      <c r="G119" s="2" t="s">
        <v>702</v>
      </c>
      <c r="H119" s="2" t="s">
        <v>711</v>
      </c>
      <c r="I119" s="2" t="s">
        <v>721</v>
      </c>
      <c r="J119" s="2" t="s">
        <v>731</v>
      </c>
      <c r="K119" s="2" t="s">
        <v>851</v>
      </c>
      <c r="L119" s="2">
        <v>1391.99</v>
      </c>
      <c r="M119" s="2">
        <v>3469.7</v>
      </c>
      <c r="N119" s="2">
        <v>0.184</v>
      </c>
      <c r="O119" s="2">
        <v>23</v>
      </c>
    </row>
    <row r="120" spans="1:15" x14ac:dyDescent="0.3">
      <c r="A120" s="2" t="s">
        <v>133</v>
      </c>
      <c r="B120" s="3">
        <v>45086</v>
      </c>
      <c r="C120" s="3">
        <v>45096</v>
      </c>
      <c r="D120" s="2" t="s">
        <v>647</v>
      </c>
      <c r="E120" s="2" t="s">
        <v>659</v>
      </c>
      <c r="F120" s="2" t="s">
        <v>699</v>
      </c>
      <c r="G120" s="2" t="s">
        <v>706</v>
      </c>
      <c r="H120" s="2" t="s">
        <v>707</v>
      </c>
      <c r="I120" s="2" t="s">
        <v>721</v>
      </c>
      <c r="J120" s="2" t="s">
        <v>732</v>
      </c>
      <c r="K120" s="2" t="s">
        <v>852</v>
      </c>
      <c r="L120" s="2">
        <v>339.61</v>
      </c>
      <c r="M120" s="2">
        <v>621.02</v>
      </c>
      <c r="N120" s="2">
        <v>7.0999999999999994E-2</v>
      </c>
      <c r="O120" s="2">
        <v>10</v>
      </c>
    </row>
    <row r="121" spans="1:15" x14ac:dyDescent="0.3">
      <c r="A121" s="2" t="s">
        <v>134</v>
      </c>
      <c r="B121" s="3">
        <v>45847</v>
      </c>
      <c r="C121" s="3">
        <v>45856</v>
      </c>
      <c r="D121" s="2" t="s">
        <v>648</v>
      </c>
      <c r="E121" s="2" t="s">
        <v>653</v>
      </c>
      <c r="F121" s="2" t="s">
        <v>688</v>
      </c>
      <c r="G121" s="2" t="s">
        <v>702</v>
      </c>
      <c r="H121" s="2" t="s">
        <v>710</v>
      </c>
      <c r="I121" s="2" t="s">
        <v>714</v>
      </c>
      <c r="J121" s="2" t="s">
        <v>731</v>
      </c>
      <c r="K121" s="2" t="s">
        <v>853</v>
      </c>
      <c r="L121" s="2">
        <v>57.96</v>
      </c>
      <c r="M121" s="2">
        <v>88.51</v>
      </c>
      <c r="N121" s="2">
        <v>4.2999999999999997E-2</v>
      </c>
      <c r="O121" s="2">
        <v>7</v>
      </c>
    </row>
    <row r="122" spans="1:15" x14ac:dyDescent="0.3">
      <c r="A122" s="2" t="s">
        <v>135</v>
      </c>
      <c r="B122" s="3">
        <v>45827</v>
      </c>
      <c r="C122" s="3">
        <v>45850</v>
      </c>
      <c r="D122" s="2" t="s">
        <v>649</v>
      </c>
      <c r="E122" s="2" t="s">
        <v>658</v>
      </c>
      <c r="F122" s="2"/>
      <c r="G122" s="2" t="s">
        <v>703</v>
      </c>
      <c r="H122" s="2" t="s">
        <v>711</v>
      </c>
      <c r="I122" s="2"/>
      <c r="J122" s="2" t="s">
        <v>729</v>
      </c>
      <c r="K122" s="2" t="s">
        <v>854</v>
      </c>
      <c r="L122" s="2">
        <v>801.24</v>
      </c>
      <c r="M122" s="2">
        <v>1959.09</v>
      </c>
      <c r="N122" s="2">
        <v>0.123</v>
      </c>
      <c r="O122" s="2">
        <v>23</v>
      </c>
    </row>
    <row r="123" spans="1:15" x14ac:dyDescent="0.3">
      <c r="A123" s="2" t="s">
        <v>136</v>
      </c>
      <c r="B123" s="3">
        <v>45249</v>
      </c>
      <c r="C123" s="3">
        <v>45273</v>
      </c>
      <c r="D123" s="2" t="s">
        <v>649</v>
      </c>
      <c r="E123" s="2" t="s">
        <v>657</v>
      </c>
      <c r="F123" s="2" t="s">
        <v>679</v>
      </c>
      <c r="G123" s="2" t="s">
        <v>703</v>
      </c>
      <c r="H123" s="2" t="s">
        <v>711</v>
      </c>
      <c r="I123" s="2" t="s">
        <v>722</v>
      </c>
      <c r="J123" s="2" t="s">
        <v>732</v>
      </c>
      <c r="K123" s="2" t="s">
        <v>855</v>
      </c>
      <c r="L123" s="2">
        <v>1297.42</v>
      </c>
      <c r="M123" s="2">
        <v>2742.97</v>
      </c>
      <c r="N123" s="2">
        <v>6.9000000000000006E-2</v>
      </c>
      <c r="O123" s="2">
        <v>9</v>
      </c>
    </row>
    <row r="124" spans="1:15" x14ac:dyDescent="0.3">
      <c r="A124" s="2" t="s">
        <v>137</v>
      </c>
      <c r="B124" s="3">
        <v>45289</v>
      </c>
      <c r="C124" s="3">
        <v>45311</v>
      </c>
      <c r="D124" s="2" t="s">
        <v>646</v>
      </c>
      <c r="E124" s="2" t="s">
        <v>650</v>
      </c>
      <c r="F124" s="2" t="s">
        <v>662</v>
      </c>
      <c r="G124" s="2" t="s">
        <v>701</v>
      </c>
      <c r="H124" s="2" t="s">
        <v>711</v>
      </c>
      <c r="I124" s="2" t="s">
        <v>716</v>
      </c>
      <c r="J124" s="2" t="s">
        <v>730</v>
      </c>
      <c r="K124" s="2" t="s">
        <v>856</v>
      </c>
      <c r="L124" s="2">
        <v>1395.49</v>
      </c>
      <c r="M124" s="2">
        <v>1679.42</v>
      </c>
      <c r="N124" s="2">
        <v>0.20300000000000001</v>
      </c>
      <c r="O124" s="2">
        <v>12</v>
      </c>
    </row>
    <row r="125" spans="1:15" x14ac:dyDescent="0.3">
      <c r="A125" s="2" t="s">
        <v>138</v>
      </c>
      <c r="B125" s="3">
        <v>45598</v>
      </c>
      <c r="C125" s="3">
        <v>45625</v>
      </c>
      <c r="D125" s="2" t="s">
        <v>648</v>
      </c>
      <c r="E125" s="2" t="s">
        <v>655</v>
      </c>
      <c r="F125" s="2" t="s">
        <v>672</v>
      </c>
      <c r="G125" s="2" t="s">
        <v>705</v>
      </c>
      <c r="H125" s="2" t="s">
        <v>711</v>
      </c>
      <c r="I125" s="2" t="s">
        <v>714</v>
      </c>
      <c r="J125" s="2" t="s">
        <v>729</v>
      </c>
      <c r="K125" s="2" t="s">
        <v>857</v>
      </c>
      <c r="L125" s="2">
        <v>1363.51</v>
      </c>
      <c r="M125" s="2">
        <v>1433.9</v>
      </c>
      <c r="N125" s="2">
        <v>5.7000000000000002E-2</v>
      </c>
      <c r="O125" s="2">
        <v>8</v>
      </c>
    </row>
    <row r="126" spans="1:15" x14ac:dyDescent="0.3">
      <c r="A126" s="2" t="s">
        <v>139</v>
      </c>
      <c r="B126" s="3">
        <v>45159</v>
      </c>
      <c r="C126" s="3">
        <v>45173</v>
      </c>
      <c r="D126" s="2" t="s">
        <v>648</v>
      </c>
      <c r="E126" s="2" t="s">
        <v>653</v>
      </c>
      <c r="F126" s="2" t="s">
        <v>681</v>
      </c>
      <c r="G126" s="2" t="s">
        <v>702</v>
      </c>
      <c r="H126" s="2" t="s">
        <v>710</v>
      </c>
      <c r="I126" s="2" t="s">
        <v>721</v>
      </c>
      <c r="J126" s="2" t="s">
        <v>727</v>
      </c>
      <c r="K126" s="2" t="s">
        <v>858</v>
      </c>
      <c r="L126" s="2">
        <v>178.19</v>
      </c>
      <c r="M126" s="2">
        <v>284.43</v>
      </c>
      <c r="N126" s="2">
        <v>8.8999999999999996E-2</v>
      </c>
      <c r="O126" s="2">
        <v>8</v>
      </c>
    </row>
    <row r="127" spans="1:15" x14ac:dyDescent="0.3">
      <c r="A127" s="2" t="s">
        <v>140</v>
      </c>
      <c r="B127" s="3">
        <v>45150</v>
      </c>
      <c r="C127" s="3">
        <v>45175</v>
      </c>
      <c r="D127" s="2" t="s">
        <v>647</v>
      </c>
      <c r="E127" s="2" t="s">
        <v>659</v>
      </c>
      <c r="F127" s="2" t="s">
        <v>685</v>
      </c>
      <c r="G127" s="2" t="s">
        <v>705</v>
      </c>
      <c r="H127" s="2" t="s">
        <v>707</v>
      </c>
      <c r="I127" s="2" t="s">
        <v>717</v>
      </c>
      <c r="J127" s="2" t="s">
        <v>727</v>
      </c>
      <c r="K127" s="2" t="s">
        <v>859</v>
      </c>
      <c r="L127" s="2">
        <v>950.77</v>
      </c>
      <c r="M127" s="2">
        <v>694.78</v>
      </c>
      <c r="N127" s="2">
        <v>8.4000000000000005E-2</v>
      </c>
      <c r="O127" s="2">
        <v>14</v>
      </c>
    </row>
    <row r="128" spans="1:15" x14ac:dyDescent="0.3">
      <c r="A128" s="2" t="s">
        <v>141</v>
      </c>
      <c r="B128" s="3">
        <v>45450</v>
      </c>
      <c r="C128" s="3">
        <v>45469</v>
      </c>
      <c r="D128" s="2" t="s">
        <v>649</v>
      </c>
      <c r="E128" s="2" t="s">
        <v>656</v>
      </c>
      <c r="F128" s="2" t="s">
        <v>671</v>
      </c>
      <c r="G128" s="2" t="s">
        <v>703</v>
      </c>
      <c r="H128" s="2" t="s">
        <v>709</v>
      </c>
      <c r="I128" s="2" t="s">
        <v>724</v>
      </c>
      <c r="J128" s="2" t="s">
        <v>727</v>
      </c>
      <c r="K128" s="2" t="s">
        <v>860</v>
      </c>
      <c r="L128" s="2">
        <v>1064.32</v>
      </c>
      <c r="M128" s="2">
        <v>1848.39</v>
      </c>
      <c r="N128" s="2">
        <v>7.2999999999999995E-2</v>
      </c>
      <c r="O128" s="2">
        <v>38</v>
      </c>
    </row>
    <row r="129" spans="1:15" x14ac:dyDescent="0.3">
      <c r="A129" s="2" t="s">
        <v>142</v>
      </c>
      <c r="B129" s="3">
        <v>45874</v>
      </c>
      <c r="C129" s="3">
        <v>45883</v>
      </c>
      <c r="D129" s="2" t="s">
        <v>649</v>
      </c>
      <c r="E129" s="2" t="s">
        <v>658</v>
      </c>
      <c r="F129" s="2" t="s">
        <v>683</v>
      </c>
      <c r="G129" s="2" t="s">
        <v>703</v>
      </c>
      <c r="H129" s="2" t="s">
        <v>711</v>
      </c>
      <c r="I129" s="2" t="s">
        <v>718</v>
      </c>
      <c r="J129" s="2" t="s">
        <v>727</v>
      </c>
      <c r="K129" s="2" t="s">
        <v>861</v>
      </c>
      <c r="L129" s="2">
        <v>41.76</v>
      </c>
      <c r="M129" s="2">
        <v>45.19</v>
      </c>
      <c r="N129" s="2">
        <v>0.17899999999999999</v>
      </c>
      <c r="O129" s="2">
        <v>23</v>
      </c>
    </row>
    <row r="130" spans="1:15" x14ac:dyDescent="0.3">
      <c r="A130" s="2" t="s">
        <v>143</v>
      </c>
      <c r="B130" s="3">
        <v>45442</v>
      </c>
      <c r="C130" s="3">
        <v>45456</v>
      </c>
      <c r="D130" s="2" t="s">
        <v>648</v>
      </c>
      <c r="E130" s="2" t="s">
        <v>660</v>
      </c>
      <c r="F130" s="2" t="s">
        <v>686</v>
      </c>
      <c r="G130" s="2" t="s">
        <v>705</v>
      </c>
      <c r="H130" s="2" t="s">
        <v>707</v>
      </c>
      <c r="I130" s="2" t="s">
        <v>721</v>
      </c>
      <c r="J130" s="2" t="s">
        <v>730</v>
      </c>
      <c r="K130" s="2" t="s">
        <v>862</v>
      </c>
      <c r="L130" s="2">
        <v>157.78</v>
      </c>
      <c r="M130" s="2">
        <v>361.1</v>
      </c>
      <c r="N130" s="2">
        <v>0.187</v>
      </c>
      <c r="O130" s="2">
        <v>9</v>
      </c>
    </row>
    <row r="131" spans="1:15" x14ac:dyDescent="0.3">
      <c r="A131" s="2" t="s">
        <v>144</v>
      </c>
      <c r="B131" s="3">
        <v>44948</v>
      </c>
      <c r="C131" s="3">
        <v>44956</v>
      </c>
      <c r="D131" s="2" t="s">
        <v>648</v>
      </c>
      <c r="E131" s="2" t="s">
        <v>660</v>
      </c>
      <c r="F131" s="2" t="s">
        <v>686</v>
      </c>
      <c r="G131" s="2" t="s">
        <v>705</v>
      </c>
      <c r="H131" s="2" t="s">
        <v>708</v>
      </c>
      <c r="I131" s="2" t="s">
        <v>720</v>
      </c>
      <c r="J131" s="2" t="s">
        <v>729</v>
      </c>
      <c r="K131" s="2" t="s">
        <v>863</v>
      </c>
      <c r="L131" s="2">
        <v>413.52</v>
      </c>
      <c r="M131" s="2">
        <v>1004.34</v>
      </c>
      <c r="N131" s="2">
        <v>0.111</v>
      </c>
      <c r="O131" s="2">
        <v>18</v>
      </c>
    </row>
    <row r="132" spans="1:15" x14ac:dyDescent="0.3">
      <c r="A132" s="2" t="s">
        <v>145</v>
      </c>
      <c r="B132" s="3">
        <v>45700</v>
      </c>
      <c r="C132" s="3">
        <v>45716</v>
      </c>
      <c r="D132" s="2" t="s">
        <v>648</v>
      </c>
      <c r="E132" s="2" t="s">
        <v>655</v>
      </c>
      <c r="F132" s="2" t="s">
        <v>670</v>
      </c>
      <c r="G132" s="2" t="s">
        <v>703</v>
      </c>
      <c r="H132" s="2" t="s">
        <v>711</v>
      </c>
      <c r="I132" s="2" t="s">
        <v>717</v>
      </c>
      <c r="J132" s="2" t="s">
        <v>732</v>
      </c>
      <c r="K132" s="2" t="s">
        <v>864</v>
      </c>
      <c r="L132" s="2">
        <v>414.95</v>
      </c>
      <c r="M132" s="2">
        <v>1027.73</v>
      </c>
      <c r="N132" s="2">
        <v>6.3E-2</v>
      </c>
      <c r="O132" s="2">
        <v>8</v>
      </c>
    </row>
    <row r="133" spans="1:15" x14ac:dyDescent="0.3">
      <c r="A133" s="2" t="s">
        <v>146</v>
      </c>
      <c r="B133" s="3">
        <v>45719</v>
      </c>
      <c r="C133" s="3">
        <v>45740</v>
      </c>
      <c r="D133" s="2" t="s">
        <v>646</v>
      </c>
      <c r="E133" s="2" t="s">
        <v>651</v>
      </c>
      <c r="F133" s="2" t="s">
        <v>669</v>
      </c>
      <c r="G133" s="2" t="s">
        <v>706</v>
      </c>
      <c r="H133" s="2" t="s">
        <v>711</v>
      </c>
      <c r="I133" s="2" t="s">
        <v>722</v>
      </c>
      <c r="J133" s="2" t="s">
        <v>733</v>
      </c>
      <c r="K133" s="2" t="s">
        <v>865</v>
      </c>
      <c r="L133" s="2">
        <v>555.95000000000005</v>
      </c>
      <c r="M133" s="2">
        <v>468.09</v>
      </c>
      <c r="N133" s="2">
        <v>0.14199999999999999</v>
      </c>
      <c r="O133" s="2">
        <v>11</v>
      </c>
    </row>
    <row r="134" spans="1:15" x14ac:dyDescent="0.3">
      <c r="A134" s="2" t="s">
        <v>147</v>
      </c>
      <c r="B134" s="3">
        <v>44953</v>
      </c>
      <c r="C134" s="3">
        <v>44957</v>
      </c>
      <c r="D134" s="2" t="s">
        <v>649</v>
      </c>
      <c r="E134" s="2" t="s">
        <v>658</v>
      </c>
      <c r="F134" s="2" t="s">
        <v>693</v>
      </c>
      <c r="G134" s="2" t="s">
        <v>706</v>
      </c>
      <c r="H134" s="2" t="s">
        <v>708</v>
      </c>
      <c r="I134" s="2" t="s">
        <v>725</v>
      </c>
      <c r="J134" s="2" t="s">
        <v>731</v>
      </c>
      <c r="K134" s="2" t="s">
        <v>866</v>
      </c>
      <c r="L134" s="2">
        <v>941.2</v>
      </c>
      <c r="M134" s="2">
        <v>668.02</v>
      </c>
      <c r="N134" s="2">
        <v>0.22</v>
      </c>
      <c r="O134" s="2">
        <v>16</v>
      </c>
    </row>
    <row r="135" spans="1:15" x14ac:dyDescent="0.3">
      <c r="A135" s="2" t="s">
        <v>148</v>
      </c>
      <c r="B135" s="3">
        <v>45666</v>
      </c>
      <c r="C135" s="3">
        <v>45672</v>
      </c>
      <c r="D135" s="2" t="s">
        <v>647</v>
      </c>
      <c r="E135" s="2" t="s">
        <v>659</v>
      </c>
      <c r="F135" s="2" t="s">
        <v>699</v>
      </c>
      <c r="G135" s="2" t="s">
        <v>702</v>
      </c>
      <c r="H135" s="2" t="s">
        <v>708</v>
      </c>
      <c r="I135" s="2" t="s">
        <v>712</v>
      </c>
      <c r="J135" s="2" t="s">
        <v>730</v>
      </c>
      <c r="K135" s="2" t="s">
        <v>867</v>
      </c>
      <c r="L135" s="2">
        <v>304.77999999999997</v>
      </c>
      <c r="M135" s="2">
        <v>537.27</v>
      </c>
      <c r="N135" s="2">
        <v>0.187</v>
      </c>
      <c r="O135" s="2">
        <v>8</v>
      </c>
    </row>
    <row r="136" spans="1:15" x14ac:dyDescent="0.3">
      <c r="A136" s="2" t="s">
        <v>149</v>
      </c>
      <c r="B136" s="3">
        <v>45647</v>
      </c>
      <c r="C136" s="3">
        <v>45652</v>
      </c>
      <c r="D136" s="2" t="s">
        <v>648</v>
      </c>
      <c r="E136" s="2" t="s">
        <v>660</v>
      </c>
      <c r="F136" s="2" t="s">
        <v>686</v>
      </c>
      <c r="G136" s="2" t="s">
        <v>704</v>
      </c>
      <c r="H136" s="2" t="s">
        <v>709</v>
      </c>
      <c r="I136" s="2" t="s">
        <v>724</v>
      </c>
      <c r="J136" s="2" t="s">
        <v>728</v>
      </c>
      <c r="K136" s="2" t="s">
        <v>868</v>
      </c>
      <c r="L136" s="2">
        <v>699.57</v>
      </c>
      <c r="M136" s="2">
        <v>572.71</v>
      </c>
      <c r="N136" s="2">
        <v>0.192</v>
      </c>
      <c r="O136" s="2">
        <v>26</v>
      </c>
    </row>
    <row r="137" spans="1:15" x14ac:dyDescent="0.3">
      <c r="A137" s="2" t="s">
        <v>150</v>
      </c>
      <c r="B137" s="3">
        <v>45028</v>
      </c>
      <c r="C137" s="3">
        <v>45033</v>
      </c>
      <c r="D137" s="2" t="s">
        <v>649</v>
      </c>
      <c r="E137" s="2" t="s">
        <v>657</v>
      </c>
      <c r="F137" s="2" t="s">
        <v>679</v>
      </c>
      <c r="G137" s="2" t="s">
        <v>706</v>
      </c>
      <c r="H137" s="2" t="s">
        <v>711</v>
      </c>
      <c r="I137" s="2" t="s">
        <v>718</v>
      </c>
      <c r="J137" s="2" t="s">
        <v>732</v>
      </c>
      <c r="K137" s="2" t="s">
        <v>869</v>
      </c>
      <c r="L137" s="2">
        <v>1087.81</v>
      </c>
      <c r="M137" s="2">
        <v>2323.87</v>
      </c>
      <c r="N137" s="2">
        <v>9.4E-2</v>
      </c>
      <c r="O137" s="2">
        <v>13</v>
      </c>
    </row>
    <row r="138" spans="1:15" x14ac:dyDescent="0.3">
      <c r="A138" s="2" t="s">
        <v>151</v>
      </c>
      <c r="B138" s="3">
        <v>45640</v>
      </c>
      <c r="C138" s="3">
        <v>45669</v>
      </c>
      <c r="D138" s="2" t="s">
        <v>647</v>
      </c>
      <c r="E138" s="2" t="s">
        <v>659</v>
      </c>
      <c r="F138" s="2" t="s">
        <v>676</v>
      </c>
      <c r="G138" s="2" t="s">
        <v>702</v>
      </c>
      <c r="H138" s="2" t="s">
        <v>708</v>
      </c>
      <c r="I138" s="2" t="s">
        <v>713</v>
      </c>
      <c r="J138" s="2" t="s">
        <v>727</v>
      </c>
      <c r="K138" s="2" t="s">
        <v>870</v>
      </c>
      <c r="L138" s="2">
        <v>1412.15</v>
      </c>
      <c r="M138" s="2">
        <v>1631.04</v>
      </c>
      <c r="N138" s="2">
        <v>8.9999999999999993E-3</v>
      </c>
      <c r="O138" s="2">
        <v>6</v>
      </c>
    </row>
    <row r="139" spans="1:15" x14ac:dyDescent="0.3">
      <c r="A139" s="2" t="s">
        <v>152</v>
      </c>
      <c r="B139" s="3">
        <v>45016</v>
      </c>
      <c r="C139" s="3">
        <v>45028</v>
      </c>
      <c r="D139" s="2" t="s">
        <v>646</v>
      </c>
      <c r="E139" s="2" t="s">
        <v>650</v>
      </c>
      <c r="F139" s="2" t="s">
        <v>675</v>
      </c>
      <c r="G139" s="2" t="s">
        <v>705</v>
      </c>
      <c r="H139" s="2" t="s">
        <v>708</v>
      </c>
      <c r="I139" s="2" t="s">
        <v>712</v>
      </c>
      <c r="J139" s="2" t="s">
        <v>730</v>
      </c>
      <c r="K139" s="2" t="s">
        <v>871</v>
      </c>
      <c r="L139" s="2">
        <v>304.22000000000003</v>
      </c>
      <c r="M139" s="2">
        <v>393.31</v>
      </c>
      <c r="N139" s="2">
        <v>0.26500000000000001</v>
      </c>
      <c r="O139" s="2">
        <v>15</v>
      </c>
    </row>
    <row r="140" spans="1:15" x14ac:dyDescent="0.3">
      <c r="A140" s="2" t="s">
        <v>153</v>
      </c>
      <c r="B140" s="3">
        <v>45616</v>
      </c>
      <c r="C140" s="3">
        <v>45641</v>
      </c>
      <c r="D140" s="2" t="s">
        <v>649</v>
      </c>
      <c r="E140" s="2" t="s">
        <v>657</v>
      </c>
      <c r="F140" s="2" t="s">
        <v>690</v>
      </c>
      <c r="G140" s="2" t="s">
        <v>701</v>
      </c>
      <c r="H140" s="2" t="s">
        <v>708</v>
      </c>
      <c r="I140" s="2" t="s">
        <v>715</v>
      </c>
      <c r="J140" s="2" t="s">
        <v>728</v>
      </c>
      <c r="K140" s="2" t="s">
        <v>872</v>
      </c>
      <c r="L140" s="2">
        <v>1203.58</v>
      </c>
      <c r="M140" s="2">
        <v>1856.16</v>
      </c>
      <c r="N140" s="2">
        <v>0.129</v>
      </c>
      <c r="O140" s="2">
        <v>22</v>
      </c>
    </row>
    <row r="141" spans="1:15" x14ac:dyDescent="0.3">
      <c r="A141" s="2" t="s">
        <v>154</v>
      </c>
      <c r="B141" s="3">
        <v>45336</v>
      </c>
      <c r="C141" s="3">
        <v>45336</v>
      </c>
      <c r="D141" s="2" t="s">
        <v>647</v>
      </c>
      <c r="E141" s="2" t="s">
        <v>659</v>
      </c>
      <c r="F141" s="2" t="s">
        <v>699</v>
      </c>
      <c r="G141" s="2" t="s">
        <v>701</v>
      </c>
      <c r="H141" s="2" t="s">
        <v>710</v>
      </c>
      <c r="I141" s="2" t="s">
        <v>716</v>
      </c>
      <c r="J141" s="2" t="s">
        <v>733</v>
      </c>
      <c r="K141" s="2" t="s">
        <v>873</v>
      </c>
      <c r="L141" s="2">
        <v>65.930000000000007</v>
      </c>
      <c r="M141" s="2">
        <v>84.9</v>
      </c>
      <c r="N141" s="2">
        <v>0.25900000000000001</v>
      </c>
      <c r="O141" s="2">
        <v>23</v>
      </c>
    </row>
    <row r="142" spans="1:15" x14ac:dyDescent="0.3">
      <c r="A142" s="2" t="s">
        <v>155</v>
      </c>
      <c r="B142" s="3">
        <v>45048</v>
      </c>
      <c r="C142" s="3">
        <v>45064</v>
      </c>
      <c r="D142" s="2" t="s">
        <v>647</v>
      </c>
      <c r="E142" s="2" t="s">
        <v>654</v>
      </c>
      <c r="F142" s="2" t="s">
        <v>680</v>
      </c>
      <c r="G142" s="2" t="s">
        <v>705</v>
      </c>
      <c r="H142" s="2" t="s">
        <v>709</v>
      </c>
      <c r="I142" s="2" t="s">
        <v>723</v>
      </c>
      <c r="J142" s="2" t="s">
        <v>732</v>
      </c>
      <c r="K142" s="2" t="s">
        <v>874</v>
      </c>
      <c r="L142" s="2">
        <v>1463.92</v>
      </c>
      <c r="M142" s="2">
        <v>2252.2399999999998</v>
      </c>
      <c r="N142" s="2">
        <v>0.11799999999999999</v>
      </c>
      <c r="O142" s="2">
        <v>44</v>
      </c>
    </row>
    <row r="143" spans="1:15" x14ac:dyDescent="0.3">
      <c r="A143" s="2" t="s">
        <v>156</v>
      </c>
      <c r="B143" s="3">
        <v>45649</v>
      </c>
      <c r="C143" s="3">
        <v>45668</v>
      </c>
      <c r="D143" s="2" t="s">
        <v>649</v>
      </c>
      <c r="E143" s="2" t="s">
        <v>656</v>
      </c>
      <c r="F143" s="2" t="s">
        <v>671</v>
      </c>
      <c r="G143" s="2" t="s">
        <v>702</v>
      </c>
      <c r="H143" s="2" t="s">
        <v>707</v>
      </c>
      <c r="I143" s="2" t="s">
        <v>723</v>
      </c>
      <c r="J143" s="2" t="s">
        <v>730</v>
      </c>
      <c r="K143" s="2" t="s">
        <v>875</v>
      </c>
      <c r="L143" s="2">
        <v>501.81</v>
      </c>
      <c r="M143" s="2">
        <v>921.62</v>
      </c>
      <c r="N143" s="2">
        <v>0.01</v>
      </c>
      <c r="O143" s="2">
        <v>9</v>
      </c>
    </row>
    <row r="144" spans="1:15" x14ac:dyDescent="0.3">
      <c r="A144" s="2" t="s">
        <v>157</v>
      </c>
      <c r="B144" s="3">
        <v>45133</v>
      </c>
      <c r="C144" s="3">
        <v>45163</v>
      </c>
      <c r="D144" s="2" t="s">
        <v>648</v>
      </c>
      <c r="E144" s="2" t="s">
        <v>660</v>
      </c>
      <c r="F144" s="2" t="s">
        <v>700</v>
      </c>
      <c r="G144" s="2" t="s">
        <v>704</v>
      </c>
      <c r="H144" s="2" t="s">
        <v>707</v>
      </c>
      <c r="I144" s="2" t="s">
        <v>724</v>
      </c>
      <c r="J144" s="2" t="s">
        <v>733</v>
      </c>
      <c r="K144" s="2" t="s">
        <v>876</v>
      </c>
      <c r="L144" s="2">
        <v>1261.48</v>
      </c>
      <c r="M144" s="2">
        <v>1643.18</v>
      </c>
      <c r="N144" s="2">
        <v>0.151</v>
      </c>
      <c r="O144" s="2">
        <v>23</v>
      </c>
    </row>
    <row r="145" spans="1:15" x14ac:dyDescent="0.3">
      <c r="A145" s="2" t="s">
        <v>158</v>
      </c>
      <c r="B145" s="3">
        <v>45458</v>
      </c>
      <c r="C145" s="3">
        <v>45479</v>
      </c>
      <c r="D145" s="2" t="s">
        <v>648</v>
      </c>
      <c r="E145" s="2" t="s">
        <v>653</v>
      </c>
      <c r="F145" s="2" t="s">
        <v>667</v>
      </c>
      <c r="G145" s="2" t="s">
        <v>706</v>
      </c>
      <c r="H145" s="2" t="s">
        <v>710</v>
      </c>
      <c r="I145" s="2" t="s">
        <v>716</v>
      </c>
      <c r="J145" s="2" t="s">
        <v>728</v>
      </c>
      <c r="K145" s="2" t="s">
        <v>877</v>
      </c>
      <c r="L145" s="2">
        <v>817.23</v>
      </c>
      <c r="M145" s="2">
        <v>1467.17</v>
      </c>
      <c r="N145" s="2">
        <v>0.245</v>
      </c>
      <c r="O145" s="2">
        <v>9</v>
      </c>
    </row>
    <row r="146" spans="1:15" x14ac:dyDescent="0.3">
      <c r="A146" s="2" t="s">
        <v>159</v>
      </c>
      <c r="B146" s="3">
        <v>45112</v>
      </c>
      <c r="C146" s="3">
        <v>45121</v>
      </c>
      <c r="D146" s="2" t="s">
        <v>648</v>
      </c>
      <c r="E146" s="2" t="s">
        <v>655</v>
      </c>
      <c r="F146" s="2" t="s">
        <v>672</v>
      </c>
      <c r="G146" s="2" t="s">
        <v>706</v>
      </c>
      <c r="H146" s="2" t="s">
        <v>711</v>
      </c>
      <c r="I146" s="2" t="s">
        <v>717</v>
      </c>
      <c r="J146" s="2" t="s">
        <v>729</v>
      </c>
      <c r="K146" s="2" t="s">
        <v>878</v>
      </c>
      <c r="L146" s="2">
        <v>578.85</v>
      </c>
      <c r="M146" s="2">
        <v>998.76</v>
      </c>
      <c r="N146" s="2">
        <v>8.2000000000000003E-2</v>
      </c>
      <c r="O146" s="2">
        <v>28</v>
      </c>
    </row>
    <row r="147" spans="1:15" x14ac:dyDescent="0.3">
      <c r="A147" s="2" t="s">
        <v>160</v>
      </c>
      <c r="B147" s="3">
        <v>45260</v>
      </c>
      <c r="C147" s="3">
        <v>45259</v>
      </c>
      <c r="D147" s="2" t="s">
        <v>646</v>
      </c>
      <c r="E147" s="2" t="s">
        <v>661</v>
      </c>
      <c r="F147" s="2" t="s">
        <v>687</v>
      </c>
      <c r="G147" s="2" t="s">
        <v>705</v>
      </c>
      <c r="H147" s="2" t="s">
        <v>709</v>
      </c>
      <c r="I147" s="2" t="s">
        <v>718</v>
      </c>
      <c r="J147" s="2" t="s">
        <v>731</v>
      </c>
      <c r="K147" s="2" t="s">
        <v>879</v>
      </c>
      <c r="L147" s="2">
        <v>275.56</v>
      </c>
      <c r="M147" s="2">
        <v>630.72</v>
      </c>
      <c r="N147" s="2">
        <v>0.107</v>
      </c>
      <c r="O147" s="2">
        <v>23</v>
      </c>
    </row>
    <row r="148" spans="1:15" x14ac:dyDescent="0.3">
      <c r="A148" s="2" t="s">
        <v>161</v>
      </c>
      <c r="B148" s="3">
        <v>45911</v>
      </c>
      <c r="C148" s="3">
        <v>45928</v>
      </c>
      <c r="D148" s="2" t="s">
        <v>646</v>
      </c>
      <c r="E148" s="2" t="s">
        <v>650</v>
      </c>
      <c r="F148" s="2" t="s">
        <v>664</v>
      </c>
      <c r="G148" s="2" t="s">
        <v>703</v>
      </c>
      <c r="H148" s="2" t="s">
        <v>710</v>
      </c>
      <c r="I148" s="2" t="s">
        <v>713</v>
      </c>
      <c r="J148" s="2" t="s">
        <v>731</v>
      </c>
      <c r="K148" s="2" t="s">
        <v>880</v>
      </c>
      <c r="L148" s="2">
        <v>891.46</v>
      </c>
      <c r="M148" s="2">
        <v>728.61</v>
      </c>
      <c r="N148" s="2">
        <v>0.185</v>
      </c>
      <c r="O148" s="2">
        <v>6</v>
      </c>
    </row>
    <row r="149" spans="1:15" x14ac:dyDescent="0.3">
      <c r="A149" s="2" t="s">
        <v>162</v>
      </c>
      <c r="B149" s="3">
        <v>45386</v>
      </c>
      <c r="C149" s="3">
        <v>45406</v>
      </c>
      <c r="D149" s="2" t="s">
        <v>649</v>
      </c>
      <c r="E149" s="2" t="s">
        <v>656</v>
      </c>
      <c r="F149" s="2" t="s">
        <v>698</v>
      </c>
      <c r="G149" s="2" t="s">
        <v>703</v>
      </c>
      <c r="H149" s="2" t="s">
        <v>711</v>
      </c>
      <c r="I149" s="2" t="s">
        <v>719</v>
      </c>
      <c r="J149" s="2" t="s">
        <v>733</v>
      </c>
      <c r="K149" s="2" t="s">
        <v>881</v>
      </c>
      <c r="L149" s="2">
        <v>683.42</v>
      </c>
      <c r="M149" s="2">
        <v>951.51</v>
      </c>
      <c r="N149" s="2">
        <v>0</v>
      </c>
      <c r="O149" s="2">
        <v>14</v>
      </c>
    </row>
    <row r="150" spans="1:15" x14ac:dyDescent="0.3">
      <c r="A150" s="2" t="s">
        <v>163</v>
      </c>
      <c r="B150" s="3">
        <v>45183</v>
      </c>
      <c r="C150" s="3">
        <v>45185</v>
      </c>
      <c r="D150" s="2" t="s">
        <v>649</v>
      </c>
      <c r="E150" s="2" t="s">
        <v>657</v>
      </c>
      <c r="F150" s="2" t="s">
        <v>679</v>
      </c>
      <c r="G150" s="2" t="s">
        <v>703</v>
      </c>
      <c r="H150" s="2" t="s">
        <v>711</v>
      </c>
      <c r="I150" s="2" t="s">
        <v>717</v>
      </c>
      <c r="J150" s="2" t="s">
        <v>728</v>
      </c>
      <c r="K150" s="2" t="s">
        <v>882</v>
      </c>
      <c r="L150" s="2">
        <v>376.83</v>
      </c>
      <c r="M150" s="2">
        <v>732.88</v>
      </c>
      <c r="N150" s="2">
        <v>0.188</v>
      </c>
      <c r="O150" s="2">
        <v>25</v>
      </c>
    </row>
    <row r="151" spans="1:15" x14ac:dyDescent="0.3">
      <c r="A151" s="2" t="s">
        <v>164</v>
      </c>
      <c r="B151" s="3">
        <v>45558</v>
      </c>
      <c r="C151" s="3">
        <v>45583</v>
      </c>
      <c r="D151" s="2" t="s">
        <v>648</v>
      </c>
      <c r="E151" s="2" t="s">
        <v>653</v>
      </c>
      <c r="F151" s="2" t="s">
        <v>688</v>
      </c>
      <c r="G151" s="2" t="s">
        <v>705</v>
      </c>
      <c r="H151" s="2" t="s">
        <v>708</v>
      </c>
      <c r="I151" s="2" t="s">
        <v>725</v>
      </c>
      <c r="J151" s="2" t="s">
        <v>730</v>
      </c>
      <c r="K151" s="2" t="s">
        <v>883</v>
      </c>
      <c r="L151" s="2">
        <v>1297</v>
      </c>
      <c r="M151" s="2">
        <v>2411.52</v>
      </c>
      <c r="N151" s="2">
        <v>2.1000000000000001E-2</v>
      </c>
      <c r="O151" s="2">
        <v>18</v>
      </c>
    </row>
    <row r="152" spans="1:15" x14ac:dyDescent="0.3">
      <c r="A152" s="2" t="s">
        <v>165</v>
      </c>
      <c r="B152" s="3">
        <v>45763</v>
      </c>
      <c r="C152" s="3">
        <v>45793</v>
      </c>
      <c r="D152" s="2" t="s">
        <v>648</v>
      </c>
      <c r="E152" s="2" t="s">
        <v>653</v>
      </c>
      <c r="F152" s="2" t="s">
        <v>681</v>
      </c>
      <c r="G152" s="2" t="s">
        <v>706</v>
      </c>
      <c r="H152" s="2" t="s">
        <v>710</v>
      </c>
      <c r="I152" s="2" t="s">
        <v>723</v>
      </c>
      <c r="J152" s="2" t="s">
        <v>728</v>
      </c>
      <c r="K152" s="2" t="s">
        <v>884</v>
      </c>
      <c r="L152" s="2">
        <v>763.32</v>
      </c>
      <c r="M152" s="2">
        <v>568.29</v>
      </c>
      <c r="N152" s="2">
        <v>0.13100000000000001</v>
      </c>
      <c r="O152" s="2">
        <v>16</v>
      </c>
    </row>
    <row r="153" spans="1:15" x14ac:dyDescent="0.3">
      <c r="A153" s="2" t="s">
        <v>166</v>
      </c>
      <c r="B153" s="3">
        <v>45110</v>
      </c>
      <c r="C153" s="3">
        <v>45130</v>
      </c>
      <c r="D153" s="2" t="s">
        <v>646</v>
      </c>
      <c r="E153" s="2" t="s">
        <v>661</v>
      </c>
      <c r="F153" s="2" t="s">
        <v>682</v>
      </c>
      <c r="G153" s="2" t="s">
        <v>705</v>
      </c>
      <c r="H153" s="2" t="s">
        <v>710</v>
      </c>
      <c r="I153" s="2" t="s">
        <v>721</v>
      </c>
      <c r="J153" s="2" t="s">
        <v>731</v>
      </c>
      <c r="K153" s="2" t="s">
        <v>885</v>
      </c>
      <c r="L153" s="2">
        <v>1001.96</v>
      </c>
      <c r="M153" s="2">
        <v>1254.95</v>
      </c>
      <c r="N153" s="2">
        <v>4.4999999999999998E-2</v>
      </c>
      <c r="O153" s="2">
        <v>18</v>
      </c>
    </row>
    <row r="154" spans="1:15" x14ac:dyDescent="0.3">
      <c r="A154" s="2" t="s">
        <v>167</v>
      </c>
      <c r="B154" s="3">
        <v>45267</v>
      </c>
      <c r="C154" s="3">
        <v>45265</v>
      </c>
      <c r="D154" s="2" t="s">
        <v>647</v>
      </c>
      <c r="E154" s="2" t="s">
        <v>652</v>
      </c>
      <c r="F154" s="2" t="s">
        <v>689</v>
      </c>
      <c r="G154" s="2" t="s">
        <v>703</v>
      </c>
      <c r="H154" s="2" t="s">
        <v>709</v>
      </c>
      <c r="I154" s="2" t="s">
        <v>722</v>
      </c>
      <c r="J154" s="2" t="s">
        <v>728</v>
      </c>
      <c r="K154" s="2" t="s">
        <v>886</v>
      </c>
      <c r="L154" s="2">
        <v>1097.5899999999999</v>
      </c>
      <c r="M154" s="2">
        <v>845.55</v>
      </c>
      <c r="N154" s="2">
        <v>0.184</v>
      </c>
      <c r="O154" s="2">
        <v>6</v>
      </c>
    </row>
    <row r="155" spans="1:15" x14ac:dyDescent="0.3">
      <c r="A155" s="2" t="s">
        <v>168</v>
      </c>
      <c r="B155" s="3">
        <v>45340</v>
      </c>
      <c r="C155" s="3">
        <v>45355</v>
      </c>
      <c r="D155" s="2" t="s">
        <v>646</v>
      </c>
      <c r="E155" s="2" t="s">
        <v>650</v>
      </c>
      <c r="F155" s="2" t="s">
        <v>662</v>
      </c>
      <c r="G155" s="2" t="s">
        <v>702</v>
      </c>
      <c r="H155" s="2" t="s">
        <v>711</v>
      </c>
      <c r="I155" s="2" t="s">
        <v>723</v>
      </c>
      <c r="J155" s="2" t="s">
        <v>728</v>
      </c>
      <c r="K155" s="2" t="s">
        <v>887</v>
      </c>
      <c r="L155" s="2">
        <v>928.68</v>
      </c>
      <c r="M155" s="2">
        <v>2145.17</v>
      </c>
      <c r="N155" s="2">
        <v>0.13600000000000001</v>
      </c>
      <c r="O155" s="2">
        <v>16</v>
      </c>
    </row>
    <row r="156" spans="1:15" x14ac:dyDescent="0.3">
      <c r="A156" s="2" t="s">
        <v>169</v>
      </c>
      <c r="B156" s="3">
        <v>45230</v>
      </c>
      <c r="C156" s="3">
        <v>45232</v>
      </c>
      <c r="D156" s="2" t="s">
        <v>646</v>
      </c>
      <c r="E156" s="2" t="s">
        <v>650</v>
      </c>
      <c r="F156" s="2" t="s">
        <v>662</v>
      </c>
      <c r="G156" s="2" t="s">
        <v>702</v>
      </c>
      <c r="H156" s="2" t="s">
        <v>707</v>
      </c>
      <c r="I156" s="2" t="s">
        <v>719</v>
      </c>
      <c r="J156" s="2" t="s">
        <v>733</v>
      </c>
      <c r="K156" s="2" t="s">
        <v>888</v>
      </c>
      <c r="L156" s="2">
        <v>867.89</v>
      </c>
      <c r="M156" s="2">
        <v>1349.94</v>
      </c>
      <c r="N156" s="2">
        <v>0.184</v>
      </c>
      <c r="O156" s="2">
        <v>10</v>
      </c>
    </row>
    <row r="157" spans="1:15" x14ac:dyDescent="0.3">
      <c r="A157" s="2" t="s">
        <v>170</v>
      </c>
      <c r="B157" s="3">
        <v>45511</v>
      </c>
      <c r="C157" s="3">
        <v>45521</v>
      </c>
      <c r="D157" s="2" t="s">
        <v>647</v>
      </c>
      <c r="E157" s="2" t="s">
        <v>652</v>
      </c>
      <c r="F157" s="2" t="s">
        <v>666</v>
      </c>
      <c r="G157" s="2" t="s">
        <v>704</v>
      </c>
      <c r="H157" s="2" t="s">
        <v>708</v>
      </c>
      <c r="I157" s="2" t="s">
        <v>723</v>
      </c>
      <c r="J157" s="2" t="s">
        <v>729</v>
      </c>
      <c r="K157" s="2" t="s">
        <v>889</v>
      </c>
      <c r="L157" s="2">
        <v>436.58</v>
      </c>
      <c r="M157" s="2">
        <v>527.48</v>
      </c>
      <c r="N157" s="2">
        <v>0.111</v>
      </c>
      <c r="O157" s="2">
        <v>19</v>
      </c>
    </row>
    <row r="158" spans="1:15" x14ac:dyDescent="0.3">
      <c r="A158" s="2" t="s">
        <v>171</v>
      </c>
      <c r="B158" s="3">
        <v>45323</v>
      </c>
      <c r="C158" s="3">
        <v>45343</v>
      </c>
      <c r="D158" s="2" t="s">
        <v>649</v>
      </c>
      <c r="E158" s="2" t="s">
        <v>657</v>
      </c>
      <c r="F158" s="2" t="s">
        <v>690</v>
      </c>
      <c r="G158" s="2" t="s">
        <v>705</v>
      </c>
      <c r="H158" s="2" t="s">
        <v>709</v>
      </c>
      <c r="I158" s="2" t="s">
        <v>720</v>
      </c>
      <c r="J158" s="2" t="s">
        <v>729</v>
      </c>
      <c r="K158" s="2" t="s">
        <v>890</v>
      </c>
      <c r="L158" s="2">
        <v>656.2</v>
      </c>
      <c r="M158" s="2">
        <v>1467.17</v>
      </c>
      <c r="N158" s="2">
        <v>1.7999999999999999E-2</v>
      </c>
      <c r="O158" s="2">
        <v>5</v>
      </c>
    </row>
    <row r="159" spans="1:15" x14ac:dyDescent="0.3">
      <c r="A159" s="2" t="s">
        <v>172</v>
      </c>
      <c r="B159" s="3">
        <v>45531</v>
      </c>
      <c r="C159" s="3">
        <v>45553</v>
      </c>
      <c r="D159" s="2" t="s">
        <v>647</v>
      </c>
      <c r="E159" s="2" t="s">
        <v>654</v>
      </c>
      <c r="F159" s="2" t="s">
        <v>680</v>
      </c>
      <c r="G159" s="2" t="s">
        <v>704</v>
      </c>
      <c r="H159" s="2" t="s">
        <v>711</v>
      </c>
      <c r="I159" s="2" t="s">
        <v>717</v>
      </c>
      <c r="J159" s="2" t="s">
        <v>727</v>
      </c>
      <c r="K159" s="2" t="s">
        <v>891</v>
      </c>
      <c r="L159" s="2">
        <v>896.75</v>
      </c>
      <c r="M159" s="2">
        <v>1651.14</v>
      </c>
      <c r="N159" s="2">
        <v>2.5000000000000001E-2</v>
      </c>
      <c r="O159" s="2">
        <v>15</v>
      </c>
    </row>
    <row r="160" spans="1:15" x14ac:dyDescent="0.3">
      <c r="A160" s="2" t="s">
        <v>173</v>
      </c>
      <c r="B160" s="3">
        <v>45703</v>
      </c>
      <c r="C160" s="3">
        <v>45703</v>
      </c>
      <c r="D160" s="2" t="s">
        <v>649</v>
      </c>
      <c r="E160" s="2" t="s">
        <v>656</v>
      </c>
      <c r="F160" s="2" t="s">
        <v>698</v>
      </c>
      <c r="G160" s="2" t="s">
        <v>705</v>
      </c>
      <c r="H160" s="2" t="s">
        <v>709</v>
      </c>
      <c r="I160" s="2" t="s">
        <v>716</v>
      </c>
      <c r="J160" s="2" t="s">
        <v>733</v>
      </c>
      <c r="K160" s="2" t="s">
        <v>892</v>
      </c>
      <c r="L160" s="2">
        <v>815.83</v>
      </c>
      <c r="M160" s="2">
        <v>1982.18</v>
      </c>
      <c r="N160" s="2">
        <v>0.127</v>
      </c>
      <c r="O160" s="2">
        <v>6</v>
      </c>
    </row>
    <row r="161" spans="1:15" x14ac:dyDescent="0.3">
      <c r="A161" s="2" t="s">
        <v>174</v>
      </c>
      <c r="B161" s="3">
        <v>45870</v>
      </c>
      <c r="C161" s="3">
        <v>45890</v>
      </c>
      <c r="D161" s="2" t="s">
        <v>647</v>
      </c>
      <c r="E161" s="2" t="s">
        <v>659</v>
      </c>
      <c r="F161" s="2" t="s">
        <v>685</v>
      </c>
      <c r="G161" s="2" t="s">
        <v>701</v>
      </c>
      <c r="H161" s="2" t="s">
        <v>711</v>
      </c>
      <c r="I161" s="2" t="s">
        <v>714</v>
      </c>
      <c r="J161" s="2" t="s">
        <v>730</v>
      </c>
      <c r="K161" s="2" t="s">
        <v>893</v>
      </c>
      <c r="L161" s="2">
        <v>1220.4100000000001</v>
      </c>
      <c r="M161" s="2">
        <v>2552.2199999999998</v>
      </c>
      <c r="N161" s="2">
        <v>0.18099999999999999</v>
      </c>
      <c r="O161" s="2">
        <v>14</v>
      </c>
    </row>
    <row r="162" spans="1:15" x14ac:dyDescent="0.3">
      <c r="A162" s="2" t="s">
        <v>175</v>
      </c>
      <c r="B162" s="3">
        <v>44977</v>
      </c>
      <c r="C162" s="3">
        <v>44989</v>
      </c>
      <c r="D162" s="2" t="s">
        <v>647</v>
      </c>
      <c r="E162" s="2" t="s">
        <v>654</v>
      </c>
      <c r="F162" s="2" t="s">
        <v>680</v>
      </c>
      <c r="G162" s="2" t="s">
        <v>704</v>
      </c>
      <c r="H162" s="2" t="s">
        <v>710</v>
      </c>
      <c r="I162" s="2" t="s">
        <v>724</v>
      </c>
      <c r="J162" s="2" t="s">
        <v>732</v>
      </c>
      <c r="K162" s="2" t="s">
        <v>894</v>
      </c>
      <c r="L162" s="2">
        <v>299.75</v>
      </c>
      <c r="M162" s="2">
        <v>523.01</v>
      </c>
      <c r="N162" s="2">
        <v>0.157</v>
      </c>
      <c r="O162" s="2">
        <v>50</v>
      </c>
    </row>
    <row r="163" spans="1:15" x14ac:dyDescent="0.3">
      <c r="A163" s="2" t="s">
        <v>176</v>
      </c>
      <c r="B163" s="3">
        <v>45595</v>
      </c>
      <c r="C163" s="3">
        <v>45620</v>
      </c>
      <c r="D163" s="2" t="s">
        <v>647</v>
      </c>
      <c r="E163" s="2" t="s">
        <v>659</v>
      </c>
      <c r="F163" s="2" t="s">
        <v>676</v>
      </c>
      <c r="G163" s="2" t="s">
        <v>705</v>
      </c>
      <c r="H163" s="2" t="s">
        <v>708</v>
      </c>
      <c r="I163" s="2" t="s">
        <v>718</v>
      </c>
      <c r="J163" s="2" t="s">
        <v>727</v>
      </c>
      <c r="K163" s="2" t="s">
        <v>895</v>
      </c>
      <c r="L163" s="2">
        <v>811.05</v>
      </c>
      <c r="M163" s="2">
        <v>1217.71</v>
      </c>
      <c r="N163" s="2">
        <v>7.1999999999999995E-2</v>
      </c>
      <c r="O163" s="2">
        <v>5</v>
      </c>
    </row>
    <row r="164" spans="1:15" x14ac:dyDescent="0.3">
      <c r="A164" s="2" t="s">
        <v>177</v>
      </c>
      <c r="B164" s="3">
        <v>45385</v>
      </c>
      <c r="C164" s="3">
        <v>45389</v>
      </c>
      <c r="D164" s="2" t="s">
        <v>648</v>
      </c>
      <c r="E164" s="2" t="s">
        <v>655</v>
      </c>
      <c r="F164" s="2" t="s">
        <v>672</v>
      </c>
      <c r="G164" s="2" t="s">
        <v>703</v>
      </c>
      <c r="H164" s="2" t="s">
        <v>711</v>
      </c>
      <c r="I164" s="2" t="s">
        <v>725</v>
      </c>
      <c r="J164" s="2" t="s">
        <v>730</v>
      </c>
      <c r="K164" s="2" t="s">
        <v>896</v>
      </c>
      <c r="L164" s="2">
        <v>1023.27</v>
      </c>
      <c r="M164" s="2">
        <v>1343.64</v>
      </c>
      <c r="N164" s="2">
        <v>0.13300000000000001</v>
      </c>
      <c r="O164" s="2">
        <v>7</v>
      </c>
    </row>
    <row r="165" spans="1:15" x14ac:dyDescent="0.3">
      <c r="A165" s="2" t="s">
        <v>178</v>
      </c>
      <c r="B165" s="3">
        <v>45010</v>
      </c>
      <c r="C165" s="3">
        <v>45011</v>
      </c>
      <c r="D165" s="2" t="s">
        <v>647</v>
      </c>
      <c r="E165" s="2" t="s">
        <v>652</v>
      </c>
      <c r="F165" s="2" t="s">
        <v>666</v>
      </c>
      <c r="G165" s="2" t="s">
        <v>705</v>
      </c>
      <c r="H165" s="2" t="s">
        <v>710</v>
      </c>
      <c r="I165" s="2" t="s">
        <v>714</v>
      </c>
      <c r="J165" s="2" t="s">
        <v>732</v>
      </c>
      <c r="K165" s="2" t="s">
        <v>897</v>
      </c>
      <c r="L165" s="2">
        <v>135.12</v>
      </c>
      <c r="M165" s="2">
        <v>301.7</v>
      </c>
      <c r="N165" s="2">
        <v>0.14000000000000001</v>
      </c>
      <c r="O165" s="2">
        <v>47</v>
      </c>
    </row>
    <row r="166" spans="1:15" x14ac:dyDescent="0.3">
      <c r="A166" s="2" t="s">
        <v>179</v>
      </c>
      <c r="B166" s="3">
        <v>45447</v>
      </c>
      <c r="C166" s="3">
        <v>45459</v>
      </c>
      <c r="D166" s="2" t="s">
        <v>647</v>
      </c>
      <c r="E166" s="2" t="s">
        <v>659</v>
      </c>
      <c r="F166" s="2" t="s">
        <v>685</v>
      </c>
      <c r="G166" s="2" t="s">
        <v>701</v>
      </c>
      <c r="H166" s="2" t="s">
        <v>707</v>
      </c>
      <c r="I166" s="2" t="s">
        <v>713</v>
      </c>
      <c r="J166" s="2" t="s">
        <v>728</v>
      </c>
      <c r="K166" s="2" t="s">
        <v>898</v>
      </c>
      <c r="L166" s="2">
        <v>918.42</v>
      </c>
      <c r="M166" s="2">
        <v>1511.71</v>
      </c>
      <c r="N166" s="2">
        <v>0.02</v>
      </c>
      <c r="O166" s="2">
        <v>8</v>
      </c>
    </row>
    <row r="167" spans="1:15" x14ac:dyDescent="0.3">
      <c r="A167" s="2" t="s">
        <v>180</v>
      </c>
      <c r="B167" s="3">
        <v>44976</v>
      </c>
      <c r="C167" s="3">
        <v>44997</v>
      </c>
      <c r="D167" s="2" t="s">
        <v>649</v>
      </c>
      <c r="E167" s="2" t="s">
        <v>656</v>
      </c>
      <c r="F167" s="2" t="s">
        <v>671</v>
      </c>
      <c r="G167" s="2" t="s">
        <v>705</v>
      </c>
      <c r="H167" s="2" t="s">
        <v>711</v>
      </c>
      <c r="I167" s="2" t="s">
        <v>716</v>
      </c>
      <c r="J167" s="2" t="s">
        <v>732</v>
      </c>
      <c r="K167" s="2" t="s">
        <v>899</v>
      </c>
      <c r="L167" s="2">
        <v>1234.81</v>
      </c>
      <c r="M167" s="2">
        <v>2055.2399999999998</v>
      </c>
      <c r="N167" s="2">
        <v>5.2999999999999999E-2</v>
      </c>
      <c r="O167" s="2">
        <v>44</v>
      </c>
    </row>
    <row r="168" spans="1:15" x14ac:dyDescent="0.3">
      <c r="A168" s="2" t="s">
        <v>181</v>
      </c>
      <c r="B168" s="3">
        <v>45034</v>
      </c>
      <c r="C168" s="3">
        <v>45064</v>
      </c>
      <c r="D168" s="2" t="s">
        <v>647</v>
      </c>
      <c r="E168" s="2" t="s">
        <v>659</v>
      </c>
      <c r="F168" s="2" t="s">
        <v>676</v>
      </c>
      <c r="G168" s="2" t="s">
        <v>703</v>
      </c>
      <c r="H168" s="2" t="s">
        <v>707</v>
      </c>
      <c r="I168" s="2" t="s">
        <v>722</v>
      </c>
      <c r="J168" s="2" t="s">
        <v>731</v>
      </c>
      <c r="K168" s="2" t="s">
        <v>900</v>
      </c>
      <c r="L168" s="2">
        <v>329.03</v>
      </c>
      <c r="M168" s="2">
        <v>391.15</v>
      </c>
      <c r="N168" s="2">
        <v>0.19700000000000001</v>
      </c>
      <c r="O168" s="2">
        <v>46</v>
      </c>
    </row>
    <row r="169" spans="1:15" x14ac:dyDescent="0.3">
      <c r="A169" s="2" t="s">
        <v>182</v>
      </c>
      <c r="B169" s="3">
        <v>45435</v>
      </c>
      <c r="C169" s="3">
        <v>45457</v>
      </c>
      <c r="D169" s="2" t="s">
        <v>649</v>
      </c>
      <c r="E169" s="2" t="s">
        <v>657</v>
      </c>
      <c r="F169" s="2" t="s">
        <v>673</v>
      </c>
      <c r="G169" s="2" t="s">
        <v>705</v>
      </c>
      <c r="H169" s="2" t="s">
        <v>708</v>
      </c>
      <c r="I169" s="2" t="s">
        <v>725</v>
      </c>
      <c r="J169" s="2" t="s">
        <v>732</v>
      </c>
      <c r="K169" s="2" t="s">
        <v>901</v>
      </c>
      <c r="L169" s="2">
        <v>1481.74</v>
      </c>
      <c r="M169" s="2">
        <v>1848.97</v>
      </c>
      <c r="N169" s="2">
        <v>0.254</v>
      </c>
      <c r="O169" s="2">
        <v>9</v>
      </c>
    </row>
    <row r="170" spans="1:15" x14ac:dyDescent="0.3">
      <c r="A170" s="2" t="s">
        <v>183</v>
      </c>
      <c r="B170" s="3">
        <v>45206</v>
      </c>
      <c r="C170" s="3">
        <v>45222</v>
      </c>
      <c r="D170" s="2" t="s">
        <v>647</v>
      </c>
      <c r="E170" s="2" t="s">
        <v>654</v>
      </c>
      <c r="F170" s="2" t="s">
        <v>696</v>
      </c>
      <c r="G170" s="2" t="s">
        <v>704</v>
      </c>
      <c r="H170" s="2" t="s">
        <v>707</v>
      </c>
      <c r="I170" s="2" t="s">
        <v>715</v>
      </c>
      <c r="J170" s="2" t="s">
        <v>732</v>
      </c>
      <c r="K170" s="2" t="s">
        <v>902</v>
      </c>
      <c r="L170" s="2">
        <v>906.81</v>
      </c>
      <c r="M170" s="2">
        <v>1395.56</v>
      </c>
      <c r="N170" s="2">
        <v>0.185</v>
      </c>
      <c r="O170" s="2">
        <v>6</v>
      </c>
    </row>
    <row r="171" spans="1:15" x14ac:dyDescent="0.3">
      <c r="A171" s="2" t="s">
        <v>184</v>
      </c>
      <c r="B171" s="3">
        <v>45574</v>
      </c>
      <c r="C171" s="3">
        <v>45604</v>
      </c>
      <c r="D171" s="2" t="s">
        <v>649</v>
      </c>
      <c r="E171" s="2" t="s">
        <v>658</v>
      </c>
      <c r="F171" s="2" t="s">
        <v>693</v>
      </c>
      <c r="G171" s="2" t="s">
        <v>705</v>
      </c>
      <c r="H171" s="2" t="s">
        <v>710</v>
      </c>
      <c r="I171" s="2" t="s">
        <v>713</v>
      </c>
      <c r="J171" s="2" t="s">
        <v>727</v>
      </c>
      <c r="K171" s="2" t="s">
        <v>903</v>
      </c>
      <c r="L171" s="2">
        <v>343.85</v>
      </c>
      <c r="M171" s="2">
        <v>538.04</v>
      </c>
      <c r="N171" s="2">
        <v>0.13900000000000001</v>
      </c>
      <c r="O171" s="2">
        <v>5</v>
      </c>
    </row>
    <row r="172" spans="1:15" x14ac:dyDescent="0.3">
      <c r="A172" s="2" t="s">
        <v>185</v>
      </c>
      <c r="B172" s="3">
        <v>45488</v>
      </c>
      <c r="C172" s="3">
        <v>45488</v>
      </c>
      <c r="D172" s="2" t="s">
        <v>647</v>
      </c>
      <c r="E172" s="2" t="s">
        <v>652</v>
      </c>
      <c r="F172" s="2" t="s">
        <v>689</v>
      </c>
      <c r="G172" s="2" t="s">
        <v>705</v>
      </c>
      <c r="H172" s="2" t="s">
        <v>709</v>
      </c>
      <c r="I172" s="2" t="s">
        <v>715</v>
      </c>
      <c r="J172" s="2" t="s">
        <v>733</v>
      </c>
      <c r="K172" s="2" t="s">
        <v>904</v>
      </c>
      <c r="L172" s="2">
        <v>801.77</v>
      </c>
      <c r="M172" s="2">
        <v>1218.92</v>
      </c>
      <c r="N172" s="2">
        <v>0.254</v>
      </c>
      <c r="O172" s="2">
        <v>16</v>
      </c>
    </row>
    <row r="173" spans="1:15" x14ac:dyDescent="0.3">
      <c r="A173" s="2" t="s">
        <v>186</v>
      </c>
      <c r="B173" s="3">
        <v>45190</v>
      </c>
      <c r="C173" s="3">
        <v>45209</v>
      </c>
      <c r="D173" s="2" t="s">
        <v>647</v>
      </c>
      <c r="E173" s="2" t="s">
        <v>652</v>
      </c>
      <c r="F173" s="2" t="s">
        <v>689</v>
      </c>
      <c r="G173" s="2" t="s">
        <v>702</v>
      </c>
      <c r="H173" s="2" t="s">
        <v>708</v>
      </c>
      <c r="I173" s="2" t="s">
        <v>726</v>
      </c>
      <c r="J173" s="2" t="s">
        <v>727</v>
      </c>
      <c r="K173" s="2" t="s">
        <v>905</v>
      </c>
      <c r="L173" s="2">
        <v>845.63</v>
      </c>
      <c r="M173" s="2">
        <v>2062.12</v>
      </c>
      <c r="N173" s="2">
        <v>0.13400000000000001</v>
      </c>
      <c r="O173" s="2">
        <v>5</v>
      </c>
    </row>
    <row r="174" spans="1:15" x14ac:dyDescent="0.3">
      <c r="A174" s="2" t="s">
        <v>187</v>
      </c>
      <c r="B174" s="3">
        <v>44981</v>
      </c>
      <c r="C174" s="3">
        <v>44994</v>
      </c>
      <c r="D174" s="2" t="s">
        <v>648</v>
      </c>
      <c r="E174" s="2" t="s">
        <v>660</v>
      </c>
      <c r="F174" s="2" t="s">
        <v>700</v>
      </c>
      <c r="G174" s="2" t="s">
        <v>706</v>
      </c>
      <c r="H174" s="2" t="s">
        <v>708</v>
      </c>
      <c r="I174" s="2" t="s">
        <v>724</v>
      </c>
      <c r="J174" s="2" t="s">
        <v>727</v>
      </c>
      <c r="K174" s="2" t="s">
        <v>906</v>
      </c>
      <c r="L174" s="2">
        <v>6.85</v>
      </c>
      <c r="M174" s="2">
        <v>10.18</v>
      </c>
      <c r="N174" s="2">
        <v>4.7E-2</v>
      </c>
      <c r="O174" s="2">
        <v>10</v>
      </c>
    </row>
    <row r="175" spans="1:15" x14ac:dyDescent="0.3">
      <c r="A175" s="2" t="s">
        <v>188</v>
      </c>
      <c r="B175" s="3">
        <v>45798</v>
      </c>
      <c r="C175" s="3">
        <v>45796</v>
      </c>
      <c r="D175" s="2" t="s">
        <v>646</v>
      </c>
      <c r="E175" s="2" t="s">
        <v>661</v>
      </c>
      <c r="F175" s="2" t="s">
        <v>682</v>
      </c>
      <c r="G175" s="2" t="s">
        <v>703</v>
      </c>
      <c r="H175" s="2" t="s">
        <v>710</v>
      </c>
      <c r="I175" s="2" t="s">
        <v>719</v>
      </c>
      <c r="J175" s="2" t="s">
        <v>731</v>
      </c>
      <c r="K175" s="2" t="s">
        <v>907</v>
      </c>
      <c r="L175" s="2">
        <v>1263.8399999999999</v>
      </c>
      <c r="M175" s="2">
        <v>2281.7199999999998</v>
      </c>
      <c r="N175" s="2">
        <v>7.8E-2</v>
      </c>
      <c r="O175" s="2">
        <v>15</v>
      </c>
    </row>
    <row r="176" spans="1:15" x14ac:dyDescent="0.3">
      <c r="A176" s="2" t="s">
        <v>189</v>
      </c>
      <c r="B176" s="3">
        <v>45435</v>
      </c>
      <c r="C176" s="3">
        <v>45446</v>
      </c>
      <c r="D176" s="2" t="s">
        <v>646</v>
      </c>
      <c r="E176" s="2" t="s">
        <v>661</v>
      </c>
      <c r="F176" s="2" t="s">
        <v>682</v>
      </c>
      <c r="G176" s="2" t="s">
        <v>705</v>
      </c>
      <c r="H176" s="2" t="s">
        <v>710</v>
      </c>
      <c r="I176" s="2" t="s">
        <v>721</v>
      </c>
      <c r="J176" s="2" t="s">
        <v>728</v>
      </c>
      <c r="K176" s="2" t="s">
        <v>908</v>
      </c>
      <c r="L176" s="2">
        <v>180.89</v>
      </c>
      <c r="M176" s="2">
        <v>249.57</v>
      </c>
      <c r="N176" s="2">
        <v>2.1999999999999999E-2</v>
      </c>
      <c r="O176" s="2">
        <v>8</v>
      </c>
    </row>
    <row r="177" spans="1:15" x14ac:dyDescent="0.3">
      <c r="A177" s="2" t="s">
        <v>190</v>
      </c>
      <c r="B177" s="3">
        <v>45761</v>
      </c>
      <c r="C177" s="3">
        <v>45781</v>
      </c>
      <c r="D177" s="2" t="s">
        <v>649</v>
      </c>
      <c r="E177" s="2" t="s">
        <v>658</v>
      </c>
      <c r="F177" s="2" t="s">
        <v>674</v>
      </c>
      <c r="G177" s="2" t="s">
        <v>706</v>
      </c>
      <c r="H177" s="2" t="s">
        <v>709</v>
      </c>
      <c r="I177" s="2" t="s">
        <v>723</v>
      </c>
      <c r="J177" s="2" t="s">
        <v>732</v>
      </c>
      <c r="K177" s="2" t="s">
        <v>909</v>
      </c>
      <c r="L177" s="2">
        <v>1413.87</v>
      </c>
      <c r="M177" s="2">
        <v>3275</v>
      </c>
      <c r="N177" s="2">
        <v>0.255</v>
      </c>
      <c r="O177" s="2">
        <v>38</v>
      </c>
    </row>
    <row r="178" spans="1:15" x14ac:dyDescent="0.3">
      <c r="A178" s="2" t="s">
        <v>191</v>
      </c>
      <c r="B178" s="3">
        <v>45165</v>
      </c>
      <c r="C178" s="3">
        <v>45180</v>
      </c>
      <c r="D178" s="2" t="s">
        <v>649</v>
      </c>
      <c r="E178" s="2" t="s">
        <v>658</v>
      </c>
      <c r="F178" s="2" t="s">
        <v>683</v>
      </c>
      <c r="G178" s="2" t="s">
        <v>704</v>
      </c>
      <c r="H178" s="2" t="s">
        <v>709</v>
      </c>
      <c r="I178" s="2" t="s">
        <v>725</v>
      </c>
      <c r="J178" s="2" t="s">
        <v>728</v>
      </c>
      <c r="K178" s="2" t="s">
        <v>910</v>
      </c>
      <c r="L178" s="2">
        <v>943.79</v>
      </c>
      <c r="M178" s="2">
        <v>1913.76</v>
      </c>
      <c r="N178" s="2">
        <v>9.0999999999999998E-2</v>
      </c>
      <c r="O178" s="2">
        <v>9</v>
      </c>
    </row>
    <row r="179" spans="1:15" x14ac:dyDescent="0.3">
      <c r="A179" s="2" t="s">
        <v>192</v>
      </c>
      <c r="B179" s="3">
        <v>45325</v>
      </c>
      <c r="C179" s="3">
        <v>45343</v>
      </c>
      <c r="D179" s="2" t="s">
        <v>649</v>
      </c>
      <c r="E179" s="2" t="s">
        <v>656</v>
      </c>
      <c r="F179" s="2" t="s">
        <v>698</v>
      </c>
      <c r="G179" s="2" t="s">
        <v>701</v>
      </c>
      <c r="H179" s="2" t="s">
        <v>707</v>
      </c>
      <c r="I179" s="2" t="s">
        <v>722</v>
      </c>
      <c r="J179" s="2" t="s">
        <v>727</v>
      </c>
      <c r="K179" s="2" t="s">
        <v>911</v>
      </c>
      <c r="L179" s="2">
        <v>39.229999999999997</v>
      </c>
      <c r="M179" s="2">
        <v>30.09</v>
      </c>
      <c r="N179" s="2">
        <v>0.17699999999999999</v>
      </c>
      <c r="O179" s="2">
        <v>13</v>
      </c>
    </row>
    <row r="180" spans="1:15" x14ac:dyDescent="0.3">
      <c r="A180" s="2" t="s">
        <v>193</v>
      </c>
      <c r="B180" s="3">
        <v>45021</v>
      </c>
      <c r="C180" s="3">
        <v>45032</v>
      </c>
      <c r="D180" s="2" t="s">
        <v>648</v>
      </c>
      <c r="E180" s="2" t="s">
        <v>653</v>
      </c>
      <c r="F180" s="2" t="s">
        <v>688</v>
      </c>
      <c r="G180" s="2" t="s">
        <v>703</v>
      </c>
      <c r="H180" s="2" t="s">
        <v>708</v>
      </c>
      <c r="I180" s="2" t="s">
        <v>719</v>
      </c>
      <c r="J180" s="2" t="s">
        <v>732</v>
      </c>
      <c r="K180" s="2" t="s">
        <v>912</v>
      </c>
      <c r="L180" s="2">
        <v>213.1</v>
      </c>
      <c r="M180" s="2">
        <v>501.31</v>
      </c>
      <c r="N180" s="2">
        <v>5.6000000000000001E-2</v>
      </c>
      <c r="O180" s="2">
        <v>15</v>
      </c>
    </row>
    <row r="181" spans="1:15" x14ac:dyDescent="0.3">
      <c r="A181" s="2" t="s">
        <v>194</v>
      </c>
      <c r="B181" s="3">
        <v>45890</v>
      </c>
      <c r="C181" s="3">
        <v>45912</v>
      </c>
      <c r="D181" s="2" t="s">
        <v>647</v>
      </c>
      <c r="E181" s="2" t="s">
        <v>659</v>
      </c>
      <c r="F181" s="2" t="s">
        <v>676</v>
      </c>
      <c r="G181" s="2" t="s">
        <v>702</v>
      </c>
      <c r="H181" s="2" t="s">
        <v>707</v>
      </c>
      <c r="I181" s="2" t="s">
        <v>717</v>
      </c>
      <c r="J181" s="2" t="s">
        <v>728</v>
      </c>
      <c r="K181" s="2" t="s">
        <v>913</v>
      </c>
      <c r="L181" s="2">
        <v>352.66</v>
      </c>
      <c r="M181" s="2">
        <v>411.18</v>
      </c>
      <c r="N181" s="2">
        <v>0.17299999999999999</v>
      </c>
      <c r="O181" s="2">
        <v>13</v>
      </c>
    </row>
    <row r="182" spans="1:15" x14ac:dyDescent="0.3">
      <c r="A182" s="2" t="s">
        <v>195</v>
      </c>
      <c r="B182" s="3">
        <v>45915</v>
      </c>
      <c r="C182" s="3">
        <v>45918</v>
      </c>
      <c r="D182" s="2" t="s">
        <v>648</v>
      </c>
      <c r="E182" s="2" t="s">
        <v>655</v>
      </c>
      <c r="F182" s="2" t="s">
        <v>692</v>
      </c>
      <c r="G182" s="2" t="s">
        <v>703</v>
      </c>
      <c r="H182" s="2" t="s">
        <v>711</v>
      </c>
      <c r="I182" s="2" t="s">
        <v>716</v>
      </c>
      <c r="J182" s="2" t="s">
        <v>733</v>
      </c>
      <c r="K182" s="2" t="s">
        <v>914</v>
      </c>
      <c r="L182" s="2">
        <v>5.5</v>
      </c>
      <c r="M182" s="2">
        <v>5.92</v>
      </c>
      <c r="N182" s="2">
        <v>0.21199999999999999</v>
      </c>
      <c r="O182" s="2">
        <v>4</v>
      </c>
    </row>
    <row r="183" spans="1:15" x14ac:dyDescent="0.3">
      <c r="A183" s="2" t="s">
        <v>196</v>
      </c>
      <c r="B183" s="3">
        <v>45568</v>
      </c>
      <c r="C183" s="3">
        <v>45576</v>
      </c>
      <c r="D183" s="2" t="s">
        <v>647</v>
      </c>
      <c r="E183" s="2" t="s">
        <v>659</v>
      </c>
      <c r="F183" s="2" t="s">
        <v>699</v>
      </c>
      <c r="G183" s="2" t="s">
        <v>706</v>
      </c>
      <c r="H183" s="2" t="s">
        <v>711</v>
      </c>
      <c r="I183" s="2" t="s">
        <v>717</v>
      </c>
      <c r="J183" s="2" t="s">
        <v>730</v>
      </c>
      <c r="K183" s="2" t="s">
        <v>915</v>
      </c>
      <c r="L183" s="2">
        <v>1132.6099999999999</v>
      </c>
      <c r="M183" s="2">
        <v>2206.63</v>
      </c>
      <c r="N183" s="2">
        <v>6.3E-2</v>
      </c>
      <c r="O183" s="2">
        <v>20</v>
      </c>
    </row>
    <row r="184" spans="1:15" x14ac:dyDescent="0.3">
      <c r="A184" s="2" t="s">
        <v>197</v>
      </c>
      <c r="B184" s="3">
        <v>45690</v>
      </c>
      <c r="C184" s="3">
        <v>45720</v>
      </c>
      <c r="D184" s="2" t="s">
        <v>647</v>
      </c>
      <c r="E184" s="2" t="s">
        <v>652</v>
      </c>
      <c r="F184" s="2" t="s">
        <v>666</v>
      </c>
      <c r="G184" s="2" t="s">
        <v>702</v>
      </c>
      <c r="H184" s="2" t="s">
        <v>710</v>
      </c>
      <c r="I184" s="2" t="s">
        <v>716</v>
      </c>
      <c r="J184" s="2" t="s">
        <v>733</v>
      </c>
      <c r="K184" s="2" t="s">
        <v>916</v>
      </c>
      <c r="L184" s="2">
        <v>766.59</v>
      </c>
      <c r="M184" s="2">
        <v>1912.8</v>
      </c>
      <c r="N184" s="2">
        <v>0.19600000000000001</v>
      </c>
      <c r="O184" s="2">
        <v>5</v>
      </c>
    </row>
    <row r="185" spans="1:15" x14ac:dyDescent="0.3">
      <c r="A185" s="2" t="s">
        <v>198</v>
      </c>
      <c r="B185" s="3">
        <v>45157</v>
      </c>
      <c r="C185" s="3">
        <v>45161</v>
      </c>
      <c r="D185" s="2" t="s">
        <v>646</v>
      </c>
      <c r="E185" s="2" t="s">
        <v>651</v>
      </c>
      <c r="F185" s="2" t="s">
        <v>669</v>
      </c>
      <c r="G185" s="2" t="s">
        <v>705</v>
      </c>
      <c r="H185" s="2" t="s">
        <v>708</v>
      </c>
      <c r="I185" s="2" t="s">
        <v>713</v>
      </c>
      <c r="J185" s="2" t="s">
        <v>732</v>
      </c>
      <c r="K185" s="2" t="s">
        <v>917</v>
      </c>
      <c r="L185" s="2">
        <v>790.63</v>
      </c>
      <c r="M185" s="2">
        <v>1382.31</v>
      </c>
      <c r="N185" s="2">
        <v>0.10100000000000001</v>
      </c>
      <c r="O185" s="2">
        <v>7</v>
      </c>
    </row>
    <row r="186" spans="1:15" x14ac:dyDescent="0.3">
      <c r="A186" s="2" t="s">
        <v>199</v>
      </c>
      <c r="B186" s="3">
        <v>45587</v>
      </c>
      <c r="C186" s="3">
        <v>45594</v>
      </c>
      <c r="D186" s="2" t="s">
        <v>646</v>
      </c>
      <c r="E186" s="2" t="s">
        <v>651</v>
      </c>
      <c r="F186" s="2" t="s">
        <v>663</v>
      </c>
      <c r="G186" s="2" t="s">
        <v>706</v>
      </c>
      <c r="H186" s="2" t="s">
        <v>710</v>
      </c>
      <c r="I186" s="2" t="s">
        <v>724</v>
      </c>
      <c r="J186" s="2" t="s">
        <v>732</v>
      </c>
      <c r="K186" s="2" t="s">
        <v>918</v>
      </c>
      <c r="L186" s="2">
        <v>1023.06</v>
      </c>
      <c r="M186" s="2">
        <v>1355.61</v>
      </c>
      <c r="N186" s="2">
        <v>0.153</v>
      </c>
      <c r="O186" s="2">
        <v>23</v>
      </c>
    </row>
    <row r="187" spans="1:15" x14ac:dyDescent="0.3">
      <c r="A187" s="2" t="s">
        <v>200</v>
      </c>
      <c r="B187" s="3">
        <v>45099</v>
      </c>
      <c r="C187" s="3">
        <v>45128</v>
      </c>
      <c r="D187" s="2" t="s">
        <v>649</v>
      </c>
      <c r="E187" s="2" t="s">
        <v>657</v>
      </c>
      <c r="F187" s="2" t="s">
        <v>679</v>
      </c>
      <c r="G187" s="2" t="s">
        <v>701</v>
      </c>
      <c r="H187" s="2" t="s">
        <v>707</v>
      </c>
      <c r="I187" s="2" t="s">
        <v>713</v>
      </c>
      <c r="J187" s="2" t="s">
        <v>733</v>
      </c>
      <c r="K187" s="2" t="s">
        <v>919</v>
      </c>
      <c r="L187" s="2">
        <v>734.34</v>
      </c>
      <c r="M187" s="2">
        <v>887.9</v>
      </c>
      <c r="N187" s="2">
        <v>2.5000000000000001E-2</v>
      </c>
      <c r="O187" s="2">
        <v>12</v>
      </c>
    </row>
    <row r="188" spans="1:15" x14ac:dyDescent="0.3">
      <c r="A188" s="2" t="s">
        <v>201</v>
      </c>
      <c r="B188" s="3">
        <v>45670</v>
      </c>
      <c r="C188" s="3">
        <v>45696</v>
      </c>
      <c r="D188" s="2" t="s">
        <v>649</v>
      </c>
      <c r="E188" s="2" t="s">
        <v>657</v>
      </c>
      <c r="F188" s="2" t="s">
        <v>690</v>
      </c>
      <c r="G188" s="2" t="s">
        <v>703</v>
      </c>
      <c r="H188" s="2"/>
      <c r="I188" s="2" t="s">
        <v>718</v>
      </c>
      <c r="J188" s="2" t="s">
        <v>732</v>
      </c>
      <c r="K188" s="2" t="s">
        <v>920</v>
      </c>
      <c r="L188" s="2">
        <v>594.74</v>
      </c>
      <c r="M188" s="2">
        <v>1020.69</v>
      </c>
      <c r="N188" s="2">
        <v>0.21099999999999999</v>
      </c>
      <c r="O188" s="2">
        <v>6</v>
      </c>
    </row>
    <row r="189" spans="1:15" x14ac:dyDescent="0.3">
      <c r="A189" s="2" t="s">
        <v>144</v>
      </c>
      <c r="B189" s="3">
        <v>44955</v>
      </c>
      <c r="C189" s="3">
        <v>44985</v>
      </c>
      <c r="D189" s="2" t="s">
        <v>647</v>
      </c>
      <c r="E189" s="2" t="s">
        <v>654</v>
      </c>
      <c r="F189" s="2" t="s">
        <v>668</v>
      </c>
      <c r="G189" s="2" t="s">
        <v>703</v>
      </c>
      <c r="H189" s="2" t="s">
        <v>707</v>
      </c>
      <c r="I189" s="2" t="s">
        <v>717</v>
      </c>
      <c r="J189" s="2" t="s">
        <v>733</v>
      </c>
      <c r="K189" s="2" t="s">
        <v>921</v>
      </c>
      <c r="L189" s="2">
        <v>1262.0999999999999</v>
      </c>
      <c r="M189" s="2">
        <v>1395.53</v>
      </c>
      <c r="N189" s="2">
        <v>0.23300000000000001</v>
      </c>
      <c r="O189" s="2">
        <v>25</v>
      </c>
    </row>
    <row r="190" spans="1:15" x14ac:dyDescent="0.3">
      <c r="A190" s="2" t="s">
        <v>202</v>
      </c>
      <c r="B190" s="3">
        <v>45126</v>
      </c>
      <c r="C190" s="3">
        <v>45138</v>
      </c>
      <c r="D190" s="2" t="s">
        <v>648</v>
      </c>
      <c r="E190" s="2" t="s">
        <v>655</v>
      </c>
      <c r="F190" s="2" t="s">
        <v>692</v>
      </c>
      <c r="G190" s="2" t="s">
        <v>701</v>
      </c>
      <c r="H190" s="2" t="s">
        <v>707</v>
      </c>
      <c r="I190" s="2" t="s">
        <v>712</v>
      </c>
      <c r="J190" s="2" t="s">
        <v>732</v>
      </c>
      <c r="K190" s="2" t="s">
        <v>922</v>
      </c>
      <c r="L190" s="2">
        <v>1334.64</v>
      </c>
      <c r="M190" s="2">
        <v>2273.42</v>
      </c>
      <c r="N190" s="2">
        <v>0.11799999999999999</v>
      </c>
      <c r="O190" s="2">
        <v>14</v>
      </c>
    </row>
    <row r="191" spans="1:15" x14ac:dyDescent="0.3">
      <c r="A191" s="2" t="s">
        <v>203</v>
      </c>
      <c r="B191" s="3">
        <v>45431</v>
      </c>
      <c r="C191" s="3">
        <v>45451</v>
      </c>
      <c r="D191" s="2" t="s">
        <v>648</v>
      </c>
      <c r="E191" s="2" t="s">
        <v>655</v>
      </c>
      <c r="F191" s="2" t="s">
        <v>672</v>
      </c>
      <c r="G191" s="2" t="s">
        <v>705</v>
      </c>
      <c r="H191" s="2" t="s">
        <v>707</v>
      </c>
      <c r="I191" s="2" t="s">
        <v>718</v>
      </c>
      <c r="J191" s="2" t="s">
        <v>732</v>
      </c>
      <c r="K191" s="2" t="s">
        <v>923</v>
      </c>
      <c r="L191" s="2">
        <v>1075.9000000000001</v>
      </c>
      <c r="M191" s="2">
        <v>1242.1500000000001</v>
      </c>
      <c r="N191" s="2">
        <v>1.2E-2</v>
      </c>
      <c r="O191" s="2">
        <v>7</v>
      </c>
    </row>
    <row r="192" spans="1:15" x14ac:dyDescent="0.3">
      <c r="A192" s="2" t="s">
        <v>204</v>
      </c>
      <c r="B192" s="3">
        <v>45325</v>
      </c>
      <c r="C192" s="3">
        <v>45341</v>
      </c>
      <c r="D192" s="2" t="s">
        <v>647</v>
      </c>
      <c r="E192" s="2" t="s">
        <v>659</v>
      </c>
      <c r="F192" s="2" t="s">
        <v>676</v>
      </c>
      <c r="G192" s="2" t="s">
        <v>705</v>
      </c>
      <c r="H192" s="2" t="s">
        <v>708</v>
      </c>
      <c r="I192" s="2" t="s">
        <v>722</v>
      </c>
      <c r="J192" s="2" t="s">
        <v>731</v>
      </c>
      <c r="K192" s="2" t="s">
        <v>924</v>
      </c>
      <c r="L192" s="2">
        <v>993.75</v>
      </c>
      <c r="M192" s="2">
        <v>1310.29</v>
      </c>
      <c r="N192" s="2">
        <v>0.215</v>
      </c>
      <c r="O192" s="2">
        <v>19</v>
      </c>
    </row>
    <row r="193" spans="1:15" x14ac:dyDescent="0.3">
      <c r="A193" s="2" t="s">
        <v>205</v>
      </c>
      <c r="B193" s="3">
        <v>45146</v>
      </c>
      <c r="C193" s="3">
        <v>45160</v>
      </c>
      <c r="D193" s="2" t="s">
        <v>649</v>
      </c>
      <c r="E193" s="2" t="s">
        <v>658</v>
      </c>
      <c r="F193" s="2" t="s">
        <v>674</v>
      </c>
      <c r="G193" s="2" t="s">
        <v>703</v>
      </c>
      <c r="H193" s="2" t="s">
        <v>711</v>
      </c>
      <c r="I193" s="2" t="s">
        <v>725</v>
      </c>
      <c r="J193" s="2" t="s">
        <v>732</v>
      </c>
      <c r="K193" s="2" t="s">
        <v>925</v>
      </c>
      <c r="L193" s="2">
        <v>446.69</v>
      </c>
      <c r="M193" s="2">
        <v>967.25</v>
      </c>
      <c r="N193" s="2">
        <v>9.4E-2</v>
      </c>
      <c r="O193" s="2">
        <v>10</v>
      </c>
    </row>
    <row r="194" spans="1:15" x14ac:dyDescent="0.3">
      <c r="A194" s="2" t="s">
        <v>206</v>
      </c>
      <c r="B194" s="3">
        <v>45516</v>
      </c>
      <c r="C194" s="3">
        <v>45538</v>
      </c>
      <c r="D194" s="2" t="s">
        <v>648</v>
      </c>
      <c r="E194" s="2" t="s">
        <v>660</v>
      </c>
      <c r="F194" s="2" t="s">
        <v>697</v>
      </c>
      <c r="G194" s="2" t="s">
        <v>704</v>
      </c>
      <c r="H194" s="2" t="s">
        <v>710</v>
      </c>
      <c r="I194" s="2" t="s">
        <v>714</v>
      </c>
      <c r="J194" s="2" t="s">
        <v>731</v>
      </c>
      <c r="K194" s="2" t="s">
        <v>926</v>
      </c>
      <c r="L194" s="2">
        <v>797.8</v>
      </c>
      <c r="M194" s="2">
        <v>886.22</v>
      </c>
      <c r="N194" s="2">
        <v>0.23599999999999999</v>
      </c>
      <c r="O194" s="2">
        <v>36</v>
      </c>
    </row>
    <row r="195" spans="1:15" x14ac:dyDescent="0.3">
      <c r="A195" s="2" t="s">
        <v>207</v>
      </c>
      <c r="B195" s="3">
        <v>45214</v>
      </c>
      <c r="C195" s="3">
        <v>45243</v>
      </c>
      <c r="D195" s="2" t="s">
        <v>647</v>
      </c>
      <c r="E195" s="2" t="s">
        <v>659</v>
      </c>
      <c r="F195" s="2" t="s">
        <v>676</v>
      </c>
      <c r="G195" s="2" t="s">
        <v>703</v>
      </c>
      <c r="H195" s="2" t="s">
        <v>710</v>
      </c>
      <c r="I195" s="2" t="s">
        <v>713</v>
      </c>
      <c r="J195" s="2" t="s">
        <v>728</v>
      </c>
      <c r="K195" s="2" t="s">
        <v>927</v>
      </c>
      <c r="L195" s="2">
        <v>986.44</v>
      </c>
      <c r="M195" s="2">
        <v>790.61</v>
      </c>
      <c r="N195" s="2">
        <v>7.1999999999999995E-2</v>
      </c>
      <c r="O195" s="2">
        <v>6</v>
      </c>
    </row>
    <row r="196" spans="1:15" x14ac:dyDescent="0.3">
      <c r="A196" s="2" t="s">
        <v>208</v>
      </c>
      <c r="B196" s="3">
        <v>45050</v>
      </c>
      <c r="C196" s="3">
        <v>45072</v>
      </c>
      <c r="D196" s="2" t="s">
        <v>648</v>
      </c>
      <c r="E196" s="2" t="s">
        <v>660</v>
      </c>
      <c r="F196" s="2" t="s">
        <v>686</v>
      </c>
      <c r="G196" s="2" t="s">
        <v>706</v>
      </c>
      <c r="H196" s="2" t="s">
        <v>708</v>
      </c>
      <c r="I196" s="2" t="s">
        <v>713</v>
      </c>
      <c r="J196" s="2" t="s">
        <v>729</v>
      </c>
      <c r="K196" s="2" t="s">
        <v>928</v>
      </c>
      <c r="L196" s="2">
        <v>249.71</v>
      </c>
      <c r="M196" s="2">
        <v>361.33</v>
      </c>
      <c r="N196" s="2">
        <v>9.4E-2</v>
      </c>
      <c r="O196" s="2">
        <v>12</v>
      </c>
    </row>
    <row r="197" spans="1:15" x14ac:dyDescent="0.3">
      <c r="A197" s="2" t="s">
        <v>209</v>
      </c>
      <c r="B197" s="3">
        <v>45557</v>
      </c>
      <c r="C197" s="3">
        <v>45566</v>
      </c>
      <c r="D197" s="2" t="s">
        <v>648</v>
      </c>
      <c r="E197" s="2" t="s">
        <v>655</v>
      </c>
      <c r="F197" s="2" t="s">
        <v>670</v>
      </c>
      <c r="G197" s="2" t="s">
        <v>703</v>
      </c>
      <c r="H197" s="2" t="s">
        <v>708</v>
      </c>
      <c r="I197" s="2" t="s">
        <v>723</v>
      </c>
      <c r="J197" s="2" t="s">
        <v>732</v>
      </c>
      <c r="K197" s="2" t="s">
        <v>929</v>
      </c>
      <c r="L197" s="2">
        <v>1378.8</v>
      </c>
      <c r="M197" s="2">
        <v>1952.04</v>
      </c>
      <c r="N197" s="2">
        <v>0.159</v>
      </c>
      <c r="O197" s="2">
        <v>19</v>
      </c>
    </row>
    <row r="198" spans="1:15" x14ac:dyDescent="0.3">
      <c r="A198" s="2" t="s">
        <v>210</v>
      </c>
      <c r="B198" s="3">
        <v>45588</v>
      </c>
      <c r="C198" s="3">
        <v>45610</v>
      </c>
      <c r="D198" s="2" t="s">
        <v>647</v>
      </c>
      <c r="E198" s="2" t="s">
        <v>652</v>
      </c>
      <c r="F198" s="2" t="s">
        <v>666</v>
      </c>
      <c r="G198" s="2" t="s">
        <v>703</v>
      </c>
      <c r="H198" s="2" t="s">
        <v>711</v>
      </c>
      <c r="I198" s="2" t="s">
        <v>717</v>
      </c>
      <c r="J198" s="2" t="s">
        <v>730</v>
      </c>
      <c r="K198" s="2" t="s">
        <v>930</v>
      </c>
      <c r="L198" s="2">
        <v>1406.4</v>
      </c>
      <c r="M198" s="2">
        <v>1564.76</v>
      </c>
      <c r="N198" s="2">
        <v>0.185</v>
      </c>
      <c r="O198" s="2">
        <v>17</v>
      </c>
    </row>
    <row r="199" spans="1:15" x14ac:dyDescent="0.3">
      <c r="A199" s="2" t="s">
        <v>211</v>
      </c>
      <c r="B199" s="3">
        <v>45333</v>
      </c>
      <c r="C199" s="3">
        <v>45354</v>
      </c>
      <c r="D199" s="2" t="s">
        <v>646</v>
      </c>
      <c r="E199" s="2" t="s">
        <v>650</v>
      </c>
      <c r="F199" s="2" t="s">
        <v>662</v>
      </c>
      <c r="G199" s="2" t="s">
        <v>706</v>
      </c>
      <c r="H199" s="2" t="s">
        <v>708</v>
      </c>
      <c r="I199" s="2" t="s">
        <v>717</v>
      </c>
      <c r="J199" s="2" t="s">
        <v>730</v>
      </c>
      <c r="K199" s="2" t="s">
        <v>931</v>
      </c>
      <c r="L199" s="2">
        <v>516.86</v>
      </c>
      <c r="M199" s="2">
        <v>852.54</v>
      </c>
      <c r="N199" s="2">
        <v>5.0999999999999997E-2</v>
      </c>
      <c r="O199" s="2">
        <v>14</v>
      </c>
    </row>
    <row r="200" spans="1:15" x14ac:dyDescent="0.3">
      <c r="A200" s="2" t="s">
        <v>212</v>
      </c>
      <c r="B200" s="3">
        <v>44956</v>
      </c>
      <c r="C200" s="3">
        <v>44978</v>
      </c>
      <c r="D200" s="2" t="s">
        <v>649</v>
      </c>
      <c r="E200" s="2" t="s">
        <v>656</v>
      </c>
      <c r="F200" s="2" t="s">
        <v>684</v>
      </c>
      <c r="G200" s="2" t="s">
        <v>705</v>
      </c>
      <c r="H200" s="2" t="s">
        <v>709</v>
      </c>
      <c r="I200" s="2" t="s">
        <v>715</v>
      </c>
      <c r="J200" s="2" t="s">
        <v>729</v>
      </c>
      <c r="K200" s="2" t="s">
        <v>932</v>
      </c>
      <c r="L200" s="2">
        <v>1142.8800000000001</v>
      </c>
      <c r="M200" s="2">
        <v>1465.29</v>
      </c>
      <c r="N200" s="2">
        <v>0.186</v>
      </c>
      <c r="O200" s="2">
        <v>7</v>
      </c>
    </row>
    <row r="201" spans="1:15" x14ac:dyDescent="0.3">
      <c r="A201" s="2" t="s">
        <v>213</v>
      </c>
      <c r="B201" s="3">
        <v>45030</v>
      </c>
      <c r="C201" s="3">
        <v>45059</v>
      </c>
      <c r="D201" s="2" t="s">
        <v>649</v>
      </c>
      <c r="E201" s="2" t="s">
        <v>656</v>
      </c>
      <c r="F201" s="2" t="s">
        <v>698</v>
      </c>
      <c r="G201" s="2" t="s">
        <v>704</v>
      </c>
      <c r="H201" s="2" t="s">
        <v>711</v>
      </c>
      <c r="I201" s="2" t="s">
        <v>713</v>
      </c>
      <c r="J201" s="2" t="s">
        <v>728</v>
      </c>
      <c r="K201" s="2" t="s">
        <v>933</v>
      </c>
      <c r="L201" s="2">
        <v>1320.33</v>
      </c>
      <c r="M201" s="2">
        <v>2645.23</v>
      </c>
      <c r="N201" s="2">
        <v>0.155</v>
      </c>
      <c r="O201" s="2">
        <v>25</v>
      </c>
    </row>
    <row r="202" spans="1:15" x14ac:dyDescent="0.3">
      <c r="A202" s="2" t="s">
        <v>214</v>
      </c>
      <c r="B202" s="3">
        <v>44939</v>
      </c>
      <c r="C202" s="3">
        <v>44945</v>
      </c>
      <c r="D202" s="2" t="s">
        <v>648</v>
      </c>
      <c r="E202" s="2" t="s">
        <v>660</v>
      </c>
      <c r="F202" s="2" t="s">
        <v>677</v>
      </c>
      <c r="G202" s="2" t="s">
        <v>701</v>
      </c>
      <c r="H202" s="2" t="s">
        <v>711</v>
      </c>
      <c r="I202" s="2" t="s">
        <v>722</v>
      </c>
      <c r="J202" s="2" t="s">
        <v>730</v>
      </c>
      <c r="K202" s="2" t="s">
        <v>934</v>
      </c>
      <c r="L202" s="2">
        <v>833.57</v>
      </c>
      <c r="M202" s="2">
        <v>881.57</v>
      </c>
      <c r="N202" s="2">
        <v>5.7000000000000002E-2</v>
      </c>
      <c r="O202" s="2">
        <v>18</v>
      </c>
    </row>
    <row r="203" spans="1:15" x14ac:dyDescent="0.3">
      <c r="A203" s="2" t="s">
        <v>215</v>
      </c>
      <c r="B203" s="3">
        <v>45303</v>
      </c>
      <c r="C203" s="3">
        <v>45320</v>
      </c>
      <c r="D203" s="2" t="s">
        <v>648</v>
      </c>
      <c r="E203" s="2" t="s">
        <v>660</v>
      </c>
      <c r="F203" s="2" t="s">
        <v>677</v>
      </c>
      <c r="G203" s="2" t="s">
        <v>702</v>
      </c>
      <c r="H203" s="2" t="s">
        <v>710</v>
      </c>
      <c r="I203" s="2" t="s">
        <v>720</v>
      </c>
      <c r="J203" s="2" t="s">
        <v>728</v>
      </c>
      <c r="K203" s="2" t="s">
        <v>935</v>
      </c>
      <c r="L203" s="2">
        <v>493.76</v>
      </c>
      <c r="M203" s="2">
        <v>625.04</v>
      </c>
      <c r="N203" s="2">
        <v>0.25800000000000001</v>
      </c>
      <c r="O203" s="2">
        <v>10</v>
      </c>
    </row>
    <row r="204" spans="1:15" x14ac:dyDescent="0.3">
      <c r="A204" s="2" t="s">
        <v>216</v>
      </c>
      <c r="B204" s="3">
        <v>45153</v>
      </c>
      <c r="C204" s="3">
        <v>45176</v>
      </c>
      <c r="D204" s="2" t="s">
        <v>648</v>
      </c>
      <c r="E204" s="2" t="s">
        <v>660</v>
      </c>
      <c r="F204" s="2" t="s">
        <v>700</v>
      </c>
      <c r="G204" s="2" t="s">
        <v>706</v>
      </c>
      <c r="H204" s="2" t="s">
        <v>708</v>
      </c>
      <c r="I204" s="2" t="s">
        <v>723</v>
      </c>
      <c r="J204" s="2" t="s">
        <v>730</v>
      </c>
      <c r="K204" s="2" t="s">
        <v>936</v>
      </c>
      <c r="L204" s="2">
        <v>590.33000000000004</v>
      </c>
      <c r="M204" s="2">
        <v>973.04</v>
      </c>
      <c r="N204" s="2">
        <v>0</v>
      </c>
      <c r="O204" s="2">
        <v>26</v>
      </c>
    </row>
    <row r="205" spans="1:15" x14ac:dyDescent="0.3">
      <c r="A205" s="2" t="s">
        <v>217</v>
      </c>
      <c r="B205" s="3">
        <v>44946</v>
      </c>
      <c r="C205" s="3">
        <v>44960</v>
      </c>
      <c r="D205" s="2" t="s">
        <v>646</v>
      </c>
      <c r="E205" s="2" t="s">
        <v>650</v>
      </c>
      <c r="F205" s="2" t="s">
        <v>662</v>
      </c>
      <c r="G205" s="2" t="s">
        <v>701</v>
      </c>
      <c r="H205" s="2" t="s">
        <v>707</v>
      </c>
      <c r="I205" s="2" t="s">
        <v>724</v>
      </c>
      <c r="J205" s="2" t="s">
        <v>729</v>
      </c>
      <c r="K205" s="2" t="s">
        <v>937</v>
      </c>
      <c r="L205" s="2">
        <v>884.36</v>
      </c>
      <c r="M205" s="2">
        <v>1545.34</v>
      </c>
      <c r="N205" s="2">
        <v>0.24299999999999999</v>
      </c>
      <c r="O205" s="2">
        <v>41</v>
      </c>
    </row>
    <row r="206" spans="1:15" x14ac:dyDescent="0.3">
      <c r="A206" s="2" t="s">
        <v>218</v>
      </c>
      <c r="B206" s="3">
        <v>45692</v>
      </c>
      <c r="C206" s="3">
        <v>45713</v>
      </c>
      <c r="D206" s="2" t="s">
        <v>649</v>
      </c>
      <c r="E206" s="2" t="s">
        <v>658</v>
      </c>
      <c r="F206" s="2" t="s">
        <v>674</v>
      </c>
      <c r="G206" s="2" t="s">
        <v>701</v>
      </c>
      <c r="H206" s="2" t="s">
        <v>709</v>
      </c>
      <c r="I206" s="2" t="s">
        <v>726</v>
      </c>
      <c r="J206" s="2" t="s">
        <v>732</v>
      </c>
      <c r="K206" s="2" t="s">
        <v>938</v>
      </c>
      <c r="L206" s="2">
        <v>1016.32</v>
      </c>
      <c r="M206" s="2">
        <v>2253.42</v>
      </c>
      <c r="N206" s="2">
        <v>5.5E-2</v>
      </c>
      <c r="O206" s="2">
        <v>12</v>
      </c>
    </row>
    <row r="207" spans="1:15" x14ac:dyDescent="0.3">
      <c r="A207" s="2" t="s">
        <v>219</v>
      </c>
      <c r="B207" s="3">
        <v>45035</v>
      </c>
      <c r="C207" s="3">
        <v>45044</v>
      </c>
      <c r="D207" s="2" t="s">
        <v>649</v>
      </c>
      <c r="E207" s="2" t="s">
        <v>656</v>
      </c>
      <c r="F207" s="2" t="s">
        <v>671</v>
      </c>
      <c r="G207" s="2" t="s">
        <v>702</v>
      </c>
      <c r="H207" s="2" t="s">
        <v>708</v>
      </c>
      <c r="I207" s="2" t="s">
        <v>718</v>
      </c>
      <c r="J207" s="2" t="s">
        <v>732</v>
      </c>
      <c r="K207" s="2" t="s">
        <v>939</v>
      </c>
      <c r="L207" s="2">
        <v>1178.42</v>
      </c>
      <c r="M207" s="2">
        <v>2446.56</v>
      </c>
      <c r="N207" s="2">
        <v>2.9000000000000001E-2</v>
      </c>
      <c r="O207" s="2">
        <v>11</v>
      </c>
    </row>
    <row r="208" spans="1:15" x14ac:dyDescent="0.3">
      <c r="A208" s="2" t="s">
        <v>220</v>
      </c>
      <c r="B208" s="3">
        <v>45109</v>
      </c>
      <c r="C208" s="3">
        <v>45139</v>
      </c>
      <c r="D208" s="2" t="s">
        <v>649</v>
      </c>
      <c r="E208" s="2" t="s">
        <v>658</v>
      </c>
      <c r="F208" s="2" t="s">
        <v>674</v>
      </c>
      <c r="G208" s="2" t="s">
        <v>705</v>
      </c>
      <c r="H208" s="2" t="s">
        <v>707</v>
      </c>
      <c r="I208" s="2" t="s">
        <v>717</v>
      </c>
      <c r="J208" s="2" t="s">
        <v>727</v>
      </c>
      <c r="K208" s="2" t="s">
        <v>940</v>
      </c>
      <c r="L208" s="2">
        <v>137.46</v>
      </c>
      <c r="M208" s="2">
        <v>188.3</v>
      </c>
      <c r="N208" s="2">
        <v>3.7999999999999999E-2</v>
      </c>
      <c r="O208" s="2">
        <v>37</v>
      </c>
    </row>
    <row r="209" spans="1:15" x14ac:dyDescent="0.3">
      <c r="A209" s="2" t="s">
        <v>221</v>
      </c>
      <c r="B209" s="3">
        <v>45678</v>
      </c>
      <c r="C209" s="3">
        <v>45702</v>
      </c>
      <c r="D209" s="2" t="s">
        <v>646</v>
      </c>
      <c r="E209" s="2" t="s">
        <v>650</v>
      </c>
      <c r="F209" s="2" t="s">
        <v>664</v>
      </c>
      <c r="G209" s="2" t="s">
        <v>705</v>
      </c>
      <c r="H209" s="2" t="s">
        <v>707</v>
      </c>
      <c r="I209" s="2" t="s">
        <v>713</v>
      </c>
      <c r="J209" s="2" t="s">
        <v>733</v>
      </c>
      <c r="K209" s="2" t="s">
        <v>941</v>
      </c>
      <c r="L209" s="2">
        <v>1030.44</v>
      </c>
      <c r="M209" s="2">
        <v>2562.84</v>
      </c>
      <c r="N209" s="2">
        <v>0.14799999999999999</v>
      </c>
      <c r="O209" s="2">
        <v>13</v>
      </c>
    </row>
    <row r="210" spans="1:15" x14ac:dyDescent="0.3">
      <c r="A210" s="2" t="s">
        <v>222</v>
      </c>
      <c r="B210" s="3">
        <v>45545</v>
      </c>
      <c r="C210" s="3">
        <v>45572</v>
      </c>
      <c r="D210" s="2" t="s">
        <v>646</v>
      </c>
      <c r="E210" s="2" t="s">
        <v>650</v>
      </c>
      <c r="F210" s="2" t="s">
        <v>662</v>
      </c>
      <c r="G210" s="2" t="s">
        <v>704</v>
      </c>
      <c r="H210" s="2" t="s">
        <v>707</v>
      </c>
      <c r="I210" s="2" t="s">
        <v>716</v>
      </c>
      <c r="J210" s="2" t="s">
        <v>728</v>
      </c>
      <c r="K210" s="2" t="s">
        <v>942</v>
      </c>
      <c r="L210" s="2">
        <v>1248.3900000000001</v>
      </c>
      <c r="M210" s="2">
        <v>1805.11</v>
      </c>
      <c r="N210" s="2">
        <v>0.20300000000000001</v>
      </c>
      <c r="O210" s="2">
        <v>11</v>
      </c>
    </row>
    <row r="211" spans="1:15" x14ac:dyDescent="0.3">
      <c r="A211" s="2" t="s">
        <v>223</v>
      </c>
      <c r="B211" s="3">
        <v>45859</v>
      </c>
      <c r="C211" s="3">
        <v>45876</v>
      </c>
      <c r="D211" s="2" t="s">
        <v>646</v>
      </c>
      <c r="E211" s="2" t="s">
        <v>651</v>
      </c>
      <c r="F211" s="2" t="s">
        <v>665</v>
      </c>
      <c r="G211" s="2" t="s">
        <v>706</v>
      </c>
      <c r="H211" s="2" t="s">
        <v>711</v>
      </c>
      <c r="I211" s="2" t="s">
        <v>724</v>
      </c>
      <c r="J211" s="2" t="s">
        <v>733</v>
      </c>
      <c r="K211" s="2" t="s">
        <v>943</v>
      </c>
      <c r="L211" s="2">
        <v>1204.95</v>
      </c>
      <c r="M211" s="2">
        <v>2065.73</v>
      </c>
      <c r="N211" s="2">
        <v>0.13600000000000001</v>
      </c>
      <c r="O211" s="2">
        <v>10</v>
      </c>
    </row>
    <row r="212" spans="1:15" x14ac:dyDescent="0.3">
      <c r="A212" s="2" t="s">
        <v>224</v>
      </c>
      <c r="B212" s="3">
        <v>45567</v>
      </c>
      <c r="C212" s="3">
        <v>45588</v>
      </c>
      <c r="D212" s="2" t="s">
        <v>646</v>
      </c>
      <c r="E212" s="2" t="s">
        <v>661</v>
      </c>
      <c r="F212" s="2" t="s">
        <v>687</v>
      </c>
      <c r="G212" s="2" t="s">
        <v>701</v>
      </c>
      <c r="H212" s="2" t="s">
        <v>709</v>
      </c>
      <c r="I212" s="2" t="s">
        <v>720</v>
      </c>
      <c r="J212" s="2" t="s">
        <v>727</v>
      </c>
      <c r="K212" s="2" t="s">
        <v>944</v>
      </c>
      <c r="L212" s="2">
        <v>1095.6099999999999</v>
      </c>
      <c r="M212" s="2">
        <v>2366.5100000000002</v>
      </c>
      <c r="N212" s="2">
        <v>0.152</v>
      </c>
      <c r="O212" s="2">
        <v>9</v>
      </c>
    </row>
    <row r="213" spans="1:15" x14ac:dyDescent="0.3">
      <c r="A213" s="2" t="s">
        <v>225</v>
      </c>
      <c r="B213" s="3">
        <v>45852</v>
      </c>
      <c r="C213" s="3">
        <v>45873</v>
      </c>
      <c r="D213" s="2" t="s">
        <v>648</v>
      </c>
      <c r="E213" s="2" t="s">
        <v>653</v>
      </c>
      <c r="F213" s="2" t="s">
        <v>681</v>
      </c>
      <c r="G213" s="2" t="s">
        <v>704</v>
      </c>
      <c r="H213" s="2" t="s">
        <v>708</v>
      </c>
      <c r="I213" s="2" t="s">
        <v>722</v>
      </c>
      <c r="J213" s="2" t="s">
        <v>732</v>
      </c>
      <c r="K213" s="2" t="s">
        <v>945</v>
      </c>
      <c r="L213" s="2">
        <v>90.3</v>
      </c>
      <c r="M213" s="2">
        <v>131.76</v>
      </c>
      <c r="N213" s="2">
        <v>0.10199999999999999</v>
      </c>
      <c r="O213" s="2">
        <v>15</v>
      </c>
    </row>
    <row r="214" spans="1:15" x14ac:dyDescent="0.3">
      <c r="A214" s="2" t="s">
        <v>226</v>
      </c>
      <c r="B214" s="3">
        <v>45544</v>
      </c>
      <c r="C214" s="3">
        <v>45566</v>
      </c>
      <c r="D214" s="2" t="s">
        <v>647</v>
      </c>
      <c r="E214" s="2" t="s">
        <v>659</v>
      </c>
      <c r="F214" s="2" t="s">
        <v>676</v>
      </c>
      <c r="G214" s="2" t="s">
        <v>704</v>
      </c>
      <c r="H214" s="2" t="s">
        <v>711</v>
      </c>
      <c r="I214" s="2" t="s">
        <v>716</v>
      </c>
      <c r="J214" s="2" t="s">
        <v>728</v>
      </c>
      <c r="K214" s="2" t="s">
        <v>946</v>
      </c>
      <c r="L214" s="2">
        <v>1166.18</v>
      </c>
      <c r="M214" s="2">
        <v>1335.02</v>
      </c>
      <c r="N214" s="2">
        <v>0.128</v>
      </c>
      <c r="O214" s="2">
        <v>6</v>
      </c>
    </row>
    <row r="215" spans="1:15" x14ac:dyDescent="0.3">
      <c r="A215" s="2" t="s">
        <v>227</v>
      </c>
      <c r="B215" s="3">
        <v>45686</v>
      </c>
      <c r="C215" s="3">
        <v>45694</v>
      </c>
      <c r="D215" s="2" t="s">
        <v>646</v>
      </c>
      <c r="E215" s="2" t="s">
        <v>650</v>
      </c>
      <c r="F215" s="2" t="s">
        <v>662</v>
      </c>
      <c r="G215" s="2" t="s">
        <v>702</v>
      </c>
      <c r="H215" s="2" t="s">
        <v>707</v>
      </c>
      <c r="I215" s="2" t="s">
        <v>717</v>
      </c>
      <c r="J215" s="2" t="s">
        <v>730</v>
      </c>
      <c r="K215" s="2" t="s">
        <v>947</v>
      </c>
      <c r="L215" s="2">
        <v>1445.27</v>
      </c>
      <c r="M215" s="2">
        <v>2691.45</v>
      </c>
      <c r="N215" s="2">
        <v>0</v>
      </c>
      <c r="O215" s="2">
        <v>9</v>
      </c>
    </row>
    <row r="216" spans="1:15" x14ac:dyDescent="0.3">
      <c r="A216" s="2" t="s">
        <v>228</v>
      </c>
      <c r="B216" s="3">
        <v>45240</v>
      </c>
      <c r="C216" s="3">
        <v>45258</v>
      </c>
      <c r="D216" s="2" t="s">
        <v>648</v>
      </c>
      <c r="E216" s="2" t="s">
        <v>655</v>
      </c>
      <c r="F216" s="2" t="s">
        <v>672</v>
      </c>
      <c r="G216" s="2" t="s">
        <v>702</v>
      </c>
      <c r="H216" s="2" t="s">
        <v>709</v>
      </c>
      <c r="I216" s="2" t="s">
        <v>716</v>
      </c>
      <c r="J216" s="2" t="s">
        <v>733</v>
      </c>
      <c r="K216" s="2" t="s">
        <v>948</v>
      </c>
      <c r="L216" s="2">
        <v>388.51</v>
      </c>
      <c r="M216" s="2">
        <v>776.46</v>
      </c>
      <c r="N216" s="2">
        <v>0.157</v>
      </c>
      <c r="O216" s="2">
        <v>12</v>
      </c>
    </row>
    <row r="217" spans="1:15" x14ac:dyDescent="0.3">
      <c r="A217" s="2" t="s">
        <v>229</v>
      </c>
      <c r="B217" s="3">
        <v>45351</v>
      </c>
      <c r="C217" s="3">
        <v>45381</v>
      </c>
      <c r="D217" s="2" t="s">
        <v>647</v>
      </c>
      <c r="E217" s="2" t="s">
        <v>652</v>
      </c>
      <c r="F217" s="2" t="s">
        <v>694</v>
      </c>
      <c r="G217" s="2" t="s">
        <v>705</v>
      </c>
      <c r="H217" s="2" t="s">
        <v>711</v>
      </c>
      <c r="I217" s="2" t="s">
        <v>714</v>
      </c>
      <c r="J217" s="2" t="s">
        <v>729</v>
      </c>
      <c r="K217" s="2" t="s">
        <v>949</v>
      </c>
      <c r="L217" s="2">
        <v>231.11</v>
      </c>
      <c r="M217" s="2">
        <v>318.17</v>
      </c>
      <c r="N217" s="2">
        <v>0.20100000000000001</v>
      </c>
      <c r="O217" s="2">
        <v>60</v>
      </c>
    </row>
    <row r="218" spans="1:15" x14ac:dyDescent="0.3">
      <c r="A218" s="2" t="s">
        <v>230</v>
      </c>
      <c r="B218" s="3">
        <v>45280</v>
      </c>
      <c r="C218" s="3">
        <v>45305</v>
      </c>
      <c r="D218" s="2" t="s">
        <v>647</v>
      </c>
      <c r="E218" s="2" t="s">
        <v>654</v>
      </c>
      <c r="F218" s="2" t="s">
        <v>691</v>
      </c>
      <c r="G218" s="2" t="s">
        <v>703</v>
      </c>
      <c r="H218" s="2" t="s">
        <v>709</v>
      </c>
      <c r="I218" s="2" t="s">
        <v>716</v>
      </c>
      <c r="J218" s="2" t="s">
        <v>732</v>
      </c>
      <c r="K218" s="2" t="s">
        <v>950</v>
      </c>
      <c r="L218" s="2">
        <v>1085.6099999999999</v>
      </c>
      <c r="M218" s="2">
        <v>1246.4100000000001</v>
      </c>
      <c r="N218" s="2">
        <v>0.113</v>
      </c>
      <c r="O218" s="2">
        <v>7</v>
      </c>
    </row>
    <row r="219" spans="1:15" x14ac:dyDescent="0.3">
      <c r="A219" s="2" t="s">
        <v>231</v>
      </c>
      <c r="B219" s="3">
        <v>44948</v>
      </c>
      <c r="C219" s="3">
        <v>44947</v>
      </c>
      <c r="D219" s="2" t="s">
        <v>649</v>
      </c>
      <c r="E219" s="2" t="s">
        <v>656</v>
      </c>
      <c r="F219" s="2" t="s">
        <v>684</v>
      </c>
      <c r="G219" s="2" t="s">
        <v>701</v>
      </c>
      <c r="H219" s="2" t="s">
        <v>711</v>
      </c>
      <c r="I219" s="2" t="s">
        <v>721</v>
      </c>
      <c r="J219" s="2" t="s">
        <v>732</v>
      </c>
      <c r="K219" s="2" t="s">
        <v>951</v>
      </c>
      <c r="L219" s="2">
        <v>150.86000000000001</v>
      </c>
      <c r="M219" s="2">
        <v>346.96</v>
      </c>
      <c r="N219" s="2">
        <v>0.19600000000000001</v>
      </c>
      <c r="O219" s="2">
        <v>8</v>
      </c>
    </row>
    <row r="220" spans="1:15" x14ac:dyDescent="0.3">
      <c r="A220" s="2" t="s">
        <v>232</v>
      </c>
      <c r="B220" s="3">
        <v>45576</v>
      </c>
      <c r="C220" s="3">
        <v>45605</v>
      </c>
      <c r="D220" s="2" t="s">
        <v>647</v>
      </c>
      <c r="E220" s="2" t="s">
        <v>659</v>
      </c>
      <c r="F220" s="2" t="s">
        <v>685</v>
      </c>
      <c r="G220" s="2" t="s">
        <v>703</v>
      </c>
      <c r="H220" s="2" t="s">
        <v>708</v>
      </c>
      <c r="I220" s="2" t="s">
        <v>721</v>
      </c>
      <c r="J220" s="2" t="s">
        <v>728</v>
      </c>
      <c r="K220" s="2" t="s">
        <v>952</v>
      </c>
      <c r="L220" s="2">
        <v>391.64</v>
      </c>
      <c r="M220" s="2">
        <v>504.76</v>
      </c>
      <c r="N220" s="2">
        <v>4.0000000000000001E-3</v>
      </c>
      <c r="O220" s="2">
        <v>13</v>
      </c>
    </row>
    <row r="221" spans="1:15" x14ac:dyDescent="0.3">
      <c r="A221" s="2" t="s">
        <v>233</v>
      </c>
      <c r="B221" s="3">
        <v>45554</v>
      </c>
      <c r="C221" s="3">
        <v>45579</v>
      </c>
      <c r="D221" s="2" t="s">
        <v>648</v>
      </c>
      <c r="E221" s="2" t="s">
        <v>655</v>
      </c>
      <c r="F221" s="2" t="s">
        <v>692</v>
      </c>
      <c r="G221" s="2" t="s">
        <v>705</v>
      </c>
      <c r="H221" s="2" t="s">
        <v>707</v>
      </c>
      <c r="I221" s="2" t="s">
        <v>723</v>
      </c>
      <c r="J221" s="2" t="s">
        <v>728</v>
      </c>
      <c r="K221" s="2" t="s">
        <v>953</v>
      </c>
      <c r="L221" s="2">
        <v>386.96</v>
      </c>
      <c r="M221" s="2">
        <v>937.46</v>
      </c>
      <c r="N221" s="2">
        <v>0.26600000000000001</v>
      </c>
      <c r="O221" s="2">
        <v>41</v>
      </c>
    </row>
    <row r="222" spans="1:15" x14ac:dyDescent="0.3">
      <c r="A222" s="2" t="s">
        <v>234</v>
      </c>
      <c r="B222" s="3">
        <v>45894</v>
      </c>
      <c r="C222" s="3">
        <v>45924</v>
      </c>
      <c r="D222" s="2" t="s">
        <v>646</v>
      </c>
      <c r="E222" s="2" t="s">
        <v>650</v>
      </c>
      <c r="F222" s="2" t="s">
        <v>664</v>
      </c>
      <c r="G222" s="2" t="s">
        <v>704</v>
      </c>
      <c r="H222" s="2" t="s">
        <v>711</v>
      </c>
      <c r="I222" s="2" t="s">
        <v>717</v>
      </c>
      <c r="J222" s="2" t="s">
        <v>727</v>
      </c>
      <c r="K222" s="2" t="s">
        <v>954</v>
      </c>
      <c r="L222" s="2">
        <v>589.14</v>
      </c>
      <c r="M222" s="2">
        <v>1300.58</v>
      </c>
      <c r="N222" s="2">
        <v>5.5E-2</v>
      </c>
      <c r="O222" s="2">
        <v>11</v>
      </c>
    </row>
    <row r="223" spans="1:15" x14ac:dyDescent="0.3">
      <c r="A223" s="2" t="s">
        <v>235</v>
      </c>
      <c r="B223" s="3">
        <v>45194</v>
      </c>
      <c r="C223" s="3">
        <v>45201</v>
      </c>
      <c r="D223" s="2" t="s">
        <v>648</v>
      </c>
      <c r="E223" s="2" t="s">
        <v>660</v>
      </c>
      <c r="F223" s="2" t="s">
        <v>700</v>
      </c>
      <c r="G223" s="2" t="s">
        <v>702</v>
      </c>
      <c r="H223" s="2" t="s">
        <v>709</v>
      </c>
      <c r="I223" s="2" t="s">
        <v>714</v>
      </c>
      <c r="J223" s="2" t="s">
        <v>733</v>
      </c>
      <c r="K223" s="2" t="s">
        <v>955</v>
      </c>
      <c r="L223" s="2">
        <v>145.58000000000001</v>
      </c>
      <c r="M223" s="2">
        <v>228.15</v>
      </c>
      <c r="N223" s="2">
        <v>0.20399999999999999</v>
      </c>
      <c r="O223" s="2">
        <v>5</v>
      </c>
    </row>
    <row r="224" spans="1:15" x14ac:dyDescent="0.3">
      <c r="A224" s="2" t="s">
        <v>236</v>
      </c>
      <c r="B224" s="3">
        <v>45164</v>
      </c>
      <c r="C224" s="3">
        <v>45179</v>
      </c>
      <c r="D224" s="2" t="s">
        <v>646</v>
      </c>
      <c r="E224" s="2" t="s">
        <v>661</v>
      </c>
      <c r="F224" s="2" t="s">
        <v>695</v>
      </c>
      <c r="G224" s="2" t="s">
        <v>703</v>
      </c>
      <c r="H224" s="2" t="s">
        <v>711</v>
      </c>
      <c r="I224" s="2" t="s">
        <v>725</v>
      </c>
      <c r="J224" s="2" t="s">
        <v>727</v>
      </c>
      <c r="K224" s="2" t="s">
        <v>956</v>
      </c>
      <c r="L224" s="2">
        <v>241.14</v>
      </c>
      <c r="M224" s="2">
        <v>496.52</v>
      </c>
      <c r="N224" s="2">
        <v>9.2999999999999999E-2</v>
      </c>
      <c r="O224" s="2">
        <v>10</v>
      </c>
    </row>
    <row r="225" spans="1:15" x14ac:dyDescent="0.3">
      <c r="A225" s="2" t="s">
        <v>237</v>
      </c>
      <c r="B225" s="3">
        <v>45854</v>
      </c>
      <c r="C225" s="3">
        <v>45855</v>
      </c>
      <c r="D225" s="2" t="s">
        <v>646</v>
      </c>
      <c r="E225" s="2" t="s">
        <v>661</v>
      </c>
      <c r="F225" s="2" t="s">
        <v>687</v>
      </c>
      <c r="G225" s="2" t="s">
        <v>705</v>
      </c>
      <c r="H225" s="2" t="s">
        <v>710</v>
      </c>
      <c r="I225" s="2" t="s">
        <v>717</v>
      </c>
      <c r="J225" s="2" t="s">
        <v>729</v>
      </c>
      <c r="K225" s="2" t="s">
        <v>957</v>
      </c>
      <c r="L225" s="2">
        <v>1198.9000000000001</v>
      </c>
      <c r="M225" s="2">
        <v>2941.2</v>
      </c>
      <c r="N225" s="2">
        <v>5.0999999999999997E-2</v>
      </c>
      <c r="O225" s="2">
        <v>24</v>
      </c>
    </row>
    <row r="226" spans="1:15" x14ac:dyDescent="0.3">
      <c r="A226" s="2" t="s">
        <v>238</v>
      </c>
      <c r="B226" s="3">
        <v>45035</v>
      </c>
      <c r="C226" s="3">
        <v>45053</v>
      </c>
      <c r="D226" s="2" t="s">
        <v>649</v>
      </c>
      <c r="E226" s="2" t="s">
        <v>658</v>
      </c>
      <c r="F226" s="2" t="s">
        <v>674</v>
      </c>
      <c r="G226" s="2" t="s">
        <v>706</v>
      </c>
      <c r="H226" s="2" t="s">
        <v>707</v>
      </c>
      <c r="I226" s="2" t="s">
        <v>725</v>
      </c>
      <c r="J226" s="2" t="s">
        <v>731</v>
      </c>
      <c r="K226" s="2" t="s">
        <v>958</v>
      </c>
      <c r="L226" s="2">
        <v>1089.1500000000001</v>
      </c>
      <c r="M226" s="2">
        <v>1088.2</v>
      </c>
      <c r="N226" s="2">
        <v>5.0999999999999997E-2</v>
      </c>
      <c r="O226" s="2">
        <v>15</v>
      </c>
    </row>
    <row r="227" spans="1:15" x14ac:dyDescent="0.3">
      <c r="A227" s="2" t="s">
        <v>239</v>
      </c>
      <c r="B227" s="3">
        <v>45279</v>
      </c>
      <c r="C227" s="3">
        <v>45280</v>
      </c>
      <c r="D227" s="2" t="s">
        <v>648</v>
      </c>
      <c r="E227" s="2" t="s">
        <v>655</v>
      </c>
      <c r="F227" s="2" t="s">
        <v>692</v>
      </c>
      <c r="G227" s="2" t="s">
        <v>704</v>
      </c>
      <c r="H227" s="2" t="s">
        <v>710</v>
      </c>
      <c r="I227" s="2" t="s">
        <v>713</v>
      </c>
      <c r="J227" s="2" t="s">
        <v>730</v>
      </c>
      <c r="K227" s="2" t="s">
        <v>959</v>
      </c>
      <c r="L227" s="2">
        <v>1080.43</v>
      </c>
      <c r="M227" s="2">
        <v>2529.15</v>
      </c>
      <c r="N227" s="2">
        <v>0.14699999999999999</v>
      </c>
      <c r="O227" s="2">
        <v>10</v>
      </c>
    </row>
    <row r="228" spans="1:15" x14ac:dyDescent="0.3">
      <c r="A228" s="2" t="s">
        <v>240</v>
      </c>
      <c r="B228" s="3">
        <v>45137</v>
      </c>
      <c r="C228" s="3">
        <v>45145</v>
      </c>
      <c r="D228" s="2" t="s">
        <v>647</v>
      </c>
      <c r="E228" s="2" t="s">
        <v>652</v>
      </c>
      <c r="F228" s="2" t="s">
        <v>694</v>
      </c>
      <c r="G228" s="2" t="s">
        <v>702</v>
      </c>
      <c r="H228" s="2" t="s">
        <v>709</v>
      </c>
      <c r="I228" s="2" t="s">
        <v>720</v>
      </c>
      <c r="J228" s="2" t="s">
        <v>729</v>
      </c>
      <c r="K228" s="2" t="s">
        <v>960</v>
      </c>
      <c r="L228" s="2">
        <v>1352.44</v>
      </c>
      <c r="M228" s="2">
        <v>2698.01</v>
      </c>
      <c r="N228" s="2">
        <v>0.13100000000000001</v>
      </c>
      <c r="O228" s="2">
        <v>13</v>
      </c>
    </row>
    <row r="229" spans="1:15" x14ac:dyDescent="0.3">
      <c r="A229" s="2" t="s">
        <v>241</v>
      </c>
      <c r="B229" s="3">
        <v>45203</v>
      </c>
      <c r="C229" s="3">
        <v>45228</v>
      </c>
      <c r="D229" s="2" t="s">
        <v>648</v>
      </c>
      <c r="E229" s="2" t="s">
        <v>660</v>
      </c>
      <c r="F229" s="2" t="s">
        <v>686</v>
      </c>
      <c r="G229" s="2" t="s">
        <v>705</v>
      </c>
      <c r="H229" s="2" t="s">
        <v>710</v>
      </c>
      <c r="I229" s="2" t="s">
        <v>719</v>
      </c>
      <c r="J229" s="2" t="s">
        <v>733</v>
      </c>
      <c r="K229" s="2" t="s">
        <v>961</v>
      </c>
      <c r="L229" s="2">
        <v>1239.8399999999999</v>
      </c>
      <c r="M229" s="2">
        <v>1482.75</v>
      </c>
      <c r="N229" s="2">
        <v>6.7000000000000004E-2</v>
      </c>
      <c r="O229" s="2">
        <v>4</v>
      </c>
    </row>
    <row r="230" spans="1:15" x14ac:dyDescent="0.3">
      <c r="A230" s="2" t="s">
        <v>242</v>
      </c>
      <c r="B230" s="3">
        <v>45879</v>
      </c>
      <c r="C230" s="3">
        <v>45899</v>
      </c>
      <c r="D230" s="2" t="s">
        <v>648</v>
      </c>
      <c r="E230" s="2" t="s">
        <v>660</v>
      </c>
      <c r="F230" s="2" t="s">
        <v>686</v>
      </c>
      <c r="G230" s="2" t="s">
        <v>701</v>
      </c>
      <c r="H230" s="2" t="s">
        <v>709</v>
      </c>
      <c r="I230" s="2" t="s">
        <v>723</v>
      </c>
      <c r="J230" s="2" t="s">
        <v>728</v>
      </c>
      <c r="K230" s="2" t="s">
        <v>962</v>
      </c>
      <c r="L230" s="2">
        <v>933.29</v>
      </c>
      <c r="M230" s="2">
        <v>1456.81</v>
      </c>
      <c r="N230" s="2">
        <v>0.123</v>
      </c>
      <c r="O230" s="2">
        <v>13</v>
      </c>
    </row>
    <row r="231" spans="1:15" x14ac:dyDescent="0.3">
      <c r="A231" s="2" t="s">
        <v>243</v>
      </c>
      <c r="B231" s="3">
        <v>44992</v>
      </c>
      <c r="C231" s="3">
        <v>45017</v>
      </c>
      <c r="D231" s="2" t="s">
        <v>646</v>
      </c>
      <c r="E231" s="2" t="s">
        <v>650</v>
      </c>
      <c r="F231" s="2" t="s">
        <v>664</v>
      </c>
      <c r="G231" s="2" t="s">
        <v>704</v>
      </c>
      <c r="H231" s="2" t="s">
        <v>709</v>
      </c>
      <c r="I231" s="2" t="s">
        <v>726</v>
      </c>
      <c r="J231" s="2" t="s">
        <v>728</v>
      </c>
      <c r="K231" s="2" t="s">
        <v>963</v>
      </c>
      <c r="L231" s="2">
        <v>1024.0999999999999</v>
      </c>
      <c r="M231" s="2">
        <v>918.19</v>
      </c>
      <c r="N231" s="2">
        <v>0.189</v>
      </c>
      <c r="O231" s="2">
        <v>10</v>
      </c>
    </row>
    <row r="232" spans="1:15" x14ac:dyDescent="0.3">
      <c r="A232" s="2" t="s">
        <v>244</v>
      </c>
      <c r="B232" s="3">
        <v>45069</v>
      </c>
      <c r="C232" s="3">
        <v>45087</v>
      </c>
      <c r="D232" s="2" t="s">
        <v>647</v>
      </c>
      <c r="E232" s="2" t="s">
        <v>659</v>
      </c>
      <c r="F232" s="2" t="s">
        <v>685</v>
      </c>
      <c r="G232" s="2" t="s">
        <v>701</v>
      </c>
      <c r="H232" s="2" t="s">
        <v>710</v>
      </c>
      <c r="I232" s="2" t="s">
        <v>718</v>
      </c>
      <c r="J232" s="2" t="s">
        <v>727</v>
      </c>
      <c r="K232" s="2" t="s">
        <v>964</v>
      </c>
      <c r="L232" s="2">
        <v>54.62</v>
      </c>
      <c r="M232" s="2">
        <v>48.94</v>
      </c>
      <c r="N232" s="2">
        <v>0.14799999999999999</v>
      </c>
      <c r="O232" s="2">
        <v>16</v>
      </c>
    </row>
    <row r="233" spans="1:15" x14ac:dyDescent="0.3">
      <c r="A233" s="2" t="s">
        <v>245</v>
      </c>
      <c r="B233" s="3">
        <v>45771</v>
      </c>
      <c r="C233" s="3">
        <v>45783</v>
      </c>
      <c r="D233" s="2" t="s">
        <v>648</v>
      </c>
      <c r="E233" s="2" t="s">
        <v>655</v>
      </c>
      <c r="F233" s="2" t="s">
        <v>672</v>
      </c>
      <c r="G233" s="2" t="s">
        <v>704</v>
      </c>
      <c r="H233" s="2" t="s">
        <v>708</v>
      </c>
      <c r="I233" s="2" t="s">
        <v>712</v>
      </c>
      <c r="J233" s="2" t="s">
        <v>730</v>
      </c>
      <c r="K233" s="2" t="s">
        <v>965</v>
      </c>
      <c r="L233" s="2">
        <v>394.13</v>
      </c>
      <c r="M233" s="2">
        <v>932.29</v>
      </c>
      <c r="N233" s="2">
        <v>0.109</v>
      </c>
      <c r="O233" s="2">
        <v>7</v>
      </c>
    </row>
    <row r="234" spans="1:15" x14ac:dyDescent="0.3">
      <c r="A234" s="2" t="s">
        <v>246</v>
      </c>
      <c r="B234" s="3">
        <v>45538</v>
      </c>
      <c r="C234" s="3">
        <v>45543</v>
      </c>
      <c r="D234" s="2" t="s">
        <v>646</v>
      </c>
      <c r="E234" s="2" t="s">
        <v>651</v>
      </c>
      <c r="F234" s="2" t="s">
        <v>665</v>
      </c>
      <c r="G234" s="2" t="s">
        <v>705</v>
      </c>
      <c r="H234" s="2" t="s">
        <v>711</v>
      </c>
      <c r="I234" s="2" t="s">
        <v>723</v>
      </c>
      <c r="J234" s="2" t="s">
        <v>728</v>
      </c>
      <c r="K234" s="2" t="s">
        <v>966</v>
      </c>
      <c r="L234" s="2">
        <v>197.63</v>
      </c>
      <c r="M234" s="2">
        <v>325.79000000000002</v>
      </c>
      <c r="N234" s="2">
        <v>0.11600000000000001</v>
      </c>
      <c r="O234" s="2">
        <v>10</v>
      </c>
    </row>
    <row r="235" spans="1:15" x14ac:dyDescent="0.3">
      <c r="A235" s="2" t="s">
        <v>247</v>
      </c>
      <c r="B235" s="3">
        <v>45540</v>
      </c>
      <c r="C235" s="3">
        <v>45560</v>
      </c>
      <c r="D235" s="2" t="s">
        <v>647</v>
      </c>
      <c r="E235" s="2" t="s">
        <v>652</v>
      </c>
      <c r="F235" s="2" t="s">
        <v>666</v>
      </c>
      <c r="G235" s="2" t="s">
        <v>706</v>
      </c>
      <c r="H235" s="2" t="s">
        <v>710</v>
      </c>
      <c r="I235" s="2" t="s">
        <v>726</v>
      </c>
      <c r="J235" s="2" t="s">
        <v>732</v>
      </c>
      <c r="K235" s="2" t="s">
        <v>967</v>
      </c>
      <c r="L235" s="2">
        <v>195.54</v>
      </c>
      <c r="M235" s="2">
        <v>405.97</v>
      </c>
      <c r="N235" s="2">
        <v>0.187</v>
      </c>
      <c r="O235" s="2">
        <v>16</v>
      </c>
    </row>
    <row r="236" spans="1:15" x14ac:dyDescent="0.3">
      <c r="A236" s="2" t="s">
        <v>248</v>
      </c>
      <c r="B236" s="3">
        <v>44999</v>
      </c>
      <c r="C236" s="3">
        <v>45015</v>
      </c>
      <c r="D236" s="2" t="s">
        <v>646</v>
      </c>
      <c r="E236" s="2" t="s">
        <v>661</v>
      </c>
      <c r="F236" s="2" t="s">
        <v>695</v>
      </c>
      <c r="G236" s="2" t="s">
        <v>704</v>
      </c>
      <c r="H236" s="2" t="s">
        <v>710</v>
      </c>
      <c r="I236" s="2" t="s">
        <v>723</v>
      </c>
      <c r="J236" s="2" t="s">
        <v>727</v>
      </c>
      <c r="K236" s="2" t="s">
        <v>968</v>
      </c>
      <c r="L236" s="2">
        <v>1309.77</v>
      </c>
      <c r="M236" s="2">
        <v>1589.07</v>
      </c>
      <c r="N236" s="2">
        <v>0.10199999999999999</v>
      </c>
      <c r="O236" s="2">
        <v>10</v>
      </c>
    </row>
    <row r="237" spans="1:15" x14ac:dyDescent="0.3">
      <c r="A237" s="2" t="s">
        <v>249</v>
      </c>
      <c r="B237" s="3">
        <v>45302</v>
      </c>
      <c r="C237" s="3">
        <v>45324</v>
      </c>
      <c r="D237" s="2" t="s">
        <v>647</v>
      </c>
      <c r="E237" s="2" t="s">
        <v>652</v>
      </c>
      <c r="F237" s="2" t="s">
        <v>694</v>
      </c>
      <c r="G237" s="2" t="s">
        <v>705</v>
      </c>
      <c r="H237" s="2" t="s">
        <v>708</v>
      </c>
      <c r="I237" s="2"/>
      <c r="J237" s="2" t="s">
        <v>728</v>
      </c>
      <c r="K237" s="2" t="s">
        <v>969</v>
      </c>
      <c r="L237" s="2">
        <v>1237.68</v>
      </c>
      <c r="M237" s="2">
        <v>1432.8</v>
      </c>
      <c r="N237" s="2">
        <v>6.8000000000000005E-2</v>
      </c>
      <c r="O237" s="2">
        <v>13</v>
      </c>
    </row>
    <row r="238" spans="1:15" x14ac:dyDescent="0.3">
      <c r="A238" s="2" t="s">
        <v>250</v>
      </c>
      <c r="B238" s="3">
        <v>45548</v>
      </c>
      <c r="C238" s="3">
        <v>45567</v>
      </c>
      <c r="D238" s="2" t="s">
        <v>646</v>
      </c>
      <c r="E238" s="2" t="s">
        <v>650</v>
      </c>
      <c r="F238" s="2" t="s">
        <v>675</v>
      </c>
      <c r="G238" s="2" t="s">
        <v>705</v>
      </c>
      <c r="H238" s="2" t="s">
        <v>707</v>
      </c>
      <c r="I238" s="2" t="s">
        <v>724</v>
      </c>
      <c r="J238" s="2" t="s">
        <v>730</v>
      </c>
      <c r="K238" s="2" t="s">
        <v>970</v>
      </c>
      <c r="L238" s="2">
        <v>1338.99</v>
      </c>
      <c r="M238" s="2">
        <v>1765.76</v>
      </c>
      <c r="N238" s="2">
        <v>0.126</v>
      </c>
      <c r="O238" s="2">
        <v>24</v>
      </c>
    </row>
    <row r="239" spans="1:15" x14ac:dyDescent="0.3">
      <c r="A239" s="2" t="s">
        <v>251</v>
      </c>
      <c r="B239" s="3">
        <v>45855</v>
      </c>
      <c r="C239" s="3">
        <v>45861</v>
      </c>
      <c r="D239" s="2" t="s">
        <v>648</v>
      </c>
      <c r="E239" s="2" t="s">
        <v>653</v>
      </c>
      <c r="F239" s="2" t="s">
        <v>688</v>
      </c>
      <c r="G239" s="2" t="s">
        <v>704</v>
      </c>
      <c r="H239" s="2" t="s">
        <v>708</v>
      </c>
      <c r="I239" s="2" t="s">
        <v>722</v>
      </c>
      <c r="J239" s="2" t="s">
        <v>727</v>
      </c>
      <c r="K239" s="2" t="s">
        <v>971</v>
      </c>
      <c r="L239" s="2">
        <v>1364.89</v>
      </c>
      <c r="M239" s="2">
        <v>2757.54</v>
      </c>
      <c r="N239" s="2">
        <v>0.17199999999999999</v>
      </c>
      <c r="O239" s="2">
        <v>61</v>
      </c>
    </row>
    <row r="240" spans="1:15" x14ac:dyDescent="0.3">
      <c r="A240" s="2" t="s">
        <v>252</v>
      </c>
      <c r="B240" s="3">
        <v>45258</v>
      </c>
      <c r="C240" s="3">
        <v>45267</v>
      </c>
      <c r="D240" s="2" t="s">
        <v>647</v>
      </c>
      <c r="E240" s="2" t="s">
        <v>654</v>
      </c>
      <c r="F240" s="2" t="s">
        <v>680</v>
      </c>
      <c r="G240" s="2" t="s">
        <v>706</v>
      </c>
      <c r="H240" s="2" t="s">
        <v>709</v>
      </c>
      <c r="I240" s="2" t="s">
        <v>716</v>
      </c>
      <c r="J240" s="2" t="s">
        <v>730</v>
      </c>
      <c r="K240" s="2" t="s">
        <v>972</v>
      </c>
      <c r="L240" s="2">
        <v>699.33</v>
      </c>
      <c r="M240" s="2">
        <v>873.75</v>
      </c>
      <c r="N240" s="2">
        <v>0.23499999999999999</v>
      </c>
      <c r="O240" s="2">
        <v>10</v>
      </c>
    </row>
    <row r="241" spans="1:15" x14ac:dyDescent="0.3">
      <c r="A241" s="2" t="s">
        <v>253</v>
      </c>
      <c r="B241" s="3">
        <v>45381</v>
      </c>
      <c r="C241" s="3">
        <v>45406</v>
      </c>
      <c r="D241" s="2" t="s">
        <v>648</v>
      </c>
      <c r="E241" s="2" t="s">
        <v>660</v>
      </c>
      <c r="F241" s="2" t="s">
        <v>697</v>
      </c>
      <c r="G241" s="2" t="s">
        <v>703</v>
      </c>
      <c r="H241" s="2" t="s">
        <v>708</v>
      </c>
      <c r="I241" s="2" t="s">
        <v>715</v>
      </c>
      <c r="J241" s="2" t="s">
        <v>731</v>
      </c>
      <c r="K241" s="2" t="s">
        <v>973</v>
      </c>
      <c r="L241" s="2">
        <v>160.82</v>
      </c>
      <c r="M241" s="2">
        <v>258.52</v>
      </c>
      <c r="N241" s="2">
        <v>0.13</v>
      </c>
      <c r="O241" s="2">
        <v>17</v>
      </c>
    </row>
    <row r="242" spans="1:15" x14ac:dyDescent="0.3">
      <c r="A242" s="2" t="s">
        <v>254</v>
      </c>
      <c r="B242" s="3">
        <v>45188</v>
      </c>
      <c r="C242" s="3">
        <v>45207</v>
      </c>
      <c r="D242" s="2" t="s">
        <v>647</v>
      </c>
      <c r="E242" s="2" t="s">
        <v>654</v>
      </c>
      <c r="F242" s="2" t="s">
        <v>668</v>
      </c>
      <c r="G242" s="2" t="s">
        <v>702</v>
      </c>
      <c r="H242" s="2" t="s">
        <v>711</v>
      </c>
      <c r="I242" s="2" t="s">
        <v>713</v>
      </c>
      <c r="J242" s="2" t="s">
        <v>728</v>
      </c>
      <c r="K242" s="2" t="s">
        <v>974</v>
      </c>
      <c r="L242" s="2">
        <v>385.32</v>
      </c>
      <c r="M242" s="2">
        <v>606.76</v>
      </c>
      <c r="N242" s="2">
        <v>8.5999999999999993E-2</v>
      </c>
      <c r="O242" s="2">
        <v>8</v>
      </c>
    </row>
    <row r="243" spans="1:15" x14ac:dyDescent="0.3">
      <c r="A243" s="2" t="s">
        <v>255</v>
      </c>
      <c r="B243" s="3">
        <v>45793</v>
      </c>
      <c r="C243" s="3">
        <v>45804</v>
      </c>
      <c r="D243" s="2" t="s">
        <v>647</v>
      </c>
      <c r="E243" s="2" t="s">
        <v>659</v>
      </c>
      <c r="F243" s="2" t="s">
        <v>699</v>
      </c>
      <c r="G243" s="2" t="s">
        <v>706</v>
      </c>
      <c r="H243" s="2" t="s">
        <v>708</v>
      </c>
      <c r="I243" s="2" t="s">
        <v>721</v>
      </c>
      <c r="J243" s="2" t="s">
        <v>730</v>
      </c>
      <c r="K243" s="2" t="s">
        <v>975</v>
      </c>
      <c r="L243" s="2">
        <v>918.12</v>
      </c>
      <c r="M243" s="2">
        <v>1337.69</v>
      </c>
      <c r="N243" s="2">
        <v>9.5000000000000001E-2</v>
      </c>
      <c r="O243" s="2">
        <v>8</v>
      </c>
    </row>
    <row r="244" spans="1:15" x14ac:dyDescent="0.3">
      <c r="A244" s="2" t="s">
        <v>256</v>
      </c>
      <c r="B244" s="3">
        <v>45871</v>
      </c>
      <c r="C244" s="3">
        <v>45877</v>
      </c>
      <c r="D244" s="2" t="s">
        <v>647</v>
      </c>
      <c r="E244" s="2" t="s">
        <v>652</v>
      </c>
      <c r="F244" s="2" t="s">
        <v>666</v>
      </c>
      <c r="G244" s="2" t="s">
        <v>704</v>
      </c>
      <c r="H244" s="2" t="s">
        <v>711</v>
      </c>
      <c r="I244" s="2" t="s">
        <v>725</v>
      </c>
      <c r="J244" s="2" t="s">
        <v>731</v>
      </c>
      <c r="K244" s="2" t="s">
        <v>976</v>
      </c>
      <c r="L244" s="2">
        <v>1225.94</v>
      </c>
      <c r="M244" s="2">
        <v>1793.08</v>
      </c>
      <c r="N244" s="2">
        <v>0.13600000000000001</v>
      </c>
      <c r="O244" s="2">
        <v>22</v>
      </c>
    </row>
    <row r="245" spans="1:15" x14ac:dyDescent="0.3">
      <c r="A245" s="2" t="s">
        <v>257</v>
      </c>
      <c r="B245" s="3">
        <v>45630</v>
      </c>
      <c r="C245" s="3">
        <v>45638</v>
      </c>
      <c r="D245" s="2" t="s">
        <v>649</v>
      </c>
      <c r="E245" s="2" t="s">
        <v>656</v>
      </c>
      <c r="F245" s="2" t="s">
        <v>698</v>
      </c>
      <c r="G245" s="2" t="s">
        <v>706</v>
      </c>
      <c r="H245" s="2" t="s">
        <v>709</v>
      </c>
      <c r="I245" s="2" t="s">
        <v>717</v>
      </c>
      <c r="J245" s="2" t="s">
        <v>728</v>
      </c>
      <c r="K245" s="2" t="s">
        <v>977</v>
      </c>
      <c r="L245" s="2">
        <v>72.06</v>
      </c>
      <c r="M245" s="2">
        <v>122.74</v>
      </c>
      <c r="N245" s="2">
        <v>0.23799999999999999</v>
      </c>
      <c r="O245" s="2">
        <v>8</v>
      </c>
    </row>
    <row r="246" spans="1:15" x14ac:dyDescent="0.3">
      <c r="A246" s="2" t="s">
        <v>258</v>
      </c>
      <c r="B246" s="3">
        <v>45035</v>
      </c>
      <c r="C246" s="3">
        <v>45044</v>
      </c>
      <c r="D246" s="2" t="s">
        <v>648</v>
      </c>
      <c r="E246" s="2" t="s">
        <v>655</v>
      </c>
      <c r="F246" s="2" t="s">
        <v>692</v>
      </c>
      <c r="G246" s="2" t="s">
        <v>701</v>
      </c>
      <c r="H246" s="2" t="s">
        <v>710</v>
      </c>
      <c r="I246" s="2" t="s">
        <v>724</v>
      </c>
      <c r="J246" s="2" t="s">
        <v>730</v>
      </c>
      <c r="K246" s="2" t="s">
        <v>978</v>
      </c>
      <c r="L246" s="2">
        <v>1013.54</v>
      </c>
      <c r="M246" s="2">
        <v>927.93</v>
      </c>
      <c r="N246" s="2">
        <v>0.17499999999999999</v>
      </c>
      <c r="O246" s="2">
        <v>16</v>
      </c>
    </row>
    <row r="247" spans="1:15" x14ac:dyDescent="0.3">
      <c r="A247" s="2" t="s">
        <v>259</v>
      </c>
      <c r="B247" s="3">
        <v>45357</v>
      </c>
      <c r="C247" s="3">
        <v>45377</v>
      </c>
      <c r="D247" s="2" t="s">
        <v>646</v>
      </c>
      <c r="E247" s="2" t="s">
        <v>651</v>
      </c>
      <c r="F247" s="2" t="s">
        <v>663</v>
      </c>
      <c r="G247" s="2" t="s">
        <v>704</v>
      </c>
      <c r="H247" s="2" t="s">
        <v>709</v>
      </c>
      <c r="I247" s="2" t="s">
        <v>714</v>
      </c>
      <c r="J247" s="2" t="s">
        <v>730</v>
      </c>
      <c r="K247" s="2" t="s">
        <v>979</v>
      </c>
      <c r="L247" s="2">
        <v>65.64</v>
      </c>
      <c r="M247" s="2">
        <v>151.88</v>
      </c>
      <c r="N247" s="2">
        <v>0.16700000000000001</v>
      </c>
      <c r="O247" s="2">
        <v>23</v>
      </c>
    </row>
    <row r="248" spans="1:15" x14ac:dyDescent="0.3">
      <c r="A248" s="2" t="s">
        <v>260</v>
      </c>
      <c r="B248" s="3">
        <v>45338</v>
      </c>
      <c r="C248" s="3">
        <v>45355</v>
      </c>
      <c r="D248" s="2" t="s">
        <v>648</v>
      </c>
      <c r="E248" s="2" t="s">
        <v>653</v>
      </c>
      <c r="F248" s="2" t="s">
        <v>681</v>
      </c>
      <c r="G248" s="2" t="s">
        <v>703</v>
      </c>
      <c r="H248" s="2" t="s">
        <v>707</v>
      </c>
      <c r="I248" s="2" t="s">
        <v>726</v>
      </c>
      <c r="J248" s="2" t="s">
        <v>731</v>
      </c>
      <c r="K248" s="2" t="s">
        <v>980</v>
      </c>
      <c r="L248" s="2">
        <v>1350.98</v>
      </c>
      <c r="M248" s="2">
        <v>2210.4</v>
      </c>
      <c r="N248" s="2">
        <v>0.26300000000000001</v>
      </c>
      <c r="O248" s="2">
        <v>6</v>
      </c>
    </row>
    <row r="249" spans="1:15" x14ac:dyDescent="0.3">
      <c r="A249" s="2" t="s">
        <v>261</v>
      </c>
      <c r="B249" s="3">
        <v>45769</v>
      </c>
      <c r="C249" s="3">
        <v>45779</v>
      </c>
      <c r="D249" s="2" t="s">
        <v>649</v>
      </c>
      <c r="E249" s="2" t="s">
        <v>656</v>
      </c>
      <c r="F249" s="2" t="s">
        <v>671</v>
      </c>
      <c r="G249" s="2" t="s">
        <v>701</v>
      </c>
      <c r="H249" s="2" t="s">
        <v>709</v>
      </c>
      <c r="I249" s="2" t="s">
        <v>712</v>
      </c>
      <c r="J249" s="2" t="s">
        <v>732</v>
      </c>
      <c r="K249" s="2" t="s">
        <v>981</v>
      </c>
      <c r="L249" s="2">
        <v>20.149999999999999</v>
      </c>
      <c r="M249" s="2">
        <v>39.74</v>
      </c>
      <c r="N249" s="2">
        <v>0.151</v>
      </c>
      <c r="O249" s="2">
        <v>18</v>
      </c>
    </row>
    <row r="250" spans="1:15" x14ac:dyDescent="0.3">
      <c r="A250" s="2" t="s">
        <v>262</v>
      </c>
      <c r="B250" s="3">
        <v>45604</v>
      </c>
      <c r="C250" s="3">
        <v>45604</v>
      </c>
      <c r="D250" s="2" t="s">
        <v>646</v>
      </c>
      <c r="E250" s="2" t="s">
        <v>650</v>
      </c>
      <c r="F250" s="2" t="s">
        <v>678</v>
      </c>
      <c r="G250" s="2" t="s">
        <v>706</v>
      </c>
      <c r="H250" s="2" t="s">
        <v>709</v>
      </c>
      <c r="I250" s="2" t="s">
        <v>724</v>
      </c>
      <c r="J250" s="2" t="s">
        <v>729</v>
      </c>
      <c r="K250" s="2" t="s">
        <v>982</v>
      </c>
      <c r="L250" s="2">
        <v>803.28</v>
      </c>
      <c r="M250" s="2">
        <v>1009</v>
      </c>
      <c r="N250" s="2">
        <v>0.11</v>
      </c>
      <c r="O250" s="2">
        <v>4</v>
      </c>
    </row>
    <row r="251" spans="1:15" x14ac:dyDescent="0.3">
      <c r="A251" s="2" t="s">
        <v>263</v>
      </c>
      <c r="B251" s="3">
        <v>45912</v>
      </c>
      <c r="C251" s="3">
        <v>45930</v>
      </c>
      <c r="D251" s="2" t="s">
        <v>647</v>
      </c>
      <c r="E251" s="2" t="s">
        <v>652</v>
      </c>
      <c r="F251" s="2" t="s">
        <v>694</v>
      </c>
      <c r="G251" s="2" t="s">
        <v>703</v>
      </c>
      <c r="H251" s="2" t="s">
        <v>709</v>
      </c>
      <c r="I251" s="2" t="s">
        <v>721</v>
      </c>
      <c r="J251" s="2" t="s">
        <v>732</v>
      </c>
      <c r="K251" s="2" t="s">
        <v>983</v>
      </c>
      <c r="L251" s="2">
        <v>1212.99</v>
      </c>
      <c r="M251" s="2">
        <v>1653.64</v>
      </c>
      <c r="N251" s="2">
        <v>0.107</v>
      </c>
      <c r="O251" s="2">
        <v>8</v>
      </c>
    </row>
    <row r="252" spans="1:15" x14ac:dyDescent="0.3">
      <c r="A252" s="2" t="s">
        <v>264</v>
      </c>
      <c r="B252" s="3">
        <v>45537</v>
      </c>
      <c r="C252" s="3">
        <v>45543</v>
      </c>
      <c r="D252" s="2" t="s">
        <v>648</v>
      </c>
      <c r="E252" s="2" t="s">
        <v>660</v>
      </c>
      <c r="F252" s="2" t="s">
        <v>697</v>
      </c>
      <c r="G252" s="2" t="s">
        <v>704</v>
      </c>
      <c r="H252" s="2" t="s">
        <v>711</v>
      </c>
      <c r="I252" s="2" t="s">
        <v>722</v>
      </c>
      <c r="J252" s="2" t="s">
        <v>727</v>
      </c>
      <c r="K252" s="2" t="s">
        <v>984</v>
      </c>
      <c r="L252" s="2">
        <v>462.94</v>
      </c>
      <c r="M252" s="2">
        <v>1015.7</v>
      </c>
      <c r="N252" s="2">
        <v>0.14299999999999999</v>
      </c>
      <c r="O252" s="2">
        <v>14</v>
      </c>
    </row>
    <row r="253" spans="1:15" x14ac:dyDescent="0.3">
      <c r="A253" s="2" t="s">
        <v>265</v>
      </c>
      <c r="B253" s="3">
        <v>44989</v>
      </c>
      <c r="C253" s="3">
        <v>45009</v>
      </c>
      <c r="D253" s="2" t="s">
        <v>648</v>
      </c>
      <c r="E253" s="2" t="s">
        <v>653</v>
      </c>
      <c r="F253" s="2" t="s">
        <v>681</v>
      </c>
      <c r="G253" s="2" t="s">
        <v>704</v>
      </c>
      <c r="H253" s="2" t="s">
        <v>710</v>
      </c>
      <c r="I253" s="2" t="s">
        <v>714</v>
      </c>
      <c r="J253" s="2" t="s">
        <v>731</v>
      </c>
      <c r="K253" s="2" t="s">
        <v>985</v>
      </c>
      <c r="L253" s="2">
        <v>481.71</v>
      </c>
      <c r="M253" s="2">
        <v>912.45</v>
      </c>
      <c r="N253" s="2">
        <v>0.20300000000000001</v>
      </c>
      <c r="O253" s="2">
        <v>24</v>
      </c>
    </row>
    <row r="254" spans="1:15" x14ac:dyDescent="0.3">
      <c r="A254" s="2" t="s">
        <v>266</v>
      </c>
      <c r="B254" s="3">
        <v>45366</v>
      </c>
      <c r="C254" s="3">
        <v>45391</v>
      </c>
      <c r="D254" s="2" t="s">
        <v>648</v>
      </c>
      <c r="E254" s="2" t="s">
        <v>653</v>
      </c>
      <c r="F254" s="2" t="s">
        <v>688</v>
      </c>
      <c r="G254" s="2" t="s">
        <v>704</v>
      </c>
      <c r="H254" s="2" t="s">
        <v>708</v>
      </c>
      <c r="I254" s="2" t="s">
        <v>721</v>
      </c>
      <c r="J254" s="2" t="s">
        <v>732</v>
      </c>
      <c r="K254" s="2" t="s">
        <v>986</v>
      </c>
      <c r="L254" s="2">
        <v>648.64</v>
      </c>
      <c r="M254" s="2">
        <v>815.19</v>
      </c>
      <c r="N254" s="2">
        <v>0.22500000000000001</v>
      </c>
      <c r="O254" s="2">
        <v>28</v>
      </c>
    </row>
    <row r="255" spans="1:15" x14ac:dyDescent="0.3">
      <c r="A255" s="2" t="s">
        <v>267</v>
      </c>
      <c r="B255" s="3">
        <v>45502</v>
      </c>
      <c r="C255" s="3">
        <v>45504</v>
      </c>
      <c r="D255" s="2" t="s">
        <v>648</v>
      </c>
      <c r="E255" s="2" t="s">
        <v>660</v>
      </c>
      <c r="F255" s="2" t="s">
        <v>700</v>
      </c>
      <c r="G255" s="2" t="s">
        <v>702</v>
      </c>
      <c r="H255" s="2" t="s">
        <v>709</v>
      </c>
      <c r="I255" s="2" t="s">
        <v>714</v>
      </c>
      <c r="J255" s="2" t="s">
        <v>728</v>
      </c>
      <c r="K255" s="2" t="s">
        <v>987</v>
      </c>
      <c r="L255" s="2">
        <v>798.97</v>
      </c>
      <c r="M255" s="2">
        <v>1814.06</v>
      </c>
      <c r="N255" s="2">
        <v>0.122</v>
      </c>
      <c r="O255" s="2">
        <v>16</v>
      </c>
    </row>
    <row r="256" spans="1:15" x14ac:dyDescent="0.3">
      <c r="A256" s="2" t="s">
        <v>268</v>
      </c>
      <c r="B256" s="3">
        <v>45592</v>
      </c>
      <c r="C256" s="3">
        <v>45616</v>
      </c>
      <c r="D256" s="2" t="s">
        <v>647</v>
      </c>
      <c r="E256" s="2" t="s">
        <v>652</v>
      </c>
      <c r="F256" s="2" t="s">
        <v>694</v>
      </c>
      <c r="G256" s="2" t="s">
        <v>703</v>
      </c>
      <c r="H256" s="2" t="s">
        <v>708</v>
      </c>
      <c r="I256" s="2" t="s">
        <v>722</v>
      </c>
      <c r="J256" s="2" t="s">
        <v>732</v>
      </c>
      <c r="K256" s="2" t="s">
        <v>988</v>
      </c>
      <c r="L256" s="2">
        <v>317.25</v>
      </c>
      <c r="M256" s="2">
        <v>758.92</v>
      </c>
      <c r="N256" s="2">
        <v>5.2999999999999999E-2</v>
      </c>
      <c r="O256" s="2">
        <v>9</v>
      </c>
    </row>
    <row r="257" spans="1:15" x14ac:dyDescent="0.3">
      <c r="A257" s="2" t="s">
        <v>269</v>
      </c>
      <c r="B257" s="3">
        <v>45411</v>
      </c>
      <c r="C257" s="3">
        <v>45431</v>
      </c>
      <c r="D257" s="2" t="s">
        <v>649</v>
      </c>
      <c r="E257" s="2" t="s">
        <v>656</v>
      </c>
      <c r="F257" s="2" t="s">
        <v>698</v>
      </c>
      <c r="G257" s="2" t="s">
        <v>706</v>
      </c>
      <c r="H257" s="2" t="s">
        <v>709</v>
      </c>
      <c r="I257" s="2" t="s">
        <v>712</v>
      </c>
      <c r="J257" s="2" t="s">
        <v>731</v>
      </c>
      <c r="K257" s="2" t="s">
        <v>989</v>
      </c>
      <c r="L257" s="2">
        <v>668.97</v>
      </c>
      <c r="M257" s="2">
        <v>1667.44</v>
      </c>
      <c r="N257" s="2">
        <v>3.4000000000000002E-2</v>
      </c>
      <c r="O257" s="2">
        <v>15</v>
      </c>
    </row>
    <row r="258" spans="1:15" x14ac:dyDescent="0.3">
      <c r="A258" s="2" t="s">
        <v>270</v>
      </c>
      <c r="B258" s="3">
        <v>45204</v>
      </c>
      <c r="C258" s="3">
        <v>45205</v>
      </c>
      <c r="D258" s="2" t="s">
        <v>647</v>
      </c>
      <c r="E258" s="2" t="s">
        <v>654</v>
      </c>
      <c r="F258" s="2" t="s">
        <v>668</v>
      </c>
      <c r="G258" s="2" t="s">
        <v>703</v>
      </c>
      <c r="H258" s="2" t="s">
        <v>708</v>
      </c>
      <c r="I258" s="2" t="s">
        <v>714</v>
      </c>
      <c r="J258" s="2" t="s">
        <v>727</v>
      </c>
      <c r="K258" s="2" t="s">
        <v>990</v>
      </c>
      <c r="L258" s="2">
        <v>1470.26</v>
      </c>
      <c r="M258" s="2">
        <v>2562.5500000000002</v>
      </c>
      <c r="N258" s="2">
        <v>0.17299999999999999</v>
      </c>
      <c r="O258" s="2">
        <v>9</v>
      </c>
    </row>
    <row r="259" spans="1:15" x14ac:dyDescent="0.3">
      <c r="A259" s="2" t="s">
        <v>271</v>
      </c>
      <c r="B259" s="3">
        <v>45035</v>
      </c>
      <c r="C259" s="3">
        <v>45053</v>
      </c>
      <c r="D259" s="2" t="s">
        <v>649</v>
      </c>
      <c r="E259" s="2" t="s">
        <v>658</v>
      </c>
      <c r="F259" s="2" t="s">
        <v>683</v>
      </c>
      <c r="G259" s="2" t="s">
        <v>703</v>
      </c>
      <c r="H259" s="2" t="s">
        <v>711</v>
      </c>
      <c r="I259" s="2" t="s">
        <v>722</v>
      </c>
      <c r="J259" s="2" t="s">
        <v>729</v>
      </c>
      <c r="K259" s="2" t="s">
        <v>991</v>
      </c>
      <c r="L259" s="2">
        <v>516.96</v>
      </c>
      <c r="M259" s="2">
        <v>745.38</v>
      </c>
      <c r="N259" s="2">
        <v>0.19700000000000001</v>
      </c>
      <c r="O259" s="2">
        <v>4</v>
      </c>
    </row>
    <row r="260" spans="1:15" x14ac:dyDescent="0.3">
      <c r="A260" s="2" t="s">
        <v>272</v>
      </c>
      <c r="B260" s="3">
        <v>45835</v>
      </c>
      <c r="C260" s="3">
        <v>45843</v>
      </c>
      <c r="D260" s="2" t="s">
        <v>649</v>
      </c>
      <c r="E260" s="2" t="s">
        <v>656</v>
      </c>
      <c r="F260" s="2" t="s">
        <v>684</v>
      </c>
      <c r="G260" s="2" t="s">
        <v>705</v>
      </c>
      <c r="H260" s="2" t="s">
        <v>711</v>
      </c>
      <c r="I260" s="2" t="s">
        <v>715</v>
      </c>
      <c r="J260" s="2" t="s">
        <v>732</v>
      </c>
      <c r="K260" s="2" t="s">
        <v>992</v>
      </c>
      <c r="L260" s="2">
        <v>314.93</v>
      </c>
      <c r="M260" s="2">
        <v>687.95</v>
      </c>
      <c r="N260" s="2">
        <v>0.20499999999999999</v>
      </c>
      <c r="O260" s="2">
        <v>8</v>
      </c>
    </row>
    <row r="261" spans="1:15" x14ac:dyDescent="0.3">
      <c r="A261" s="2" t="s">
        <v>273</v>
      </c>
      <c r="B261" s="3">
        <v>45210</v>
      </c>
      <c r="C261" s="3">
        <v>45212</v>
      </c>
      <c r="D261" s="2" t="s">
        <v>648</v>
      </c>
      <c r="E261" s="2" t="s">
        <v>655</v>
      </c>
      <c r="F261" s="2" t="s">
        <v>672</v>
      </c>
      <c r="G261" s="2" t="s">
        <v>704</v>
      </c>
      <c r="H261" s="2" t="s">
        <v>710</v>
      </c>
      <c r="I261" s="2"/>
      <c r="J261" s="2" t="s">
        <v>733</v>
      </c>
      <c r="K261" s="2" t="s">
        <v>993</v>
      </c>
      <c r="L261" s="2">
        <v>715.94</v>
      </c>
      <c r="M261" s="2">
        <v>550.07000000000005</v>
      </c>
      <c r="N261" s="2">
        <v>0.14000000000000001</v>
      </c>
      <c r="O261" s="2">
        <v>16</v>
      </c>
    </row>
    <row r="262" spans="1:15" x14ac:dyDescent="0.3">
      <c r="A262" s="2" t="s">
        <v>274</v>
      </c>
      <c r="B262" s="3">
        <v>45066</v>
      </c>
      <c r="C262" s="3">
        <v>45084</v>
      </c>
      <c r="D262" s="2" t="s">
        <v>646</v>
      </c>
      <c r="E262" s="2" t="s">
        <v>651</v>
      </c>
      <c r="F262" s="2" t="s">
        <v>663</v>
      </c>
      <c r="G262" s="2" t="s">
        <v>706</v>
      </c>
      <c r="H262" s="2" t="s">
        <v>710</v>
      </c>
      <c r="I262" s="2" t="s">
        <v>718</v>
      </c>
      <c r="J262" s="2" t="s">
        <v>727</v>
      </c>
      <c r="K262" s="2" t="s">
        <v>994</v>
      </c>
      <c r="L262" s="2">
        <v>1120.06</v>
      </c>
      <c r="M262" s="2">
        <v>2068.21</v>
      </c>
      <c r="N262" s="2">
        <v>7.8E-2</v>
      </c>
      <c r="O262" s="2">
        <v>12</v>
      </c>
    </row>
    <row r="263" spans="1:15" x14ac:dyDescent="0.3">
      <c r="A263" s="2" t="s">
        <v>275</v>
      </c>
      <c r="B263" s="3">
        <v>45073</v>
      </c>
      <c r="C263" s="3">
        <v>45096</v>
      </c>
      <c r="D263" s="2" t="s">
        <v>649</v>
      </c>
      <c r="E263" s="2" t="s">
        <v>656</v>
      </c>
      <c r="F263" s="2" t="s">
        <v>671</v>
      </c>
      <c r="G263" s="2" t="s">
        <v>702</v>
      </c>
      <c r="H263" s="2" t="s">
        <v>707</v>
      </c>
      <c r="I263" s="2" t="s">
        <v>719</v>
      </c>
      <c r="J263" s="2" t="s">
        <v>733</v>
      </c>
      <c r="K263" s="2" t="s">
        <v>995</v>
      </c>
      <c r="L263" s="2">
        <v>1471.58</v>
      </c>
      <c r="M263" s="2">
        <v>2576.65</v>
      </c>
      <c r="N263" s="2">
        <v>4.0000000000000001E-3</v>
      </c>
      <c r="O263" s="2">
        <v>7</v>
      </c>
    </row>
    <row r="264" spans="1:15" x14ac:dyDescent="0.3">
      <c r="A264" s="2" t="s">
        <v>276</v>
      </c>
      <c r="B264" s="3">
        <v>45142</v>
      </c>
      <c r="C264" s="3">
        <v>45162</v>
      </c>
      <c r="D264" s="2" t="s">
        <v>648</v>
      </c>
      <c r="E264" s="2" t="s">
        <v>655</v>
      </c>
      <c r="F264" s="2" t="s">
        <v>672</v>
      </c>
      <c r="G264" s="2" t="s">
        <v>703</v>
      </c>
      <c r="H264" s="2" t="s">
        <v>711</v>
      </c>
      <c r="I264" s="2"/>
      <c r="J264" s="2" t="s">
        <v>729</v>
      </c>
      <c r="K264" s="2" t="s">
        <v>996</v>
      </c>
      <c r="L264" s="2">
        <v>582.88</v>
      </c>
      <c r="M264" s="2">
        <v>1044.1400000000001</v>
      </c>
      <c r="N264" s="2">
        <v>0.216</v>
      </c>
      <c r="O264" s="2">
        <v>10</v>
      </c>
    </row>
    <row r="265" spans="1:15" x14ac:dyDescent="0.3">
      <c r="A265" s="2" t="s">
        <v>277</v>
      </c>
      <c r="B265" s="3">
        <v>45829</v>
      </c>
      <c r="C265" s="3">
        <v>45835</v>
      </c>
      <c r="D265" s="2" t="s">
        <v>646</v>
      </c>
      <c r="E265" s="2" t="s">
        <v>661</v>
      </c>
      <c r="F265" s="2" t="s">
        <v>687</v>
      </c>
      <c r="G265" s="2" t="s">
        <v>706</v>
      </c>
      <c r="H265" s="2" t="s">
        <v>710</v>
      </c>
      <c r="I265" s="2" t="s">
        <v>725</v>
      </c>
      <c r="J265" s="2" t="s">
        <v>730</v>
      </c>
      <c r="K265" s="2" t="s">
        <v>997</v>
      </c>
      <c r="L265" s="2">
        <v>93.91</v>
      </c>
      <c r="M265" s="2">
        <v>99.04</v>
      </c>
      <c r="N265" s="2">
        <v>5.7000000000000002E-2</v>
      </c>
      <c r="O265" s="2">
        <v>6</v>
      </c>
    </row>
    <row r="266" spans="1:15" x14ac:dyDescent="0.3">
      <c r="A266" s="2" t="s">
        <v>278</v>
      </c>
      <c r="B266" s="3">
        <v>45763</v>
      </c>
      <c r="C266" s="3">
        <v>45773</v>
      </c>
      <c r="D266" s="2" t="s">
        <v>646</v>
      </c>
      <c r="E266" s="2" t="s">
        <v>651</v>
      </c>
      <c r="F266" s="2" t="s">
        <v>663</v>
      </c>
      <c r="G266" s="2" t="s">
        <v>706</v>
      </c>
      <c r="H266" s="2" t="s">
        <v>709</v>
      </c>
      <c r="I266" s="2" t="s">
        <v>721</v>
      </c>
      <c r="J266" s="2" t="s">
        <v>731</v>
      </c>
      <c r="K266" s="2" t="s">
        <v>998</v>
      </c>
      <c r="L266" s="2">
        <v>1457.44</v>
      </c>
      <c r="M266" s="2">
        <v>1996.81</v>
      </c>
      <c r="N266" s="2">
        <v>0.126</v>
      </c>
      <c r="O266" s="2">
        <v>23</v>
      </c>
    </row>
    <row r="267" spans="1:15" x14ac:dyDescent="0.3">
      <c r="A267" s="2" t="s">
        <v>279</v>
      </c>
      <c r="B267" s="3">
        <v>45902</v>
      </c>
      <c r="C267" s="3">
        <v>45911</v>
      </c>
      <c r="D267" s="2" t="s">
        <v>648</v>
      </c>
      <c r="E267" s="2" t="s">
        <v>653</v>
      </c>
      <c r="F267" s="2" t="s">
        <v>667</v>
      </c>
      <c r="G267" s="2" t="s">
        <v>701</v>
      </c>
      <c r="H267" s="2" t="s">
        <v>710</v>
      </c>
      <c r="I267" s="2" t="s">
        <v>724</v>
      </c>
      <c r="J267" s="2" t="s">
        <v>728</v>
      </c>
      <c r="K267" s="2" t="s">
        <v>999</v>
      </c>
      <c r="L267" s="2">
        <v>1207.6300000000001</v>
      </c>
      <c r="M267" s="2">
        <v>921.68</v>
      </c>
      <c r="N267" s="2">
        <v>0.19600000000000001</v>
      </c>
      <c r="O267" s="2">
        <v>17</v>
      </c>
    </row>
    <row r="268" spans="1:15" x14ac:dyDescent="0.3">
      <c r="A268" s="2" t="s">
        <v>280</v>
      </c>
      <c r="B268" s="3">
        <v>45573</v>
      </c>
      <c r="C268" s="3">
        <v>45573</v>
      </c>
      <c r="D268" s="2" t="s">
        <v>649</v>
      </c>
      <c r="E268" s="2" t="s">
        <v>658</v>
      </c>
      <c r="F268" s="2" t="s">
        <v>683</v>
      </c>
      <c r="G268" s="2" t="s">
        <v>701</v>
      </c>
      <c r="H268" s="2" t="s">
        <v>708</v>
      </c>
      <c r="I268" s="2" t="s">
        <v>718</v>
      </c>
      <c r="J268" s="2" t="s">
        <v>732</v>
      </c>
      <c r="K268" s="2" t="s">
        <v>1000</v>
      </c>
      <c r="L268" s="2">
        <v>1108.1099999999999</v>
      </c>
      <c r="M268" s="2">
        <v>2503.79</v>
      </c>
      <c r="N268" s="2">
        <v>0.184</v>
      </c>
      <c r="O268" s="2">
        <v>19</v>
      </c>
    </row>
    <row r="269" spans="1:15" x14ac:dyDescent="0.3">
      <c r="A269" s="2" t="s">
        <v>281</v>
      </c>
      <c r="B269" s="3">
        <v>45053</v>
      </c>
      <c r="C269" s="3">
        <v>45051</v>
      </c>
      <c r="D269" s="2" t="s">
        <v>646</v>
      </c>
      <c r="E269" s="2" t="s">
        <v>651</v>
      </c>
      <c r="F269" s="2" t="s">
        <v>663</v>
      </c>
      <c r="G269" s="2" t="s">
        <v>703</v>
      </c>
      <c r="H269" s="2" t="s">
        <v>709</v>
      </c>
      <c r="I269" s="2" t="s">
        <v>720</v>
      </c>
      <c r="J269" s="2" t="s">
        <v>727</v>
      </c>
      <c r="K269" s="2" t="s">
        <v>1001</v>
      </c>
      <c r="L269" s="2">
        <v>1269.6500000000001</v>
      </c>
      <c r="M269" s="2">
        <v>2462.77</v>
      </c>
      <c r="N269" s="2">
        <v>0.107</v>
      </c>
      <c r="O269" s="2">
        <v>8</v>
      </c>
    </row>
    <row r="270" spans="1:15" x14ac:dyDescent="0.3">
      <c r="A270" s="2" t="s">
        <v>282</v>
      </c>
      <c r="B270" s="3">
        <v>45284</v>
      </c>
      <c r="C270" s="3">
        <v>45292</v>
      </c>
      <c r="D270" s="2" t="s">
        <v>648</v>
      </c>
      <c r="E270" s="2" t="s">
        <v>655</v>
      </c>
      <c r="F270" s="2" t="s">
        <v>670</v>
      </c>
      <c r="G270" s="2" t="s">
        <v>702</v>
      </c>
      <c r="H270" s="2" t="s">
        <v>711</v>
      </c>
      <c r="I270" s="2" t="s">
        <v>712</v>
      </c>
      <c r="J270" s="2" t="s">
        <v>730</v>
      </c>
      <c r="K270" s="2" t="s">
        <v>1002</v>
      </c>
      <c r="L270" s="2">
        <v>526.49</v>
      </c>
      <c r="M270" s="2">
        <v>496.2</v>
      </c>
      <c r="N270" s="2">
        <v>0</v>
      </c>
      <c r="O270" s="2">
        <v>14</v>
      </c>
    </row>
    <row r="271" spans="1:15" x14ac:dyDescent="0.3">
      <c r="A271" s="2" t="s">
        <v>283</v>
      </c>
      <c r="B271" s="3">
        <v>45301</v>
      </c>
      <c r="C271" s="3">
        <v>45314</v>
      </c>
      <c r="D271" s="2" t="s">
        <v>649</v>
      </c>
      <c r="E271" s="2" t="s">
        <v>657</v>
      </c>
      <c r="F271" s="2" t="s">
        <v>673</v>
      </c>
      <c r="G271" s="2" t="s">
        <v>701</v>
      </c>
      <c r="H271" s="2" t="s">
        <v>711</v>
      </c>
      <c r="I271" s="2" t="s">
        <v>720</v>
      </c>
      <c r="J271" s="2" t="s">
        <v>728</v>
      </c>
      <c r="K271" s="2" t="s">
        <v>1003</v>
      </c>
      <c r="L271" s="2">
        <v>720</v>
      </c>
      <c r="M271" s="2">
        <v>907.59</v>
      </c>
      <c r="N271" s="2">
        <v>0.154</v>
      </c>
      <c r="O271" s="2">
        <v>10</v>
      </c>
    </row>
    <row r="272" spans="1:15" x14ac:dyDescent="0.3">
      <c r="A272" s="2" t="s">
        <v>284</v>
      </c>
      <c r="B272" s="3">
        <v>45141</v>
      </c>
      <c r="C272" s="3">
        <v>45152</v>
      </c>
      <c r="D272" s="2" t="s">
        <v>648</v>
      </c>
      <c r="E272" s="2" t="s">
        <v>655</v>
      </c>
      <c r="F272" s="2" t="s">
        <v>672</v>
      </c>
      <c r="G272" s="2" t="s">
        <v>701</v>
      </c>
      <c r="H272" s="2" t="s">
        <v>711</v>
      </c>
      <c r="I272" s="2" t="s">
        <v>713</v>
      </c>
      <c r="J272" s="2" t="s">
        <v>733</v>
      </c>
      <c r="K272" s="2" t="s">
        <v>1004</v>
      </c>
      <c r="L272" s="2">
        <v>232.73</v>
      </c>
      <c r="M272" s="2">
        <v>334.19</v>
      </c>
      <c r="N272" s="2">
        <v>0.13400000000000001</v>
      </c>
      <c r="O272" s="2">
        <v>25</v>
      </c>
    </row>
    <row r="273" spans="1:15" x14ac:dyDescent="0.3">
      <c r="A273" s="2" t="s">
        <v>285</v>
      </c>
      <c r="B273" s="3">
        <v>45707</v>
      </c>
      <c r="C273" s="3">
        <v>45725</v>
      </c>
      <c r="D273" s="2" t="s">
        <v>647</v>
      </c>
      <c r="E273" s="2" t="s">
        <v>654</v>
      </c>
      <c r="F273" s="2" t="s">
        <v>680</v>
      </c>
      <c r="G273" s="2" t="s">
        <v>705</v>
      </c>
      <c r="H273" s="2" t="s">
        <v>711</v>
      </c>
      <c r="I273" s="2" t="s">
        <v>719</v>
      </c>
      <c r="J273" s="2" t="s">
        <v>732</v>
      </c>
      <c r="K273" s="2" t="s">
        <v>1005</v>
      </c>
      <c r="L273" s="2">
        <v>325.87</v>
      </c>
      <c r="M273" s="2">
        <v>538.79</v>
      </c>
      <c r="N273" s="2">
        <v>0.17399999999999999</v>
      </c>
      <c r="O273" s="2">
        <v>16</v>
      </c>
    </row>
    <row r="274" spans="1:15" x14ac:dyDescent="0.3">
      <c r="A274" s="2" t="s">
        <v>286</v>
      </c>
      <c r="B274" s="3">
        <v>45382</v>
      </c>
      <c r="C274" s="3">
        <v>45399</v>
      </c>
      <c r="D274" s="2" t="s">
        <v>649</v>
      </c>
      <c r="E274" s="2" t="s">
        <v>656</v>
      </c>
      <c r="F274" s="2" t="s">
        <v>698</v>
      </c>
      <c r="G274" s="2" t="s">
        <v>702</v>
      </c>
      <c r="H274" s="2" t="s">
        <v>711</v>
      </c>
      <c r="I274" s="2" t="s">
        <v>722</v>
      </c>
      <c r="J274" s="2" t="s">
        <v>732</v>
      </c>
      <c r="K274" s="2" t="s">
        <v>1006</v>
      </c>
      <c r="L274" s="2">
        <v>1025.51</v>
      </c>
      <c r="M274" s="2">
        <v>1436.54</v>
      </c>
      <c r="N274" s="2">
        <v>0.13900000000000001</v>
      </c>
      <c r="O274" s="2">
        <v>28</v>
      </c>
    </row>
    <row r="275" spans="1:15" x14ac:dyDescent="0.3">
      <c r="A275" s="2" t="s">
        <v>287</v>
      </c>
      <c r="B275" s="3">
        <v>45131</v>
      </c>
      <c r="C275" s="3">
        <v>45151</v>
      </c>
      <c r="D275" s="2" t="s">
        <v>648</v>
      </c>
      <c r="E275" s="2" t="s">
        <v>653</v>
      </c>
      <c r="F275" s="2" t="s">
        <v>681</v>
      </c>
      <c r="G275" s="2" t="s">
        <v>702</v>
      </c>
      <c r="H275" s="2" t="s">
        <v>711</v>
      </c>
      <c r="I275" s="2" t="s">
        <v>712</v>
      </c>
      <c r="J275" s="2" t="s">
        <v>732</v>
      </c>
      <c r="K275" s="2" t="s">
        <v>1007</v>
      </c>
      <c r="L275" s="2">
        <v>1082.3800000000001</v>
      </c>
      <c r="M275" s="2">
        <v>1766.55</v>
      </c>
      <c r="N275" s="2">
        <v>0.16400000000000001</v>
      </c>
      <c r="O275" s="2">
        <v>20</v>
      </c>
    </row>
    <row r="276" spans="1:15" x14ac:dyDescent="0.3">
      <c r="A276" s="2" t="s">
        <v>288</v>
      </c>
      <c r="B276" s="3">
        <v>45367</v>
      </c>
      <c r="C276" s="3">
        <v>45395</v>
      </c>
      <c r="D276" s="2" t="s">
        <v>649</v>
      </c>
      <c r="E276" s="2" t="s">
        <v>657</v>
      </c>
      <c r="F276" s="2" t="s">
        <v>690</v>
      </c>
      <c r="G276" s="2" t="s">
        <v>705</v>
      </c>
      <c r="H276" s="2" t="s">
        <v>708</v>
      </c>
      <c r="I276" s="2" t="s">
        <v>723</v>
      </c>
      <c r="J276" s="2" t="s">
        <v>728</v>
      </c>
      <c r="K276" s="2" t="s">
        <v>1008</v>
      </c>
      <c r="L276" s="2">
        <v>287.61</v>
      </c>
      <c r="M276" s="2">
        <v>628.54</v>
      </c>
      <c r="N276" s="2">
        <v>0.13500000000000001</v>
      </c>
      <c r="O276" s="2">
        <v>21</v>
      </c>
    </row>
    <row r="277" spans="1:15" x14ac:dyDescent="0.3">
      <c r="A277" s="2" t="s">
        <v>289</v>
      </c>
      <c r="B277" s="3">
        <v>45316</v>
      </c>
      <c r="C277" s="3">
        <v>45318</v>
      </c>
      <c r="D277" s="2" t="s">
        <v>648</v>
      </c>
      <c r="E277" s="2" t="s">
        <v>655</v>
      </c>
      <c r="F277" s="2" t="s">
        <v>670</v>
      </c>
      <c r="G277" s="2" t="s">
        <v>703</v>
      </c>
      <c r="H277" s="2" t="s">
        <v>709</v>
      </c>
      <c r="I277" s="2" t="s">
        <v>725</v>
      </c>
      <c r="J277" s="2" t="s">
        <v>731</v>
      </c>
      <c r="K277" s="2" t="s">
        <v>1009</v>
      </c>
      <c r="L277" s="2">
        <v>1410.97</v>
      </c>
      <c r="M277" s="2">
        <v>1650.75</v>
      </c>
      <c r="N277" s="2">
        <v>0.13500000000000001</v>
      </c>
      <c r="O277" s="2">
        <v>6</v>
      </c>
    </row>
    <row r="278" spans="1:15" x14ac:dyDescent="0.3">
      <c r="A278" s="2" t="s">
        <v>290</v>
      </c>
      <c r="B278" s="3">
        <v>45378</v>
      </c>
      <c r="C278" s="3">
        <v>45393</v>
      </c>
      <c r="D278" s="2" t="s">
        <v>648</v>
      </c>
      <c r="E278" s="2" t="s">
        <v>660</v>
      </c>
      <c r="F278" s="2" t="s">
        <v>686</v>
      </c>
      <c r="G278" s="2" t="s">
        <v>705</v>
      </c>
      <c r="H278" s="2" t="s">
        <v>711</v>
      </c>
      <c r="I278" s="2" t="s">
        <v>719</v>
      </c>
      <c r="J278" s="2" t="s">
        <v>729</v>
      </c>
      <c r="K278" s="2" t="s">
        <v>1010</v>
      </c>
      <c r="L278" s="2">
        <v>1338.35</v>
      </c>
      <c r="M278" s="2">
        <v>2247.14</v>
      </c>
      <c r="N278" s="2">
        <v>0.115</v>
      </c>
      <c r="O278" s="2">
        <v>40</v>
      </c>
    </row>
    <row r="279" spans="1:15" x14ac:dyDescent="0.3">
      <c r="A279" s="2" t="s">
        <v>291</v>
      </c>
      <c r="B279" s="3">
        <v>45832</v>
      </c>
      <c r="C279" s="3">
        <v>45852</v>
      </c>
      <c r="D279" s="2" t="s">
        <v>649</v>
      </c>
      <c r="E279" s="2" t="s">
        <v>656</v>
      </c>
      <c r="F279" s="2" t="s">
        <v>671</v>
      </c>
      <c r="G279" s="2" t="s">
        <v>701</v>
      </c>
      <c r="H279" s="2" t="s">
        <v>711</v>
      </c>
      <c r="I279" s="2" t="s">
        <v>719</v>
      </c>
      <c r="J279" s="2" t="s">
        <v>733</v>
      </c>
      <c r="K279" s="2" t="s">
        <v>1011</v>
      </c>
      <c r="L279" s="2">
        <v>385.08</v>
      </c>
      <c r="M279" s="2">
        <v>893.19</v>
      </c>
      <c r="N279" s="2">
        <v>0.151</v>
      </c>
      <c r="O279" s="2">
        <v>8</v>
      </c>
    </row>
    <row r="280" spans="1:15" x14ac:dyDescent="0.3">
      <c r="A280" s="2" t="s">
        <v>292</v>
      </c>
      <c r="B280" s="3">
        <v>45459</v>
      </c>
      <c r="C280" s="3">
        <v>45476</v>
      </c>
      <c r="D280" s="2" t="s">
        <v>646</v>
      </c>
      <c r="E280" s="2" t="s">
        <v>661</v>
      </c>
      <c r="F280" s="2" t="s">
        <v>682</v>
      </c>
      <c r="G280" s="2" t="s">
        <v>706</v>
      </c>
      <c r="H280" s="2" t="s">
        <v>709</v>
      </c>
      <c r="I280" s="2" t="s">
        <v>721</v>
      </c>
      <c r="J280" s="2" t="s">
        <v>730</v>
      </c>
      <c r="K280" s="2" t="s">
        <v>1012</v>
      </c>
      <c r="L280" s="2">
        <v>1173.83</v>
      </c>
      <c r="M280" s="2">
        <v>2328.9</v>
      </c>
      <c r="N280" s="2">
        <v>0.12</v>
      </c>
      <c r="O280" s="2">
        <v>17</v>
      </c>
    </row>
    <row r="281" spans="1:15" x14ac:dyDescent="0.3">
      <c r="A281" s="2" t="s">
        <v>293</v>
      </c>
      <c r="B281" s="3">
        <v>45229</v>
      </c>
      <c r="C281" s="3">
        <v>45244</v>
      </c>
      <c r="D281" s="2" t="s">
        <v>647</v>
      </c>
      <c r="E281" s="2" t="s">
        <v>654</v>
      </c>
      <c r="F281" s="2" t="s">
        <v>668</v>
      </c>
      <c r="G281" s="2" t="s">
        <v>701</v>
      </c>
      <c r="H281" s="2" t="s">
        <v>708</v>
      </c>
      <c r="I281" s="2" t="s">
        <v>721</v>
      </c>
      <c r="J281" s="2" t="s">
        <v>731</v>
      </c>
      <c r="K281" s="2" t="s">
        <v>1013</v>
      </c>
      <c r="L281" s="2">
        <v>953.46</v>
      </c>
      <c r="M281" s="2">
        <v>2066.75</v>
      </c>
      <c r="N281" s="2">
        <v>0.13800000000000001</v>
      </c>
      <c r="O281" s="2">
        <v>5</v>
      </c>
    </row>
    <row r="282" spans="1:15" x14ac:dyDescent="0.3">
      <c r="A282" s="2" t="s">
        <v>294</v>
      </c>
      <c r="B282" s="3">
        <v>45092</v>
      </c>
      <c r="C282" s="3">
        <v>45100</v>
      </c>
      <c r="D282" s="2" t="s">
        <v>648</v>
      </c>
      <c r="E282" s="2" t="s">
        <v>660</v>
      </c>
      <c r="F282" s="2" t="s">
        <v>686</v>
      </c>
      <c r="G282" s="2" t="s">
        <v>704</v>
      </c>
      <c r="H282" s="2" t="s">
        <v>710</v>
      </c>
      <c r="I282" s="2" t="s">
        <v>719</v>
      </c>
      <c r="J282" s="2" t="s">
        <v>732</v>
      </c>
      <c r="K282" s="2" t="s">
        <v>1014</v>
      </c>
      <c r="L282" s="2">
        <v>1097.0899999999999</v>
      </c>
      <c r="M282" s="2">
        <v>2182.31</v>
      </c>
      <c r="N282" s="2">
        <v>0.112</v>
      </c>
      <c r="O282" s="2">
        <v>9</v>
      </c>
    </row>
    <row r="283" spans="1:15" x14ac:dyDescent="0.3">
      <c r="A283" s="2" t="s">
        <v>295</v>
      </c>
      <c r="B283" s="3">
        <v>45730</v>
      </c>
      <c r="C283" s="3">
        <v>45745</v>
      </c>
      <c r="D283" s="2" t="s">
        <v>647</v>
      </c>
      <c r="E283" s="2" t="s">
        <v>652</v>
      </c>
      <c r="F283" s="2" t="s">
        <v>689</v>
      </c>
      <c r="G283" s="2" t="s">
        <v>703</v>
      </c>
      <c r="H283" s="2" t="s">
        <v>711</v>
      </c>
      <c r="I283" s="2" t="s">
        <v>722</v>
      </c>
      <c r="J283" s="2" t="s">
        <v>729</v>
      </c>
      <c r="K283" s="2" t="s">
        <v>1015</v>
      </c>
      <c r="L283" s="2">
        <v>1106.96</v>
      </c>
      <c r="M283" s="2">
        <v>2726.62</v>
      </c>
      <c r="N283" s="2">
        <v>0.317</v>
      </c>
      <c r="O283" s="2">
        <v>7</v>
      </c>
    </row>
    <row r="284" spans="1:15" x14ac:dyDescent="0.3">
      <c r="A284" s="2" t="s">
        <v>296</v>
      </c>
      <c r="B284" s="3">
        <v>45153</v>
      </c>
      <c r="C284" s="3">
        <v>45163</v>
      </c>
      <c r="D284" s="2" t="s">
        <v>646</v>
      </c>
      <c r="E284" s="2" t="s">
        <v>650</v>
      </c>
      <c r="F284" s="2" t="s">
        <v>664</v>
      </c>
      <c r="G284" s="2" t="s">
        <v>705</v>
      </c>
      <c r="H284" s="2" t="s">
        <v>707</v>
      </c>
      <c r="I284" s="2" t="s">
        <v>725</v>
      </c>
      <c r="J284" s="2" t="s">
        <v>730</v>
      </c>
      <c r="K284" s="2" t="s">
        <v>1016</v>
      </c>
      <c r="L284" s="2">
        <v>91.85</v>
      </c>
      <c r="M284" s="2">
        <v>111.29</v>
      </c>
      <c r="N284" s="2">
        <v>0</v>
      </c>
      <c r="O284" s="2">
        <v>6</v>
      </c>
    </row>
    <row r="285" spans="1:15" x14ac:dyDescent="0.3">
      <c r="A285" s="2" t="s">
        <v>297</v>
      </c>
      <c r="B285" s="3">
        <v>45794</v>
      </c>
      <c r="C285" s="3">
        <v>45805</v>
      </c>
      <c r="D285" s="2" t="s">
        <v>647</v>
      </c>
      <c r="E285" s="2" t="s">
        <v>654</v>
      </c>
      <c r="F285" s="2" t="s">
        <v>668</v>
      </c>
      <c r="G285" s="2" t="s">
        <v>701</v>
      </c>
      <c r="H285" s="2" t="s">
        <v>710</v>
      </c>
      <c r="I285" s="2" t="s">
        <v>717</v>
      </c>
      <c r="J285" s="2" t="s">
        <v>731</v>
      </c>
      <c r="K285" s="2" t="s">
        <v>1017</v>
      </c>
      <c r="L285" s="2">
        <v>623.4</v>
      </c>
      <c r="M285" s="2">
        <v>1100.0899999999999</v>
      </c>
      <c r="N285" s="2">
        <v>0.114</v>
      </c>
      <c r="O285" s="2">
        <v>12</v>
      </c>
    </row>
    <row r="286" spans="1:15" x14ac:dyDescent="0.3">
      <c r="A286" s="2" t="s">
        <v>298</v>
      </c>
      <c r="B286" s="3">
        <v>45304</v>
      </c>
      <c r="C286" s="3">
        <v>45327</v>
      </c>
      <c r="D286" s="2" t="s">
        <v>649</v>
      </c>
      <c r="E286" s="2" t="s">
        <v>656</v>
      </c>
      <c r="F286" s="2" t="s">
        <v>698</v>
      </c>
      <c r="G286" s="2" t="s">
        <v>702</v>
      </c>
      <c r="H286" s="2" t="s">
        <v>711</v>
      </c>
      <c r="I286" s="2" t="s">
        <v>717</v>
      </c>
      <c r="J286" s="2" t="s">
        <v>731</v>
      </c>
      <c r="K286" s="2" t="s">
        <v>1018</v>
      </c>
      <c r="L286" s="2">
        <v>1017.93</v>
      </c>
      <c r="M286" s="2">
        <v>1529.14</v>
      </c>
      <c r="N286" s="2">
        <v>0.155</v>
      </c>
      <c r="O286" s="2">
        <v>12</v>
      </c>
    </row>
    <row r="287" spans="1:15" x14ac:dyDescent="0.3">
      <c r="A287" s="2" t="s">
        <v>299</v>
      </c>
      <c r="B287" s="3">
        <v>45101</v>
      </c>
      <c r="C287" s="3">
        <v>45128</v>
      </c>
      <c r="D287" s="2" t="s">
        <v>647</v>
      </c>
      <c r="E287" s="2" t="s">
        <v>652</v>
      </c>
      <c r="F287" s="2" t="s">
        <v>694</v>
      </c>
      <c r="G287" s="2" t="s">
        <v>704</v>
      </c>
      <c r="H287" s="2" t="s">
        <v>709</v>
      </c>
      <c r="I287" s="2" t="s">
        <v>713</v>
      </c>
      <c r="J287" s="2" t="s">
        <v>730</v>
      </c>
      <c r="K287" s="2" t="s">
        <v>1019</v>
      </c>
      <c r="L287" s="2">
        <v>554.76</v>
      </c>
      <c r="M287" s="2">
        <v>728.69</v>
      </c>
      <c r="N287" s="2">
        <v>0.22</v>
      </c>
      <c r="O287" s="2">
        <v>7</v>
      </c>
    </row>
    <row r="288" spans="1:15" x14ac:dyDescent="0.3">
      <c r="A288" s="2" t="s">
        <v>300</v>
      </c>
      <c r="B288" s="3">
        <v>45751</v>
      </c>
      <c r="C288" s="3">
        <v>45760</v>
      </c>
      <c r="D288" s="2" t="s">
        <v>649</v>
      </c>
      <c r="E288" s="2" t="s">
        <v>656</v>
      </c>
      <c r="F288" s="2" t="s">
        <v>684</v>
      </c>
      <c r="G288" s="2" t="s">
        <v>704</v>
      </c>
      <c r="H288" s="2" t="s">
        <v>709</v>
      </c>
      <c r="I288" s="2" t="s">
        <v>721</v>
      </c>
      <c r="J288" s="2" t="s">
        <v>730</v>
      </c>
      <c r="K288" s="2" t="s">
        <v>1020</v>
      </c>
      <c r="L288" s="2">
        <v>7.02</v>
      </c>
      <c r="M288" s="2">
        <v>6.28</v>
      </c>
      <c r="N288" s="2">
        <v>0.13400000000000001</v>
      </c>
      <c r="O288" s="2">
        <v>14</v>
      </c>
    </row>
    <row r="289" spans="1:15" x14ac:dyDescent="0.3">
      <c r="A289" s="2" t="s">
        <v>301</v>
      </c>
      <c r="B289" s="3">
        <v>45542</v>
      </c>
      <c r="C289" s="3">
        <v>45542</v>
      </c>
      <c r="D289" s="2" t="s">
        <v>647</v>
      </c>
      <c r="E289" s="2" t="s">
        <v>654</v>
      </c>
      <c r="F289" s="2" t="s">
        <v>691</v>
      </c>
      <c r="G289" s="2" t="s">
        <v>702</v>
      </c>
      <c r="H289" s="2" t="s">
        <v>710</v>
      </c>
      <c r="I289" s="2" t="s">
        <v>717</v>
      </c>
      <c r="J289" s="2" t="s">
        <v>729</v>
      </c>
      <c r="K289" s="2" t="s">
        <v>1021</v>
      </c>
      <c r="L289" s="2">
        <v>1066.6500000000001</v>
      </c>
      <c r="M289" s="2">
        <v>2569.77</v>
      </c>
      <c r="N289" s="2">
        <v>0.13400000000000001</v>
      </c>
      <c r="O289" s="2">
        <v>9</v>
      </c>
    </row>
    <row r="290" spans="1:15" x14ac:dyDescent="0.3">
      <c r="A290" s="2" t="s">
        <v>302</v>
      </c>
      <c r="B290" s="3">
        <v>45319</v>
      </c>
      <c r="C290" s="3">
        <v>45321</v>
      </c>
      <c r="D290" s="2" t="s">
        <v>646</v>
      </c>
      <c r="E290" s="2" t="s">
        <v>661</v>
      </c>
      <c r="F290" s="2" t="s">
        <v>695</v>
      </c>
      <c r="G290" s="2" t="s">
        <v>704</v>
      </c>
      <c r="H290" s="2" t="s">
        <v>711</v>
      </c>
      <c r="I290" s="2" t="s">
        <v>721</v>
      </c>
      <c r="J290" s="2" t="s">
        <v>733</v>
      </c>
      <c r="K290" s="2" t="s">
        <v>1022</v>
      </c>
      <c r="L290" s="2">
        <v>798.45</v>
      </c>
      <c r="M290" s="2">
        <v>1592.02</v>
      </c>
      <c r="N290" s="2">
        <v>6.6000000000000003E-2</v>
      </c>
      <c r="O290" s="2">
        <v>18</v>
      </c>
    </row>
    <row r="291" spans="1:15" x14ac:dyDescent="0.3">
      <c r="A291" s="2" t="s">
        <v>303</v>
      </c>
      <c r="B291" s="3">
        <v>45125</v>
      </c>
      <c r="C291" s="3">
        <v>45148</v>
      </c>
      <c r="D291" s="2" t="s">
        <v>646</v>
      </c>
      <c r="E291" s="2" t="s">
        <v>661</v>
      </c>
      <c r="F291" s="2" t="s">
        <v>682</v>
      </c>
      <c r="G291" s="2" t="s">
        <v>705</v>
      </c>
      <c r="H291" s="2" t="s">
        <v>707</v>
      </c>
      <c r="I291" s="2" t="s">
        <v>716</v>
      </c>
      <c r="J291" s="2" t="s">
        <v>727</v>
      </c>
      <c r="K291" s="2" t="s">
        <v>1023</v>
      </c>
      <c r="L291" s="2">
        <v>1271.56</v>
      </c>
      <c r="M291" s="2">
        <v>995.47</v>
      </c>
      <c r="N291" s="2">
        <v>0.192</v>
      </c>
      <c r="O291" s="2">
        <v>13</v>
      </c>
    </row>
    <row r="292" spans="1:15" x14ac:dyDescent="0.3">
      <c r="A292" s="2" t="s">
        <v>304</v>
      </c>
      <c r="B292" s="3">
        <v>45897</v>
      </c>
      <c r="C292" s="3">
        <v>45895</v>
      </c>
      <c r="D292" s="2" t="s">
        <v>646</v>
      </c>
      <c r="E292" s="2" t="s">
        <v>651</v>
      </c>
      <c r="F292" s="2" t="s">
        <v>663</v>
      </c>
      <c r="G292" s="2" t="s">
        <v>705</v>
      </c>
      <c r="H292" s="2" t="s">
        <v>707</v>
      </c>
      <c r="I292" s="2" t="s">
        <v>720</v>
      </c>
      <c r="J292" s="2" t="s">
        <v>733</v>
      </c>
      <c r="K292" s="2" t="s">
        <v>1024</v>
      </c>
      <c r="L292" s="2">
        <v>521.05999999999995</v>
      </c>
      <c r="M292" s="2">
        <v>1240.31</v>
      </c>
      <c r="N292" s="2">
        <v>0.14599999999999999</v>
      </c>
      <c r="O292" s="2">
        <v>18</v>
      </c>
    </row>
    <row r="293" spans="1:15" x14ac:dyDescent="0.3">
      <c r="A293" s="2" t="s">
        <v>305</v>
      </c>
      <c r="B293" s="3">
        <v>45746</v>
      </c>
      <c r="C293" s="3">
        <v>45754</v>
      </c>
      <c r="D293" s="2" t="s">
        <v>648</v>
      </c>
      <c r="E293" s="2" t="s">
        <v>655</v>
      </c>
      <c r="F293" s="2" t="s">
        <v>670</v>
      </c>
      <c r="G293" s="2" t="s">
        <v>703</v>
      </c>
      <c r="H293" s="2" t="s">
        <v>711</v>
      </c>
      <c r="I293" s="2" t="s">
        <v>716</v>
      </c>
      <c r="J293" s="2" t="s">
        <v>728</v>
      </c>
      <c r="K293" s="2" t="s">
        <v>1025</v>
      </c>
      <c r="L293" s="2">
        <v>71.62</v>
      </c>
      <c r="M293" s="2">
        <v>118.37</v>
      </c>
      <c r="N293" s="2">
        <v>0.156</v>
      </c>
      <c r="O293" s="2">
        <v>11</v>
      </c>
    </row>
    <row r="294" spans="1:15" x14ac:dyDescent="0.3">
      <c r="A294" s="2" t="s">
        <v>306</v>
      </c>
      <c r="B294" s="3">
        <v>45220</v>
      </c>
      <c r="C294" s="3">
        <v>45239</v>
      </c>
      <c r="D294" s="2" t="s">
        <v>649</v>
      </c>
      <c r="E294" s="2" t="s">
        <v>658</v>
      </c>
      <c r="F294" s="2" t="s">
        <v>683</v>
      </c>
      <c r="G294" s="2" t="s">
        <v>703</v>
      </c>
      <c r="H294" s="2" t="s">
        <v>711</v>
      </c>
      <c r="I294" s="2" t="s">
        <v>720</v>
      </c>
      <c r="J294" s="2" t="s">
        <v>733</v>
      </c>
      <c r="K294" s="2" t="s">
        <v>1026</v>
      </c>
      <c r="L294" s="2">
        <v>1142.48</v>
      </c>
      <c r="M294" s="2">
        <v>2105.5300000000002</v>
      </c>
      <c r="N294" s="2">
        <v>0.20699999999999999</v>
      </c>
      <c r="O294" s="2">
        <v>14</v>
      </c>
    </row>
    <row r="295" spans="1:15" x14ac:dyDescent="0.3">
      <c r="A295" s="2" t="s">
        <v>307</v>
      </c>
      <c r="B295" s="3">
        <v>45161</v>
      </c>
      <c r="C295" s="3">
        <v>45191</v>
      </c>
      <c r="D295" s="2" t="s">
        <v>649</v>
      </c>
      <c r="E295" s="2" t="s">
        <v>658</v>
      </c>
      <c r="F295" s="2" t="s">
        <v>683</v>
      </c>
      <c r="G295" s="2" t="s">
        <v>704</v>
      </c>
      <c r="H295" s="2" t="s">
        <v>710</v>
      </c>
      <c r="I295" s="2" t="s">
        <v>719</v>
      </c>
      <c r="J295" s="2" t="s">
        <v>733</v>
      </c>
      <c r="K295" s="2" t="s">
        <v>1027</v>
      </c>
      <c r="L295" s="2">
        <v>209.81</v>
      </c>
      <c r="M295" s="2">
        <v>523</v>
      </c>
      <c r="N295" s="2">
        <v>5.8999999999999997E-2</v>
      </c>
      <c r="O295" s="2">
        <v>15</v>
      </c>
    </row>
    <row r="296" spans="1:15" x14ac:dyDescent="0.3">
      <c r="A296" s="2" t="s">
        <v>308</v>
      </c>
      <c r="B296" s="3">
        <v>45758</v>
      </c>
      <c r="C296" s="3">
        <v>45781</v>
      </c>
      <c r="D296" s="2" t="s">
        <v>647</v>
      </c>
      <c r="E296" s="2" t="s">
        <v>652</v>
      </c>
      <c r="F296" s="2" t="s">
        <v>666</v>
      </c>
      <c r="G296" s="2" t="s">
        <v>705</v>
      </c>
      <c r="H296" s="2" t="s">
        <v>708</v>
      </c>
      <c r="I296" s="2" t="s">
        <v>724</v>
      </c>
      <c r="J296" s="2" t="s">
        <v>727</v>
      </c>
      <c r="K296" s="2" t="s">
        <v>1028</v>
      </c>
      <c r="L296" s="2">
        <v>786.2</v>
      </c>
      <c r="M296" s="2">
        <v>1075.3</v>
      </c>
      <c r="N296" s="2">
        <v>0.08</v>
      </c>
      <c r="O296" s="2">
        <v>9</v>
      </c>
    </row>
    <row r="297" spans="1:15" x14ac:dyDescent="0.3">
      <c r="A297" s="2" t="s">
        <v>309</v>
      </c>
      <c r="B297" s="3">
        <v>45809</v>
      </c>
      <c r="C297" s="3">
        <v>45835</v>
      </c>
      <c r="D297" s="2" t="s">
        <v>649</v>
      </c>
      <c r="E297" s="2" t="s">
        <v>656</v>
      </c>
      <c r="F297" s="2" t="s">
        <v>684</v>
      </c>
      <c r="G297" s="2" t="s">
        <v>704</v>
      </c>
      <c r="H297" s="2" t="s">
        <v>710</v>
      </c>
      <c r="I297" s="2" t="s">
        <v>718</v>
      </c>
      <c r="J297" s="2" t="s">
        <v>731</v>
      </c>
      <c r="K297" s="2" t="s">
        <v>1029</v>
      </c>
      <c r="L297" s="2">
        <v>1362.31</v>
      </c>
      <c r="M297" s="2">
        <v>3294.57</v>
      </c>
      <c r="N297" s="2">
        <v>0.113</v>
      </c>
      <c r="O297" s="2">
        <v>7</v>
      </c>
    </row>
    <row r="298" spans="1:15" x14ac:dyDescent="0.3">
      <c r="A298" s="2" t="s">
        <v>310</v>
      </c>
      <c r="B298" s="3">
        <v>45353</v>
      </c>
      <c r="C298" s="3">
        <v>45367</v>
      </c>
      <c r="D298" s="2" t="s">
        <v>648</v>
      </c>
      <c r="E298" s="2" t="s">
        <v>653</v>
      </c>
      <c r="F298" s="2" t="s">
        <v>688</v>
      </c>
      <c r="G298" s="2" t="s">
        <v>703</v>
      </c>
      <c r="H298" s="2" t="s">
        <v>711</v>
      </c>
      <c r="I298" s="2" t="s">
        <v>719</v>
      </c>
      <c r="J298" s="2" t="s">
        <v>728</v>
      </c>
      <c r="K298" s="2" t="s">
        <v>1030</v>
      </c>
      <c r="L298" s="2">
        <v>248.24</v>
      </c>
      <c r="M298" s="2">
        <v>464.05</v>
      </c>
      <c r="N298" s="2">
        <v>0.16900000000000001</v>
      </c>
      <c r="O298" s="2">
        <v>11</v>
      </c>
    </row>
    <row r="299" spans="1:15" x14ac:dyDescent="0.3">
      <c r="A299" s="2" t="s">
        <v>311</v>
      </c>
      <c r="B299" s="3">
        <v>45097</v>
      </c>
      <c r="C299" s="3">
        <v>45115</v>
      </c>
      <c r="D299" s="2" t="s">
        <v>648</v>
      </c>
      <c r="E299" s="2" t="s">
        <v>660</v>
      </c>
      <c r="F299" s="2" t="s">
        <v>697</v>
      </c>
      <c r="G299" s="2" t="s">
        <v>703</v>
      </c>
      <c r="H299" s="2" t="s">
        <v>711</v>
      </c>
      <c r="I299" s="2" t="s">
        <v>721</v>
      </c>
      <c r="J299" s="2" t="s">
        <v>732</v>
      </c>
      <c r="K299" s="2" t="s">
        <v>1031</v>
      </c>
      <c r="L299" s="2">
        <v>337</v>
      </c>
      <c r="M299" s="2">
        <v>511.03</v>
      </c>
      <c r="N299" s="2">
        <v>0.108</v>
      </c>
      <c r="O299" s="2">
        <v>7</v>
      </c>
    </row>
    <row r="300" spans="1:15" x14ac:dyDescent="0.3">
      <c r="A300" s="2" t="s">
        <v>312</v>
      </c>
      <c r="B300" s="3">
        <v>45377</v>
      </c>
      <c r="C300" s="3">
        <v>45387</v>
      </c>
      <c r="D300" s="2" t="s">
        <v>648</v>
      </c>
      <c r="E300" s="2" t="s">
        <v>660</v>
      </c>
      <c r="F300" s="2" t="s">
        <v>697</v>
      </c>
      <c r="G300" s="2" t="s">
        <v>704</v>
      </c>
      <c r="H300" s="2" t="s">
        <v>711</v>
      </c>
      <c r="I300" s="2" t="s">
        <v>713</v>
      </c>
      <c r="J300" s="2" t="s">
        <v>732</v>
      </c>
      <c r="K300" s="2" t="s">
        <v>1032</v>
      </c>
      <c r="L300" s="2">
        <v>5.66</v>
      </c>
      <c r="M300" s="2">
        <v>4.22</v>
      </c>
      <c r="N300" s="2">
        <v>0.11899999999999999</v>
      </c>
      <c r="O300" s="2">
        <v>18</v>
      </c>
    </row>
    <row r="301" spans="1:15" x14ac:dyDescent="0.3">
      <c r="A301" s="2" t="s">
        <v>313</v>
      </c>
      <c r="B301" s="3">
        <v>45679</v>
      </c>
      <c r="C301" s="3">
        <v>45679</v>
      </c>
      <c r="D301" s="2" t="s">
        <v>649</v>
      </c>
      <c r="E301" s="2" t="s">
        <v>657</v>
      </c>
      <c r="F301" s="2" t="s">
        <v>679</v>
      </c>
      <c r="G301" s="2" t="s">
        <v>705</v>
      </c>
      <c r="H301" s="2" t="s">
        <v>708</v>
      </c>
      <c r="I301" s="2" t="s">
        <v>717</v>
      </c>
      <c r="J301" s="2" t="s">
        <v>733</v>
      </c>
      <c r="K301" s="2" t="s">
        <v>1033</v>
      </c>
      <c r="L301" s="2">
        <v>591.72</v>
      </c>
      <c r="M301" s="2">
        <v>577.24</v>
      </c>
      <c r="N301" s="2">
        <v>0</v>
      </c>
      <c r="O301" s="2">
        <v>22</v>
      </c>
    </row>
    <row r="302" spans="1:15" x14ac:dyDescent="0.3">
      <c r="A302" s="2" t="s">
        <v>314</v>
      </c>
      <c r="B302" s="3">
        <v>45787</v>
      </c>
      <c r="C302" s="3">
        <v>45804</v>
      </c>
      <c r="D302" s="2" t="s">
        <v>648</v>
      </c>
      <c r="E302" s="2" t="s">
        <v>653</v>
      </c>
      <c r="F302" s="2" t="s">
        <v>688</v>
      </c>
      <c r="G302" s="2" t="s">
        <v>702</v>
      </c>
      <c r="H302" s="2" t="s">
        <v>711</v>
      </c>
      <c r="I302" s="2" t="s">
        <v>712</v>
      </c>
      <c r="J302" s="2" t="s">
        <v>727</v>
      </c>
      <c r="K302" s="2" t="s">
        <v>1034</v>
      </c>
      <c r="L302" s="2">
        <v>862.89</v>
      </c>
      <c r="M302" s="2">
        <v>1426.03</v>
      </c>
      <c r="N302" s="2">
        <v>5.6000000000000001E-2</v>
      </c>
      <c r="O302" s="2">
        <v>19</v>
      </c>
    </row>
    <row r="303" spans="1:15" x14ac:dyDescent="0.3">
      <c r="A303" s="2" t="s">
        <v>315</v>
      </c>
      <c r="B303" s="3">
        <v>45204</v>
      </c>
      <c r="C303" s="3">
        <v>45230</v>
      </c>
      <c r="D303" s="2" t="s">
        <v>647</v>
      </c>
      <c r="E303" s="2" t="s">
        <v>659</v>
      </c>
      <c r="F303" s="2" t="s">
        <v>685</v>
      </c>
      <c r="G303" s="2" t="s">
        <v>704</v>
      </c>
      <c r="H303" s="2"/>
      <c r="I303" s="2" t="s">
        <v>713</v>
      </c>
      <c r="J303" s="2" t="s">
        <v>728</v>
      </c>
      <c r="K303" s="2" t="s">
        <v>1035</v>
      </c>
      <c r="L303" s="2">
        <v>649.91</v>
      </c>
      <c r="M303" s="2">
        <v>1360.12</v>
      </c>
      <c r="N303" s="2">
        <v>0.19400000000000001</v>
      </c>
      <c r="O303" s="2">
        <v>9</v>
      </c>
    </row>
    <row r="304" spans="1:15" x14ac:dyDescent="0.3">
      <c r="A304" s="2" t="s">
        <v>316</v>
      </c>
      <c r="B304" s="3">
        <v>45125</v>
      </c>
      <c r="C304" s="3">
        <v>45129</v>
      </c>
      <c r="D304" s="2" t="s">
        <v>648</v>
      </c>
      <c r="E304" s="2" t="s">
        <v>655</v>
      </c>
      <c r="F304" s="2" t="s">
        <v>670</v>
      </c>
      <c r="G304" s="2" t="s">
        <v>704</v>
      </c>
      <c r="H304" s="2" t="s">
        <v>711</v>
      </c>
      <c r="I304" s="2" t="s">
        <v>721</v>
      </c>
      <c r="J304" s="2" t="s">
        <v>729</v>
      </c>
      <c r="K304" s="2" t="s">
        <v>1036</v>
      </c>
      <c r="L304" s="2">
        <v>1269.55</v>
      </c>
      <c r="M304" s="2">
        <v>2071.1</v>
      </c>
      <c r="N304" s="2">
        <v>0.129</v>
      </c>
      <c r="O304" s="2">
        <v>22</v>
      </c>
    </row>
    <row r="305" spans="1:15" x14ac:dyDescent="0.3">
      <c r="A305" s="2" t="s">
        <v>317</v>
      </c>
      <c r="B305" s="3">
        <v>45830</v>
      </c>
      <c r="C305" s="3">
        <v>45846</v>
      </c>
      <c r="D305" s="2" t="s">
        <v>649</v>
      </c>
      <c r="E305" s="2" t="s">
        <v>658</v>
      </c>
      <c r="F305" s="2" t="s">
        <v>683</v>
      </c>
      <c r="G305" s="2" t="s">
        <v>702</v>
      </c>
      <c r="H305" s="2" t="s">
        <v>711</v>
      </c>
      <c r="I305" s="2" t="s">
        <v>720</v>
      </c>
      <c r="J305" s="2" t="s">
        <v>730</v>
      </c>
      <c r="K305" s="2" t="s">
        <v>1037</v>
      </c>
      <c r="L305" s="2">
        <v>892.73</v>
      </c>
      <c r="M305" s="2">
        <v>979.84</v>
      </c>
      <c r="N305" s="2">
        <v>0.17399999999999999</v>
      </c>
      <c r="O305" s="2">
        <v>10</v>
      </c>
    </row>
    <row r="306" spans="1:15" x14ac:dyDescent="0.3">
      <c r="A306" s="2" t="s">
        <v>318</v>
      </c>
      <c r="B306" s="3">
        <v>45462</v>
      </c>
      <c r="C306" s="3">
        <v>45463</v>
      </c>
      <c r="D306" s="2" t="s">
        <v>646</v>
      </c>
      <c r="E306" s="2" t="s">
        <v>650</v>
      </c>
      <c r="F306" s="2" t="s">
        <v>662</v>
      </c>
      <c r="G306" s="2" t="s">
        <v>705</v>
      </c>
      <c r="H306" s="2" t="s">
        <v>711</v>
      </c>
      <c r="I306" s="2" t="s">
        <v>713</v>
      </c>
      <c r="J306" s="2" t="s">
        <v>731</v>
      </c>
      <c r="K306" s="2" t="s">
        <v>1038</v>
      </c>
      <c r="L306" s="2">
        <v>231.63</v>
      </c>
      <c r="M306" s="2">
        <v>537.39</v>
      </c>
      <c r="N306" s="2">
        <v>0.08</v>
      </c>
      <c r="O306" s="2">
        <v>12</v>
      </c>
    </row>
    <row r="307" spans="1:15" x14ac:dyDescent="0.3">
      <c r="A307" s="2" t="s">
        <v>319</v>
      </c>
      <c r="B307" s="3">
        <v>45756</v>
      </c>
      <c r="C307" s="3">
        <v>45759</v>
      </c>
      <c r="D307" s="2" t="s">
        <v>649</v>
      </c>
      <c r="E307" s="2" t="s">
        <v>657</v>
      </c>
      <c r="F307" s="2" t="s">
        <v>679</v>
      </c>
      <c r="G307" s="2" t="s">
        <v>705</v>
      </c>
      <c r="H307" s="2" t="s">
        <v>710</v>
      </c>
      <c r="I307" s="2" t="s">
        <v>722</v>
      </c>
      <c r="J307" s="2" t="s">
        <v>732</v>
      </c>
      <c r="K307" s="2" t="s">
        <v>1039</v>
      </c>
      <c r="L307" s="2">
        <v>86.68</v>
      </c>
      <c r="M307" s="2">
        <v>213.32</v>
      </c>
      <c r="N307" s="2">
        <v>3.7999999999999999E-2</v>
      </c>
      <c r="O307" s="2">
        <v>8</v>
      </c>
    </row>
    <row r="308" spans="1:15" x14ac:dyDescent="0.3">
      <c r="A308" s="2" t="s">
        <v>320</v>
      </c>
      <c r="B308" s="3">
        <v>45741</v>
      </c>
      <c r="C308" s="3">
        <v>45742</v>
      </c>
      <c r="D308" s="2" t="s">
        <v>646</v>
      </c>
      <c r="E308" s="2" t="s">
        <v>651</v>
      </c>
      <c r="F308" s="2" t="s">
        <v>665</v>
      </c>
      <c r="G308" s="2" t="s">
        <v>702</v>
      </c>
      <c r="H308" s="2" t="s">
        <v>710</v>
      </c>
      <c r="I308" s="2" t="s">
        <v>715</v>
      </c>
      <c r="J308" s="2" t="s">
        <v>733</v>
      </c>
      <c r="K308" s="2" t="s">
        <v>1040</v>
      </c>
      <c r="L308" s="2">
        <v>1450.43</v>
      </c>
      <c r="M308" s="2">
        <v>1994.67</v>
      </c>
      <c r="N308" s="2">
        <v>0.1</v>
      </c>
      <c r="O308" s="2">
        <v>24</v>
      </c>
    </row>
    <row r="309" spans="1:15" x14ac:dyDescent="0.3">
      <c r="A309" s="2" t="s">
        <v>321</v>
      </c>
      <c r="B309" s="3">
        <v>45795</v>
      </c>
      <c r="C309" s="3">
        <v>45817</v>
      </c>
      <c r="D309" s="2" t="s">
        <v>648</v>
      </c>
      <c r="E309" s="2" t="s">
        <v>660</v>
      </c>
      <c r="F309" s="2" t="s">
        <v>700</v>
      </c>
      <c r="G309" s="2" t="s">
        <v>704</v>
      </c>
      <c r="H309" s="2" t="s">
        <v>707</v>
      </c>
      <c r="I309" s="2" t="s">
        <v>722</v>
      </c>
      <c r="J309" s="2" t="s">
        <v>729</v>
      </c>
      <c r="K309" s="2" t="s">
        <v>1041</v>
      </c>
      <c r="L309" s="2">
        <v>382.96</v>
      </c>
      <c r="M309" s="2">
        <v>552.84</v>
      </c>
      <c r="N309" s="2">
        <v>0.17599999999999999</v>
      </c>
      <c r="O309" s="2">
        <v>8</v>
      </c>
    </row>
    <row r="310" spans="1:15" x14ac:dyDescent="0.3">
      <c r="A310" s="2" t="s">
        <v>322</v>
      </c>
      <c r="B310" s="3">
        <v>45679</v>
      </c>
      <c r="C310" s="3">
        <v>45692</v>
      </c>
      <c r="D310" s="2" t="s">
        <v>647</v>
      </c>
      <c r="E310" s="2" t="s">
        <v>652</v>
      </c>
      <c r="F310" s="2" t="s">
        <v>689</v>
      </c>
      <c r="G310" s="2" t="s">
        <v>705</v>
      </c>
      <c r="H310" s="2" t="s">
        <v>710</v>
      </c>
      <c r="I310" s="2" t="s">
        <v>716</v>
      </c>
      <c r="J310" s="2" t="s">
        <v>728</v>
      </c>
      <c r="K310" s="2" t="s">
        <v>1042</v>
      </c>
      <c r="L310" s="2">
        <v>122.29</v>
      </c>
      <c r="M310" s="2">
        <v>224.95</v>
      </c>
      <c r="N310" s="2">
        <v>0.153</v>
      </c>
      <c r="O310" s="2">
        <v>28</v>
      </c>
    </row>
    <row r="311" spans="1:15" x14ac:dyDescent="0.3">
      <c r="A311" s="2" t="s">
        <v>323</v>
      </c>
      <c r="B311" s="3">
        <v>44936</v>
      </c>
      <c r="C311" s="3">
        <v>44955</v>
      </c>
      <c r="D311" s="2" t="s">
        <v>649</v>
      </c>
      <c r="E311" s="2" t="s">
        <v>657</v>
      </c>
      <c r="F311" s="2" t="s">
        <v>679</v>
      </c>
      <c r="G311" s="2" t="s">
        <v>703</v>
      </c>
      <c r="H311" s="2" t="s">
        <v>711</v>
      </c>
      <c r="I311" s="2" t="s">
        <v>726</v>
      </c>
      <c r="J311" s="2" t="s">
        <v>731</v>
      </c>
      <c r="K311" s="2" t="s">
        <v>1043</v>
      </c>
      <c r="L311" s="2">
        <v>401.66</v>
      </c>
      <c r="M311" s="2">
        <v>772.09</v>
      </c>
      <c r="N311" s="2">
        <v>8.8999999999999996E-2</v>
      </c>
      <c r="O311" s="2">
        <v>14</v>
      </c>
    </row>
    <row r="312" spans="1:15" x14ac:dyDescent="0.3">
      <c r="A312" s="2" t="s">
        <v>324</v>
      </c>
      <c r="B312" s="3">
        <v>45655</v>
      </c>
      <c r="C312" s="3">
        <v>45669</v>
      </c>
      <c r="D312" s="2" t="s">
        <v>649</v>
      </c>
      <c r="E312" s="2" t="s">
        <v>658</v>
      </c>
      <c r="F312" s="2" t="s">
        <v>693</v>
      </c>
      <c r="G312" s="2" t="s">
        <v>701</v>
      </c>
      <c r="H312" s="2" t="s">
        <v>711</v>
      </c>
      <c r="I312" s="2" t="s">
        <v>717</v>
      </c>
      <c r="J312" s="2" t="s">
        <v>732</v>
      </c>
      <c r="K312" s="2" t="s">
        <v>1044</v>
      </c>
      <c r="L312" s="2">
        <v>1399.72</v>
      </c>
      <c r="M312" s="2">
        <v>3149.21</v>
      </c>
      <c r="N312" s="2">
        <v>0.185</v>
      </c>
      <c r="O312" s="2">
        <v>12</v>
      </c>
    </row>
    <row r="313" spans="1:15" x14ac:dyDescent="0.3">
      <c r="A313" s="2" t="s">
        <v>325</v>
      </c>
      <c r="B313" s="3">
        <v>45435</v>
      </c>
      <c r="C313" s="3">
        <v>45449</v>
      </c>
      <c r="D313" s="2" t="s">
        <v>648</v>
      </c>
      <c r="E313" s="2" t="s">
        <v>655</v>
      </c>
      <c r="F313" s="2" t="s">
        <v>692</v>
      </c>
      <c r="G313" s="2" t="s">
        <v>703</v>
      </c>
      <c r="H313" s="2" t="s">
        <v>708</v>
      </c>
      <c r="I313" s="2" t="s">
        <v>714</v>
      </c>
      <c r="J313" s="2" t="s">
        <v>729</v>
      </c>
      <c r="K313" s="2" t="s">
        <v>1045</v>
      </c>
      <c r="L313" s="2">
        <v>51.13</v>
      </c>
      <c r="M313" s="2">
        <v>57.53</v>
      </c>
      <c r="N313" s="2">
        <v>4.4999999999999998E-2</v>
      </c>
      <c r="O313" s="2">
        <v>16</v>
      </c>
    </row>
    <row r="314" spans="1:15" x14ac:dyDescent="0.3">
      <c r="A314" s="2" t="s">
        <v>326</v>
      </c>
      <c r="B314" s="3">
        <v>45101</v>
      </c>
      <c r="C314" s="3">
        <v>45099</v>
      </c>
      <c r="D314" s="2" t="s">
        <v>648</v>
      </c>
      <c r="E314" s="2" t="s">
        <v>653</v>
      </c>
      <c r="F314" s="2" t="s">
        <v>667</v>
      </c>
      <c r="G314" s="2" t="s">
        <v>703</v>
      </c>
      <c r="H314" s="2" t="s">
        <v>707</v>
      </c>
      <c r="I314" s="2" t="s">
        <v>724</v>
      </c>
      <c r="J314" s="2" t="s">
        <v>733</v>
      </c>
      <c r="K314" s="2" t="s">
        <v>1046</v>
      </c>
      <c r="L314" s="2">
        <v>471.42</v>
      </c>
      <c r="M314" s="2">
        <v>824.81</v>
      </c>
      <c r="N314" s="2">
        <v>8.7999999999999995E-2</v>
      </c>
      <c r="O314" s="2">
        <v>15</v>
      </c>
    </row>
    <row r="315" spans="1:15" x14ac:dyDescent="0.3">
      <c r="A315" s="2" t="s">
        <v>327</v>
      </c>
      <c r="B315" s="3">
        <v>45600</v>
      </c>
      <c r="C315" s="3">
        <v>45601</v>
      </c>
      <c r="D315" s="2" t="s">
        <v>649</v>
      </c>
      <c r="E315" s="2" t="s">
        <v>658</v>
      </c>
      <c r="F315" s="2" t="s">
        <v>683</v>
      </c>
      <c r="G315" s="2" t="s">
        <v>701</v>
      </c>
      <c r="H315" s="2" t="s">
        <v>707</v>
      </c>
      <c r="I315" s="2" t="s">
        <v>724</v>
      </c>
      <c r="J315" s="2" t="s">
        <v>728</v>
      </c>
      <c r="K315" s="2" t="s">
        <v>1047</v>
      </c>
      <c r="L315" s="2">
        <v>840.68</v>
      </c>
      <c r="M315" s="2">
        <v>1493.53</v>
      </c>
      <c r="N315" s="2">
        <v>0</v>
      </c>
      <c r="O315" s="2">
        <v>27</v>
      </c>
    </row>
    <row r="316" spans="1:15" x14ac:dyDescent="0.3">
      <c r="A316" s="2" t="s">
        <v>328</v>
      </c>
      <c r="B316" s="3">
        <v>45451</v>
      </c>
      <c r="C316" s="3">
        <v>45467</v>
      </c>
      <c r="D316" s="2" t="s">
        <v>646</v>
      </c>
      <c r="E316" s="2" t="s">
        <v>661</v>
      </c>
      <c r="F316" s="2" t="s">
        <v>687</v>
      </c>
      <c r="G316" s="2" t="s">
        <v>702</v>
      </c>
      <c r="H316" s="2" t="s">
        <v>710</v>
      </c>
      <c r="I316" s="2" t="s">
        <v>722</v>
      </c>
      <c r="J316" s="2" t="s">
        <v>732</v>
      </c>
      <c r="K316" s="2" t="s">
        <v>1048</v>
      </c>
      <c r="L316" s="2">
        <v>597.85</v>
      </c>
      <c r="M316" s="2">
        <v>741.92</v>
      </c>
      <c r="N316" s="2">
        <v>3.1E-2</v>
      </c>
      <c r="O316" s="2">
        <v>7</v>
      </c>
    </row>
    <row r="317" spans="1:15" x14ac:dyDescent="0.3">
      <c r="A317" s="2" t="s">
        <v>329</v>
      </c>
      <c r="B317" s="3">
        <v>45809</v>
      </c>
      <c r="C317" s="3">
        <v>45814</v>
      </c>
      <c r="D317" s="2" t="s">
        <v>649</v>
      </c>
      <c r="E317" s="2" t="s">
        <v>657</v>
      </c>
      <c r="F317" s="2" t="s">
        <v>690</v>
      </c>
      <c r="G317" s="2" t="s">
        <v>704</v>
      </c>
      <c r="H317" s="2" t="s">
        <v>710</v>
      </c>
      <c r="I317" s="2" t="s">
        <v>715</v>
      </c>
      <c r="J317" s="2" t="s">
        <v>727</v>
      </c>
      <c r="K317" s="2" t="s">
        <v>1049</v>
      </c>
      <c r="L317" s="2">
        <v>379.45</v>
      </c>
      <c r="M317" s="2">
        <v>742.23</v>
      </c>
      <c r="N317" s="2">
        <v>0.09</v>
      </c>
      <c r="O317" s="2">
        <v>13</v>
      </c>
    </row>
    <row r="318" spans="1:15" x14ac:dyDescent="0.3">
      <c r="A318" s="2" t="s">
        <v>330</v>
      </c>
      <c r="B318" s="3">
        <v>45052</v>
      </c>
      <c r="C318" s="3">
        <v>45060</v>
      </c>
      <c r="D318" s="2" t="s">
        <v>647</v>
      </c>
      <c r="E318" s="2" t="s">
        <v>652</v>
      </c>
      <c r="F318" s="2" t="s">
        <v>666</v>
      </c>
      <c r="G318" s="2" t="s">
        <v>706</v>
      </c>
      <c r="H318" s="2" t="s">
        <v>709</v>
      </c>
      <c r="I318" s="2" t="s">
        <v>717</v>
      </c>
      <c r="J318" s="2" t="s">
        <v>730</v>
      </c>
      <c r="K318" s="2" t="s">
        <v>1050</v>
      </c>
      <c r="L318" s="2">
        <v>291.18</v>
      </c>
      <c r="M318" s="2">
        <v>479.54</v>
      </c>
      <c r="N318" s="2">
        <v>0.14099999999999999</v>
      </c>
      <c r="O318" s="2">
        <v>22</v>
      </c>
    </row>
    <row r="319" spans="1:15" x14ac:dyDescent="0.3">
      <c r="A319" s="2" t="s">
        <v>331</v>
      </c>
      <c r="B319" s="3">
        <v>45244</v>
      </c>
      <c r="C319" s="3">
        <v>45260</v>
      </c>
      <c r="D319" s="2" t="s">
        <v>648</v>
      </c>
      <c r="E319" s="2" t="s">
        <v>655</v>
      </c>
      <c r="F319" s="2" t="s">
        <v>670</v>
      </c>
      <c r="G319" s="2" t="s">
        <v>706</v>
      </c>
      <c r="H319" s="2" t="s">
        <v>711</v>
      </c>
      <c r="I319" s="2" t="s">
        <v>723</v>
      </c>
      <c r="J319" s="2" t="s">
        <v>729</v>
      </c>
      <c r="K319" s="2" t="s">
        <v>1051</v>
      </c>
      <c r="L319" s="2">
        <v>1017.92</v>
      </c>
      <c r="M319" s="2">
        <v>1175.25</v>
      </c>
      <c r="N319" s="2">
        <v>7.4999999999999997E-2</v>
      </c>
      <c r="O319" s="2">
        <v>15</v>
      </c>
    </row>
    <row r="320" spans="1:15" x14ac:dyDescent="0.3">
      <c r="A320" s="2" t="s">
        <v>332</v>
      </c>
      <c r="B320" s="3">
        <v>45748</v>
      </c>
      <c r="C320" s="3">
        <v>45774</v>
      </c>
      <c r="D320" s="2" t="s">
        <v>648</v>
      </c>
      <c r="E320" s="2" t="s">
        <v>660</v>
      </c>
      <c r="F320" s="2" t="s">
        <v>686</v>
      </c>
      <c r="G320" s="2" t="s">
        <v>701</v>
      </c>
      <c r="H320" s="2" t="s">
        <v>711</v>
      </c>
      <c r="I320" s="2" t="s">
        <v>714</v>
      </c>
      <c r="J320" s="2" t="s">
        <v>732</v>
      </c>
      <c r="K320" s="2" t="s">
        <v>1052</v>
      </c>
      <c r="L320" s="2">
        <v>156.55000000000001</v>
      </c>
      <c r="M320" s="2">
        <v>227.45</v>
      </c>
      <c r="N320" s="2">
        <v>1.4E-2</v>
      </c>
      <c r="O320" s="2">
        <v>13</v>
      </c>
    </row>
    <row r="321" spans="1:15" x14ac:dyDescent="0.3">
      <c r="A321" s="2" t="s">
        <v>333</v>
      </c>
      <c r="B321" s="3">
        <v>45008</v>
      </c>
      <c r="C321" s="3">
        <v>45031</v>
      </c>
      <c r="D321" s="2" t="s">
        <v>646</v>
      </c>
      <c r="E321" s="2" t="s">
        <v>650</v>
      </c>
      <c r="F321" s="2" t="s">
        <v>675</v>
      </c>
      <c r="G321" s="2" t="s">
        <v>705</v>
      </c>
      <c r="H321" s="2" t="s">
        <v>707</v>
      </c>
      <c r="I321" s="2" t="s">
        <v>712</v>
      </c>
      <c r="J321" s="2" t="s">
        <v>733</v>
      </c>
      <c r="K321" s="2" t="s">
        <v>1053</v>
      </c>
      <c r="L321" s="2">
        <v>875.36</v>
      </c>
      <c r="M321" s="2">
        <v>1178.6199999999999</v>
      </c>
      <c r="N321" s="2">
        <v>0.151</v>
      </c>
      <c r="O321" s="2">
        <v>53</v>
      </c>
    </row>
    <row r="322" spans="1:15" x14ac:dyDescent="0.3">
      <c r="A322" s="2" t="s">
        <v>334</v>
      </c>
      <c r="B322" s="3">
        <v>45440</v>
      </c>
      <c r="C322" s="3">
        <v>45461</v>
      </c>
      <c r="D322" s="2" t="s">
        <v>649</v>
      </c>
      <c r="E322" s="2" t="s">
        <v>656</v>
      </c>
      <c r="F322" s="2" t="s">
        <v>698</v>
      </c>
      <c r="G322" s="2" t="s">
        <v>705</v>
      </c>
      <c r="H322" s="2" t="s">
        <v>708</v>
      </c>
      <c r="I322" s="2" t="s">
        <v>718</v>
      </c>
      <c r="J322" s="2" t="s">
        <v>730</v>
      </c>
      <c r="K322" s="2" t="s">
        <v>1054</v>
      </c>
      <c r="L322" s="2">
        <v>986.85</v>
      </c>
      <c r="M322" s="2">
        <v>2422.1</v>
      </c>
      <c r="N322" s="2">
        <v>7.5999999999999998E-2</v>
      </c>
      <c r="O322" s="2">
        <v>10</v>
      </c>
    </row>
    <row r="323" spans="1:15" x14ac:dyDescent="0.3">
      <c r="A323" s="2" t="s">
        <v>335</v>
      </c>
      <c r="B323" s="3">
        <v>45293</v>
      </c>
      <c r="C323" s="3">
        <v>45292</v>
      </c>
      <c r="D323" s="2" t="s">
        <v>648</v>
      </c>
      <c r="E323" s="2" t="s">
        <v>660</v>
      </c>
      <c r="F323" s="2" t="s">
        <v>677</v>
      </c>
      <c r="G323" s="2" t="s">
        <v>702</v>
      </c>
      <c r="H323" s="2" t="s">
        <v>709</v>
      </c>
      <c r="I323" s="2" t="s">
        <v>717</v>
      </c>
      <c r="J323" s="2" t="s">
        <v>729</v>
      </c>
      <c r="K323" s="2" t="s">
        <v>1055</v>
      </c>
      <c r="L323" s="2">
        <v>404.77</v>
      </c>
      <c r="M323" s="2">
        <v>433.88</v>
      </c>
      <c r="N323" s="2">
        <v>0.215</v>
      </c>
      <c r="O323" s="2">
        <v>22</v>
      </c>
    </row>
    <row r="324" spans="1:15" x14ac:dyDescent="0.3">
      <c r="A324" s="2" t="s">
        <v>336</v>
      </c>
      <c r="B324" s="3">
        <v>44985</v>
      </c>
      <c r="C324" s="3">
        <v>44984</v>
      </c>
      <c r="D324" s="2" t="s">
        <v>649</v>
      </c>
      <c r="E324" s="2" t="s">
        <v>657</v>
      </c>
      <c r="F324" s="2" t="s">
        <v>673</v>
      </c>
      <c r="G324" s="2" t="s">
        <v>701</v>
      </c>
      <c r="H324" s="2" t="s">
        <v>707</v>
      </c>
      <c r="I324" s="2" t="s">
        <v>723</v>
      </c>
      <c r="J324" s="2" t="s">
        <v>729</v>
      </c>
      <c r="K324" s="2" t="s">
        <v>1056</v>
      </c>
      <c r="L324" s="2">
        <v>1299.81</v>
      </c>
      <c r="M324" s="2">
        <v>3149.13</v>
      </c>
      <c r="N324" s="2">
        <v>0.10299999999999999</v>
      </c>
      <c r="O324" s="2">
        <v>14</v>
      </c>
    </row>
    <row r="325" spans="1:15" x14ac:dyDescent="0.3">
      <c r="A325" s="2" t="s">
        <v>337</v>
      </c>
      <c r="B325" s="3">
        <v>45340</v>
      </c>
      <c r="C325" s="3">
        <v>45362</v>
      </c>
      <c r="D325" s="2" t="s">
        <v>648</v>
      </c>
      <c r="E325" s="2" t="s">
        <v>655</v>
      </c>
      <c r="F325" s="2" t="s">
        <v>670</v>
      </c>
      <c r="G325" s="2" t="s">
        <v>704</v>
      </c>
      <c r="H325" s="2" t="s">
        <v>708</v>
      </c>
      <c r="I325" s="2" t="s">
        <v>720</v>
      </c>
      <c r="J325" s="2" t="s">
        <v>727</v>
      </c>
      <c r="K325" s="2" t="s">
        <v>1057</v>
      </c>
      <c r="L325" s="2">
        <v>80.48</v>
      </c>
      <c r="M325" s="2">
        <v>65.650000000000006</v>
      </c>
      <c r="N325" s="2">
        <v>0.17599999999999999</v>
      </c>
      <c r="O325" s="2">
        <v>13</v>
      </c>
    </row>
    <row r="326" spans="1:15" x14ac:dyDescent="0.3">
      <c r="A326" s="2" t="s">
        <v>338</v>
      </c>
      <c r="B326" s="3">
        <v>45544</v>
      </c>
      <c r="C326" s="3">
        <v>45573</v>
      </c>
      <c r="D326" s="2" t="s">
        <v>648</v>
      </c>
      <c r="E326" s="2" t="s">
        <v>655</v>
      </c>
      <c r="F326" s="2" t="s">
        <v>670</v>
      </c>
      <c r="G326" s="2" t="s">
        <v>702</v>
      </c>
      <c r="H326" s="2" t="s">
        <v>711</v>
      </c>
      <c r="I326" s="2" t="s">
        <v>713</v>
      </c>
      <c r="J326" s="2" t="s">
        <v>727</v>
      </c>
      <c r="K326" s="2" t="s">
        <v>1058</v>
      </c>
      <c r="L326" s="2">
        <v>1010.33</v>
      </c>
      <c r="M326" s="2">
        <v>2492.14</v>
      </c>
      <c r="N326" s="2">
        <v>5.0999999999999997E-2</v>
      </c>
      <c r="O326" s="2">
        <v>11</v>
      </c>
    </row>
    <row r="327" spans="1:15" x14ac:dyDescent="0.3">
      <c r="A327" s="2" t="s">
        <v>339</v>
      </c>
      <c r="B327" s="3">
        <v>45053</v>
      </c>
      <c r="C327" s="3">
        <v>45075</v>
      </c>
      <c r="D327" s="2" t="s">
        <v>646</v>
      </c>
      <c r="E327" s="2" t="s">
        <v>661</v>
      </c>
      <c r="F327" s="2" t="s">
        <v>687</v>
      </c>
      <c r="G327" s="2" t="s">
        <v>702</v>
      </c>
      <c r="H327" s="2" t="s">
        <v>710</v>
      </c>
      <c r="I327" s="2" t="s">
        <v>723</v>
      </c>
      <c r="J327" s="2" t="s">
        <v>733</v>
      </c>
      <c r="K327" s="2" t="s">
        <v>1059</v>
      </c>
      <c r="L327" s="2">
        <v>653.86</v>
      </c>
      <c r="M327" s="2">
        <v>931.84</v>
      </c>
      <c r="N327" s="2">
        <v>0.121</v>
      </c>
      <c r="O327" s="2">
        <v>12</v>
      </c>
    </row>
    <row r="328" spans="1:15" x14ac:dyDescent="0.3">
      <c r="A328" s="2" t="s">
        <v>340</v>
      </c>
      <c r="B328" s="3">
        <v>45303</v>
      </c>
      <c r="C328" s="3">
        <v>45320</v>
      </c>
      <c r="D328" s="2" t="s">
        <v>647</v>
      </c>
      <c r="E328" s="2" t="s">
        <v>654</v>
      </c>
      <c r="F328" s="2" t="s">
        <v>696</v>
      </c>
      <c r="G328" s="2" t="s">
        <v>705</v>
      </c>
      <c r="H328" s="2" t="s">
        <v>711</v>
      </c>
      <c r="I328" s="2" t="s">
        <v>717</v>
      </c>
      <c r="J328" s="2" t="s">
        <v>727</v>
      </c>
      <c r="K328" s="2" t="s">
        <v>1060</v>
      </c>
      <c r="L328" s="2">
        <v>310.02</v>
      </c>
      <c r="M328" s="2">
        <v>619.51</v>
      </c>
      <c r="N328" s="2">
        <v>4.2000000000000003E-2</v>
      </c>
      <c r="O328" s="2">
        <v>4</v>
      </c>
    </row>
    <row r="329" spans="1:15" x14ac:dyDescent="0.3">
      <c r="A329" s="2" t="s">
        <v>341</v>
      </c>
      <c r="B329" s="3">
        <v>45087</v>
      </c>
      <c r="C329" s="3">
        <v>45095</v>
      </c>
      <c r="D329" s="2" t="s">
        <v>646</v>
      </c>
      <c r="E329" s="2" t="s">
        <v>650</v>
      </c>
      <c r="F329" s="2" t="s">
        <v>678</v>
      </c>
      <c r="G329" s="2" t="s">
        <v>706</v>
      </c>
      <c r="H329" s="2" t="s">
        <v>711</v>
      </c>
      <c r="I329" s="2" t="s">
        <v>722</v>
      </c>
      <c r="J329" s="2" t="s">
        <v>730</v>
      </c>
      <c r="K329" s="2" t="s">
        <v>1061</v>
      </c>
      <c r="L329" s="2">
        <v>894.23</v>
      </c>
      <c r="M329" s="2">
        <v>1421.55</v>
      </c>
      <c r="N329" s="2">
        <v>0.109</v>
      </c>
      <c r="O329" s="2">
        <v>3</v>
      </c>
    </row>
    <row r="330" spans="1:15" x14ac:dyDescent="0.3">
      <c r="A330" s="2" t="s">
        <v>342</v>
      </c>
      <c r="B330" s="3">
        <v>45796</v>
      </c>
      <c r="C330" s="3">
        <v>45794</v>
      </c>
      <c r="D330" s="2" t="s">
        <v>648</v>
      </c>
      <c r="E330" s="2" t="s">
        <v>655</v>
      </c>
      <c r="F330" s="2" t="s">
        <v>670</v>
      </c>
      <c r="G330" s="2" t="s">
        <v>705</v>
      </c>
      <c r="H330" s="2" t="s">
        <v>710</v>
      </c>
      <c r="I330" s="2" t="s">
        <v>716</v>
      </c>
      <c r="J330" s="2" t="s">
        <v>732</v>
      </c>
      <c r="K330" s="2" t="s">
        <v>1062</v>
      </c>
      <c r="L330" s="2">
        <v>383.77</v>
      </c>
      <c r="M330" s="2">
        <v>952.56</v>
      </c>
      <c r="N330" s="2">
        <v>0.34599999999999997</v>
      </c>
      <c r="O330" s="2">
        <v>10</v>
      </c>
    </row>
    <row r="331" spans="1:15" x14ac:dyDescent="0.3">
      <c r="A331" s="2" t="s">
        <v>343</v>
      </c>
      <c r="B331" s="3">
        <v>45221</v>
      </c>
      <c r="C331" s="3">
        <v>45246</v>
      </c>
      <c r="D331" s="2" t="s">
        <v>648</v>
      </c>
      <c r="E331" s="2" t="s">
        <v>653</v>
      </c>
      <c r="F331" s="2" t="s">
        <v>667</v>
      </c>
      <c r="G331" s="2" t="s">
        <v>705</v>
      </c>
      <c r="H331" s="2" t="s">
        <v>709</v>
      </c>
      <c r="I331" s="2" t="s">
        <v>714</v>
      </c>
      <c r="J331" s="2" t="s">
        <v>731</v>
      </c>
      <c r="K331" s="2" t="s">
        <v>1063</v>
      </c>
      <c r="L331" s="2">
        <v>1373.31</v>
      </c>
      <c r="M331" s="2">
        <v>3154.14</v>
      </c>
      <c r="N331" s="2">
        <v>0.2</v>
      </c>
      <c r="O331" s="2">
        <v>11</v>
      </c>
    </row>
    <row r="332" spans="1:15" x14ac:dyDescent="0.3">
      <c r="A332" s="2" t="s">
        <v>344</v>
      </c>
      <c r="B332" s="3">
        <v>45668</v>
      </c>
      <c r="C332" s="3">
        <v>45680</v>
      </c>
      <c r="D332" s="2" t="s">
        <v>648</v>
      </c>
      <c r="E332" s="2" t="s">
        <v>660</v>
      </c>
      <c r="F332" s="2" t="s">
        <v>697</v>
      </c>
      <c r="G332" s="2" t="s">
        <v>704</v>
      </c>
      <c r="H332" s="2" t="s">
        <v>710</v>
      </c>
      <c r="I332" s="2" t="s">
        <v>722</v>
      </c>
      <c r="J332" s="2" t="s">
        <v>730</v>
      </c>
      <c r="K332" s="2" t="s">
        <v>1064</v>
      </c>
      <c r="L332" s="2">
        <v>100.69</v>
      </c>
      <c r="M332" s="2">
        <v>226.14</v>
      </c>
      <c r="N332" s="2">
        <v>6.5000000000000002E-2</v>
      </c>
      <c r="O332" s="2">
        <v>12</v>
      </c>
    </row>
    <row r="333" spans="1:15" x14ac:dyDescent="0.3">
      <c r="A333" s="2" t="s">
        <v>345</v>
      </c>
      <c r="B333" s="3">
        <v>45914</v>
      </c>
      <c r="C333" s="3">
        <v>45926</v>
      </c>
      <c r="D333" s="2" t="s">
        <v>649</v>
      </c>
      <c r="E333" s="2" t="s">
        <v>658</v>
      </c>
      <c r="F333" s="2" t="s">
        <v>683</v>
      </c>
      <c r="G333" s="2" t="s">
        <v>705</v>
      </c>
      <c r="H333" s="2" t="s">
        <v>711</v>
      </c>
      <c r="I333" s="2" t="s">
        <v>725</v>
      </c>
      <c r="J333" s="2" t="s">
        <v>729</v>
      </c>
      <c r="K333" s="2" t="s">
        <v>1065</v>
      </c>
      <c r="L333" s="2">
        <v>425.15</v>
      </c>
      <c r="M333" s="2">
        <v>885.92</v>
      </c>
      <c r="N333" s="2">
        <v>0.23899999999999999</v>
      </c>
      <c r="O333" s="2">
        <v>13</v>
      </c>
    </row>
    <row r="334" spans="1:15" x14ac:dyDescent="0.3">
      <c r="A334" s="2" t="s">
        <v>346</v>
      </c>
      <c r="B334" s="3">
        <v>45168</v>
      </c>
      <c r="C334" s="3">
        <v>45172</v>
      </c>
      <c r="D334" s="2" t="s">
        <v>647</v>
      </c>
      <c r="E334" s="2" t="s">
        <v>654</v>
      </c>
      <c r="F334" s="2" t="s">
        <v>680</v>
      </c>
      <c r="G334" s="2" t="s">
        <v>705</v>
      </c>
      <c r="H334" s="2" t="s">
        <v>709</v>
      </c>
      <c r="I334" s="2" t="s">
        <v>716</v>
      </c>
      <c r="J334" s="2" t="s">
        <v>733</v>
      </c>
      <c r="K334" s="2" t="s">
        <v>1066</v>
      </c>
      <c r="L334" s="2">
        <v>1082.25</v>
      </c>
      <c r="M334" s="2">
        <v>2433.34</v>
      </c>
      <c r="N334" s="2">
        <v>0.27</v>
      </c>
      <c r="O334" s="2">
        <v>4</v>
      </c>
    </row>
    <row r="335" spans="1:15" x14ac:dyDescent="0.3">
      <c r="A335" s="2" t="s">
        <v>347</v>
      </c>
      <c r="B335" s="3">
        <v>45245</v>
      </c>
      <c r="C335" s="3">
        <v>45266</v>
      </c>
      <c r="D335" s="2" t="s">
        <v>649</v>
      </c>
      <c r="E335" s="2" t="s">
        <v>658</v>
      </c>
      <c r="F335" s="2" t="s">
        <v>693</v>
      </c>
      <c r="G335" s="2" t="s">
        <v>702</v>
      </c>
      <c r="H335" s="2" t="s">
        <v>711</v>
      </c>
      <c r="I335" s="2" t="s">
        <v>722</v>
      </c>
      <c r="J335" s="2" t="s">
        <v>733</v>
      </c>
      <c r="K335" s="2" t="s">
        <v>1067</v>
      </c>
      <c r="L335" s="2">
        <v>1184.99</v>
      </c>
      <c r="M335" s="2">
        <v>1154.3399999999999</v>
      </c>
      <c r="N335" s="2">
        <v>2.8000000000000001E-2</v>
      </c>
      <c r="O335" s="2">
        <v>5</v>
      </c>
    </row>
    <row r="336" spans="1:15" x14ac:dyDescent="0.3">
      <c r="A336" s="2" t="s">
        <v>348</v>
      </c>
      <c r="B336" s="3">
        <v>45774</v>
      </c>
      <c r="C336" s="3">
        <v>45804</v>
      </c>
      <c r="D336" s="2" t="s">
        <v>647</v>
      </c>
      <c r="E336" s="2" t="s">
        <v>654</v>
      </c>
      <c r="F336" s="2"/>
      <c r="G336" s="2" t="s">
        <v>706</v>
      </c>
      <c r="H336" s="2" t="s">
        <v>709</v>
      </c>
      <c r="I336" s="2" t="s">
        <v>722</v>
      </c>
      <c r="J336" s="2" t="s">
        <v>730</v>
      </c>
      <c r="K336" s="2" t="s">
        <v>1068</v>
      </c>
      <c r="L336" s="2">
        <v>481.32</v>
      </c>
      <c r="M336" s="2">
        <v>1135.99</v>
      </c>
      <c r="N336" s="2">
        <v>0.14499999999999999</v>
      </c>
      <c r="O336" s="2">
        <v>5</v>
      </c>
    </row>
    <row r="337" spans="1:15" x14ac:dyDescent="0.3">
      <c r="A337" s="2" t="s">
        <v>349</v>
      </c>
      <c r="B337" s="3">
        <v>45391</v>
      </c>
      <c r="C337" s="3">
        <v>45400</v>
      </c>
      <c r="D337" s="2" t="s">
        <v>649</v>
      </c>
      <c r="E337" s="2" t="s">
        <v>657</v>
      </c>
      <c r="F337" s="2" t="s">
        <v>679</v>
      </c>
      <c r="G337" s="2" t="s">
        <v>704</v>
      </c>
      <c r="H337" s="2" t="s">
        <v>708</v>
      </c>
      <c r="I337" s="2" t="s">
        <v>718</v>
      </c>
      <c r="J337" s="2" t="s">
        <v>728</v>
      </c>
      <c r="K337" s="2" t="s">
        <v>1069</v>
      </c>
      <c r="L337" s="2">
        <v>1288.8499999999999</v>
      </c>
      <c r="M337" s="2">
        <v>2751.84</v>
      </c>
      <c r="N337" s="2">
        <v>0.158</v>
      </c>
      <c r="O337" s="2">
        <v>7</v>
      </c>
    </row>
    <row r="338" spans="1:15" x14ac:dyDescent="0.3">
      <c r="A338" s="2" t="s">
        <v>350</v>
      </c>
      <c r="B338" s="3">
        <v>45484</v>
      </c>
      <c r="C338" s="3">
        <v>45504</v>
      </c>
      <c r="D338" s="2" t="s">
        <v>647</v>
      </c>
      <c r="E338" s="2" t="s">
        <v>659</v>
      </c>
      <c r="F338" s="2" t="s">
        <v>676</v>
      </c>
      <c r="G338" s="2" t="s">
        <v>704</v>
      </c>
      <c r="H338" s="2" t="s">
        <v>708</v>
      </c>
      <c r="I338" s="2" t="s">
        <v>715</v>
      </c>
      <c r="J338" s="2" t="s">
        <v>730</v>
      </c>
      <c r="K338" s="2" t="s">
        <v>1070</v>
      </c>
      <c r="L338" s="2">
        <v>647.26</v>
      </c>
      <c r="M338" s="2">
        <v>1374.72</v>
      </c>
      <c r="N338" s="2">
        <v>6.6000000000000003E-2</v>
      </c>
      <c r="O338" s="2">
        <v>22</v>
      </c>
    </row>
    <row r="339" spans="1:15" x14ac:dyDescent="0.3">
      <c r="A339" s="2" t="s">
        <v>351</v>
      </c>
      <c r="B339" s="3">
        <v>45340</v>
      </c>
      <c r="C339" s="3">
        <v>45354</v>
      </c>
      <c r="D339" s="2" t="s">
        <v>648</v>
      </c>
      <c r="E339" s="2" t="s">
        <v>655</v>
      </c>
      <c r="F339" s="2"/>
      <c r="G339" s="2" t="s">
        <v>706</v>
      </c>
      <c r="H339" s="2" t="s">
        <v>710</v>
      </c>
      <c r="I339" s="2" t="s">
        <v>720</v>
      </c>
      <c r="J339" s="2" t="s">
        <v>728</v>
      </c>
      <c r="K339" s="2" t="s">
        <v>1071</v>
      </c>
      <c r="L339" s="2">
        <v>624.23</v>
      </c>
      <c r="M339" s="2">
        <v>1318.37</v>
      </c>
      <c r="N339" s="2">
        <v>0.21</v>
      </c>
      <c r="O339" s="2">
        <v>37</v>
      </c>
    </row>
    <row r="340" spans="1:15" x14ac:dyDescent="0.3">
      <c r="A340" s="2" t="s">
        <v>352</v>
      </c>
      <c r="B340" s="3">
        <v>45132</v>
      </c>
      <c r="C340" s="3">
        <v>45148</v>
      </c>
      <c r="D340" s="2" t="s">
        <v>646</v>
      </c>
      <c r="E340" s="2" t="s">
        <v>651</v>
      </c>
      <c r="F340" s="2" t="s">
        <v>663</v>
      </c>
      <c r="G340" s="2" t="s">
        <v>701</v>
      </c>
      <c r="H340" s="2" t="s">
        <v>710</v>
      </c>
      <c r="I340" s="2" t="s">
        <v>714</v>
      </c>
      <c r="J340" s="2" t="s">
        <v>733</v>
      </c>
      <c r="K340" s="2" t="s">
        <v>1072</v>
      </c>
      <c r="L340" s="2">
        <v>506.83</v>
      </c>
      <c r="M340" s="2">
        <v>441.74</v>
      </c>
      <c r="N340" s="2">
        <v>0.24</v>
      </c>
      <c r="O340" s="2">
        <v>9</v>
      </c>
    </row>
    <row r="341" spans="1:15" x14ac:dyDescent="0.3">
      <c r="A341" s="2" t="s">
        <v>353</v>
      </c>
      <c r="B341" s="3">
        <v>45121</v>
      </c>
      <c r="C341" s="3">
        <v>45128</v>
      </c>
      <c r="D341" s="2" t="s">
        <v>646</v>
      </c>
      <c r="E341" s="2" t="s">
        <v>661</v>
      </c>
      <c r="F341" s="2" t="s">
        <v>687</v>
      </c>
      <c r="G341" s="2" t="s">
        <v>706</v>
      </c>
      <c r="H341" s="2" t="s">
        <v>709</v>
      </c>
      <c r="I341" s="2"/>
      <c r="J341" s="2" t="s">
        <v>732</v>
      </c>
      <c r="K341" s="2" t="s">
        <v>1073</v>
      </c>
      <c r="L341" s="2">
        <v>620.74</v>
      </c>
      <c r="M341" s="2">
        <v>1330.07</v>
      </c>
      <c r="N341" s="2">
        <v>0.29899999999999999</v>
      </c>
      <c r="O341" s="2">
        <v>28</v>
      </c>
    </row>
    <row r="342" spans="1:15" x14ac:dyDescent="0.3">
      <c r="A342" s="2" t="s">
        <v>354</v>
      </c>
      <c r="B342" s="3">
        <v>45131</v>
      </c>
      <c r="C342" s="3">
        <v>45157</v>
      </c>
      <c r="D342" s="2" t="s">
        <v>646</v>
      </c>
      <c r="E342" s="2" t="s">
        <v>650</v>
      </c>
      <c r="F342" s="2" t="s">
        <v>664</v>
      </c>
      <c r="G342" s="2" t="s">
        <v>706</v>
      </c>
      <c r="H342" s="2" t="s">
        <v>710</v>
      </c>
      <c r="I342" s="2" t="s">
        <v>724</v>
      </c>
      <c r="J342" s="2" t="s">
        <v>733</v>
      </c>
      <c r="K342" s="2" t="s">
        <v>1074</v>
      </c>
      <c r="L342" s="2">
        <v>661.45</v>
      </c>
      <c r="M342" s="2">
        <v>1634.86</v>
      </c>
      <c r="N342" s="2">
        <v>0.56499999999999995</v>
      </c>
      <c r="O342" s="2">
        <v>24</v>
      </c>
    </row>
    <row r="343" spans="1:15" x14ac:dyDescent="0.3">
      <c r="A343" s="2" t="s">
        <v>355</v>
      </c>
      <c r="B343" s="3">
        <v>45029</v>
      </c>
      <c r="C343" s="3">
        <v>45027</v>
      </c>
      <c r="D343" s="2" t="s">
        <v>648</v>
      </c>
      <c r="E343" s="2" t="s">
        <v>660</v>
      </c>
      <c r="F343" s="2" t="s">
        <v>686</v>
      </c>
      <c r="G343" s="2" t="s">
        <v>702</v>
      </c>
      <c r="H343" s="2" t="s">
        <v>709</v>
      </c>
      <c r="I343" s="2" t="s">
        <v>715</v>
      </c>
      <c r="J343" s="2" t="s">
        <v>729</v>
      </c>
      <c r="K343" s="2" t="s">
        <v>1075</v>
      </c>
      <c r="L343" s="2">
        <v>32.1</v>
      </c>
      <c r="M343" s="2">
        <v>70.599999999999994</v>
      </c>
      <c r="N343" s="2">
        <v>0.28199999999999997</v>
      </c>
      <c r="O343" s="2">
        <v>22</v>
      </c>
    </row>
    <row r="344" spans="1:15" x14ac:dyDescent="0.3">
      <c r="A344" s="2" t="s">
        <v>356</v>
      </c>
      <c r="B344" s="3">
        <v>45594</v>
      </c>
      <c r="C344" s="3">
        <v>45600</v>
      </c>
      <c r="D344" s="2" t="s">
        <v>646</v>
      </c>
      <c r="E344" s="2" t="s">
        <v>650</v>
      </c>
      <c r="F344" s="2" t="s">
        <v>664</v>
      </c>
      <c r="G344" s="2" t="s">
        <v>701</v>
      </c>
      <c r="H344" s="2" t="s">
        <v>710</v>
      </c>
      <c r="I344" s="2" t="s">
        <v>724</v>
      </c>
      <c r="J344" s="2" t="s">
        <v>728</v>
      </c>
      <c r="K344" s="2" t="s">
        <v>1076</v>
      </c>
      <c r="L344" s="2">
        <v>805.81</v>
      </c>
      <c r="M344" s="2">
        <v>1823.04</v>
      </c>
      <c r="N344" s="2">
        <v>0</v>
      </c>
      <c r="O344" s="2">
        <v>11</v>
      </c>
    </row>
    <row r="345" spans="1:15" x14ac:dyDescent="0.3">
      <c r="A345" s="2" t="s">
        <v>357</v>
      </c>
      <c r="B345" s="3">
        <v>45339</v>
      </c>
      <c r="C345" s="3">
        <v>45355</v>
      </c>
      <c r="D345" s="2" t="s">
        <v>647</v>
      </c>
      <c r="E345" s="2" t="s">
        <v>654</v>
      </c>
      <c r="F345" s="2" t="s">
        <v>680</v>
      </c>
      <c r="G345" s="2" t="s">
        <v>705</v>
      </c>
      <c r="H345" s="2" t="s">
        <v>709</v>
      </c>
      <c r="I345" s="2" t="s">
        <v>721</v>
      </c>
      <c r="J345" s="2" t="s">
        <v>730</v>
      </c>
      <c r="K345" s="2" t="s">
        <v>1077</v>
      </c>
      <c r="L345" s="2">
        <v>1231.8</v>
      </c>
      <c r="M345" s="2">
        <v>2015.99</v>
      </c>
      <c r="N345" s="2">
        <v>0.26100000000000001</v>
      </c>
      <c r="O345" s="2">
        <v>6</v>
      </c>
    </row>
    <row r="346" spans="1:15" x14ac:dyDescent="0.3">
      <c r="A346" s="2" t="s">
        <v>358</v>
      </c>
      <c r="B346" s="3">
        <v>45486</v>
      </c>
      <c r="C346" s="3">
        <v>45485</v>
      </c>
      <c r="D346" s="2" t="s">
        <v>647</v>
      </c>
      <c r="E346" s="2" t="s">
        <v>652</v>
      </c>
      <c r="F346" s="2" t="s">
        <v>694</v>
      </c>
      <c r="G346" s="2" t="s">
        <v>705</v>
      </c>
      <c r="H346" s="2" t="s">
        <v>709</v>
      </c>
      <c r="I346" s="2" t="s">
        <v>721</v>
      </c>
      <c r="J346" s="2" t="s">
        <v>729</v>
      </c>
      <c r="K346" s="2" t="s">
        <v>1078</v>
      </c>
      <c r="L346" s="2">
        <v>105.13</v>
      </c>
      <c r="M346" s="2">
        <v>244.13</v>
      </c>
      <c r="N346" s="2">
        <v>7.0999999999999994E-2</v>
      </c>
      <c r="O346" s="2">
        <v>14</v>
      </c>
    </row>
    <row r="347" spans="1:15" x14ac:dyDescent="0.3">
      <c r="A347" s="2" t="s">
        <v>359</v>
      </c>
      <c r="B347" s="3">
        <v>45261</v>
      </c>
      <c r="C347" s="3">
        <v>45278</v>
      </c>
      <c r="D347" s="2" t="s">
        <v>647</v>
      </c>
      <c r="E347" s="2" t="s">
        <v>652</v>
      </c>
      <c r="F347" s="2" t="s">
        <v>694</v>
      </c>
      <c r="G347" s="2" t="s">
        <v>705</v>
      </c>
      <c r="H347" s="2" t="s">
        <v>711</v>
      </c>
      <c r="I347" s="2" t="s">
        <v>725</v>
      </c>
      <c r="J347" s="2" t="s">
        <v>731</v>
      </c>
      <c r="K347" s="2" t="s">
        <v>1079</v>
      </c>
      <c r="L347" s="2">
        <v>1495.79</v>
      </c>
      <c r="M347" s="2">
        <v>2783.12</v>
      </c>
      <c r="N347" s="2">
        <v>0.02</v>
      </c>
      <c r="O347" s="2">
        <v>5</v>
      </c>
    </row>
    <row r="348" spans="1:15" x14ac:dyDescent="0.3">
      <c r="A348" s="2" t="s">
        <v>360</v>
      </c>
      <c r="B348" s="3">
        <v>45498</v>
      </c>
      <c r="C348" s="3">
        <v>45506</v>
      </c>
      <c r="D348" s="2" t="s">
        <v>648</v>
      </c>
      <c r="E348" s="2" t="s">
        <v>653</v>
      </c>
      <c r="F348" s="2" t="s">
        <v>681</v>
      </c>
      <c r="G348" s="2" t="s">
        <v>704</v>
      </c>
      <c r="H348" s="2" t="s">
        <v>711</v>
      </c>
      <c r="I348" s="2" t="s">
        <v>713</v>
      </c>
      <c r="J348" s="2" t="s">
        <v>733</v>
      </c>
      <c r="K348" s="2" t="s">
        <v>1080</v>
      </c>
      <c r="L348" s="2">
        <v>986.81</v>
      </c>
      <c r="M348" s="2">
        <v>2050.31</v>
      </c>
      <c r="N348" s="2">
        <v>0.10299999999999999</v>
      </c>
      <c r="O348" s="2">
        <v>43</v>
      </c>
    </row>
    <row r="349" spans="1:15" x14ac:dyDescent="0.3">
      <c r="A349" s="2" t="s">
        <v>361</v>
      </c>
      <c r="B349" s="3">
        <v>45050</v>
      </c>
      <c r="C349" s="3">
        <v>45062</v>
      </c>
      <c r="D349" s="2" t="s">
        <v>646</v>
      </c>
      <c r="E349" s="2" t="s">
        <v>651</v>
      </c>
      <c r="F349" s="2" t="s">
        <v>669</v>
      </c>
      <c r="G349" s="2" t="s">
        <v>705</v>
      </c>
      <c r="H349" s="2" t="s">
        <v>709</v>
      </c>
      <c r="I349" s="2" t="s">
        <v>713</v>
      </c>
      <c r="J349" s="2" t="s">
        <v>730</v>
      </c>
      <c r="K349" s="2" t="s">
        <v>1081</v>
      </c>
      <c r="L349" s="2">
        <v>77.739999999999995</v>
      </c>
      <c r="M349" s="2">
        <v>147.12</v>
      </c>
      <c r="N349" s="2">
        <v>0</v>
      </c>
      <c r="O349" s="2">
        <v>15</v>
      </c>
    </row>
    <row r="350" spans="1:15" x14ac:dyDescent="0.3">
      <c r="A350" s="2" t="s">
        <v>362</v>
      </c>
      <c r="B350" s="3">
        <v>45281</v>
      </c>
      <c r="C350" s="3">
        <v>45297</v>
      </c>
      <c r="D350" s="2" t="s">
        <v>646</v>
      </c>
      <c r="E350" s="2" t="s">
        <v>651</v>
      </c>
      <c r="F350" s="2"/>
      <c r="G350" s="2" t="s">
        <v>701</v>
      </c>
      <c r="H350" s="2" t="s">
        <v>709</v>
      </c>
      <c r="I350" s="2" t="s">
        <v>723</v>
      </c>
      <c r="J350" s="2" t="s">
        <v>727</v>
      </c>
      <c r="K350" s="2" t="s">
        <v>1082</v>
      </c>
      <c r="L350" s="2">
        <v>932.61</v>
      </c>
      <c r="M350" s="2">
        <v>1982.98</v>
      </c>
      <c r="N350" s="2">
        <v>0.14399999999999999</v>
      </c>
      <c r="O350" s="2">
        <v>16</v>
      </c>
    </row>
    <row r="351" spans="1:15" x14ac:dyDescent="0.3">
      <c r="A351" s="2" t="s">
        <v>363</v>
      </c>
      <c r="B351" s="3">
        <v>45825</v>
      </c>
      <c r="C351" s="3">
        <v>45843</v>
      </c>
      <c r="D351" s="2" t="s">
        <v>647</v>
      </c>
      <c r="E351" s="2" t="s">
        <v>654</v>
      </c>
      <c r="F351" s="2" t="s">
        <v>680</v>
      </c>
      <c r="G351" s="2" t="s">
        <v>704</v>
      </c>
      <c r="H351" s="2" t="s">
        <v>709</v>
      </c>
      <c r="I351" s="2" t="s">
        <v>716</v>
      </c>
      <c r="J351" s="2" t="s">
        <v>731</v>
      </c>
      <c r="K351" s="2" t="s">
        <v>1083</v>
      </c>
      <c r="L351" s="2">
        <v>982.93</v>
      </c>
      <c r="M351" s="2">
        <v>2299.3000000000002</v>
      </c>
      <c r="N351" s="2">
        <v>0.113</v>
      </c>
      <c r="O351" s="2">
        <v>6</v>
      </c>
    </row>
    <row r="352" spans="1:15" x14ac:dyDescent="0.3">
      <c r="A352" s="2" t="s">
        <v>364</v>
      </c>
      <c r="B352" s="3">
        <v>44980</v>
      </c>
      <c r="C352" s="3">
        <v>44993</v>
      </c>
      <c r="D352" s="2" t="s">
        <v>649</v>
      </c>
      <c r="E352" s="2" t="s">
        <v>658</v>
      </c>
      <c r="F352" s="2" t="s">
        <v>693</v>
      </c>
      <c r="G352" s="2" t="s">
        <v>705</v>
      </c>
      <c r="H352" s="2" t="s">
        <v>711</v>
      </c>
      <c r="I352" s="2" t="s">
        <v>712</v>
      </c>
      <c r="J352" s="2" t="s">
        <v>728</v>
      </c>
      <c r="K352" s="2" t="s">
        <v>1084</v>
      </c>
      <c r="L352" s="2">
        <v>307.37</v>
      </c>
      <c r="M352" s="2">
        <v>462.61</v>
      </c>
      <c r="N352" s="2">
        <v>0.188</v>
      </c>
      <c r="O352" s="2">
        <v>11</v>
      </c>
    </row>
    <row r="353" spans="1:15" x14ac:dyDescent="0.3">
      <c r="A353" s="2" t="s">
        <v>365</v>
      </c>
      <c r="B353" s="3">
        <v>45262</v>
      </c>
      <c r="C353" s="3">
        <v>45276</v>
      </c>
      <c r="D353" s="2" t="s">
        <v>649</v>
      </c>
      <c r="E353" s="2" t="s">
        <v>656</v>
      </c>
      <c r="F353" s="2" t="s">
        <v>698</v>
      </c>
      <c r="G353" s="2" t="s">
        <v>702</v>
      </c>
      <c r="H353" s="2" t="s">
        <v>711</v>
      </c>
      <c r="I353" s="2" t="s">
        <v>725</v>
      </c>
      <c r="J353" s="2" t="s">
        <v>732</v>
      </c>
      <c r="K353" s="2" t="s">
        <v>1085</v>
      </c>
      <c r="L353" s="2">
        <v>879.08</v>
      </c>
      <c r="M353" s="2">
        <v>1093.3900000000001</v>
      </c>
      <c r="N353" s="2">
        <v>0.113</v>
      </c>
      <c r="O353" s="2">
        <v>17</v>
      </c>
    </row>
    <row r="354" spans="1:15" x14ac:dyDescent="0.3">
      <c r="A354" s="2" t="s">
        <v>366</v>
      </c>
      <c r="B354" s="3">
        <v>45121</v>
      </c>
      <c r="C354" s="3">
        <v>45121</v>
      </c>
      <c r="D354" s="2" t="s">
        <v>646</v>
      </c>
      <c r="E354" s="2" t="s">
        <v>651</v>
      </c>
      <c r="F354" s="2" t="s">
        <v>665</v>
      </c>
      <c r="G354" s="2" t="s">
        <v>702</v>
      </c>
      <c r="H354" s="2" t="s">
        <v>707</v>
      </c>
      <c r="I354" s="2" t="s">
        <v>714</v>
      </c>
      <c r="J354" s="2" t="s">
        <v>733</v>
      </c>
      <c r="K354" s="2" t="s">
        <v>1086</v>
      </c>
      <c r="L354" s="2">
        <v>956.38</v>
      </c>
      <c r="M354" s="2">
        <v>1454.22</v>
      </c>
      <c r="N354" s="2">
        <v>3.9E-2</v>
      </c>
      <c r="O354" s="2">
        <v>19</v>
      </c>
    </row>
    <row r="355" spans="1:15" x14ac:dyDescent="0.3">
      <c r="A355" s="2" t="s">
        <v>367</v>
      </c>
      <c r="B355" s="3">
        <v>45512</v>
      </c>
      <c r="C355" s="3">
        <v>45524</v>
      </c>
      <c r="D355" s="2" t="s">
        <v>647</v>
      </c>
      <c r="E355" s="2" t="s">
        <v>652</v>
      </c>
      <c r="F355" s="2" t="s">
        <v>666</v>
      </c>
      <c r="G355" s="2" t="s">
        <v>705</v>
      </c>
      <c r="H355" s="2" t="s">
        <v>707</v>
      </c>
      <c r="I355" s="2" t="s">
        <v>722</v>
      </c>
      <c r="J355" s="2" t="s">
        <v>729</v>
      </c>
      <c r="K355" s="2" t="s">
        <v>1087</v>
      </c>
      <c r="L355" s="2">
        <v>1233.3599999999999</v>
      </c>
      <c r="M355" s="2">
        <v>2120.4</v>
      </c>
      <c r="N355" s="2">
        <v>0.17899999999999999</v>
      </c>
      <c r="O355" s="2">
        <v>20</v>
      </c>
    </row>
    <row r="356" spans="1:15" x14ac:dyDescent="0.3">
      <c r="A356" s="2" t="s">
        <v>368</v>
      </c>
      <c r="B356" s="3">
        <v>45603</v>
      </c>
      <c r="C356" s="3">
        <v>45622</v>
      </c>
      <c r="D356" s="2" t="s">
        <v>648</v>
      </c>
      <c r="E356" s="2" t="s">
        <v>655</v>
      </c>
      <c r="F356" s="2" t="s">
        <v>692</v>
      </c>
      <c r="G356" s="2" t="s">
        <v>703</v>
      </c>
      <c r="H356" s="2" t="s">
        <v>710</v>
      </c>
      <c r="I356" s="2" t="s">
        <v>713</v>
      </c>
      <c r="J356" s="2" t="s">
        <v>728</v>
      </c>
      <c r="K356" s="2" t="s">
        <v>1088</v>
      </c>
      <c r="L356" s="2">
        <v>55.35</v>
      </c>
      <c r="M356" s="2">
        <v>128.68</v>
      </c>
      <c r="N356" s="2">
        <v>0.128</v>
      </c>
      <c r="O356" s="2">
        <v>10</v>
      </c>
    </row>
    <row r="357" spans="1:15" x14ac:dyDescent="0.3">
      <c r="A357" s="2" t="s">
        <v>369</v>
      </c>
      <c r="B357" s="3">
        <v>45292</v>
      </c>
      <c r="C357" s="3">
        <v>45318</v>
      </c>
      <c r="D357" s="2" t="s">
        <v>649</v>
      </c>
      <c r="E357" s="2" t="s">
        <v>658</v>
      </c>
      <c r="F357" s="2" t="s">
        <v>693</v>
      </c>
      <c r="G357" s="2" t="s">
        <v>702</v>
      </c>
      <c r="H357" s="2" t="s">
        <v>710</v>
      </c>
      <c r="I357" s="2" t="s">
        <v>726</v>
      </c>
      <c r="J357" s="2" t="s">
        <v>733</v>
      </c>
      <c r="K357" s="2" t="s">
        <v>1089</v>
      </c>
      <c r="L357" s="2">
        <v>657.45</v>
      </c>
      <c r="M357" s="2">
        <v>1325.96</v>
      </c>
      <c r="N357" s="2">
        <v>0.16700000000000001</v>
      </c>
      <c r="O357" s="2">
        <v>21</v>
      </c>
    </row>
    <row r="358" spans="1:15" x14ac:dyDescent="0.3">
      <c r="A358" s="2" t="s">
        <v>370</v>
      </c>
      <c r="B358" s="3">
        <v>45883</v>
      </c>
      <c r="C358" s="3">
        <v>45911</v>
      </c>
      <c r="D358" s="2" t="s">
        <v>648</v>
      </c>
      <c r="E358" s="2" t="s">
        <v>655</v>
      </c>
      <c r="F358" s="2" t="s">
        <v>670</v>
      </c>
      <c r="G358" s="2" t="s">
        <v>703</v>
      </c>
      <c r="H358" s="2" t="s">
        <v>711</v>
      </c>
      <c r="I358" s="2" t="s">
        <v>721</v>
      </c>
      <c r="J358" s="2" t="s">
        <v>728</v>
      </c>
      <c r="K358" s="2" t="s">
        <v>1090</v>
      </c>
      <c r="L358" s="2">
        <v>1203.02</v>
      </c>
      <c r="M358" s="2">
        <v>2439.33</v>
      </c>
      <c r="N358" s="2">
        <v>0</v>
      </c>
      <c r="O358" s="2">
        <v>18</v>
      </c>
    </row>
    <row r="359" spans="1:15" x14ac:dyDescent="0.3">
      <c r="A359" s="2" t="s">
        <v>371</v>
      </c>
      <c r="B359" s="3">
        <v>45385</v>
      </c>
      <c r="C359" s="3">
        <v>45403</v>
      </c>
      <c r="D359" s="2" t="s">
        <v>648</v>
      </c>
      <c r="E359" s="2" t="s">
        <v>655</v>
      </c>
      <c r="F359" s="2" t="s">
        <v>672</v>
      </c>
      <c r="G359" s="2" t="s">
        <v>705</v>
      </c>
      <c r="H359" s="2" t="s">
        <v>710</v>
      </c>
      <c r="I359" s="2" t="s">
        <v>717</v>
      </c>
      <c r="J359" s="2" t="s">
        <v>729</v>
      </c>
      <c r="K359" s="2" t="s">
        <v>1091</v>
      </c>
      <c r="L359" s="2">
        <v>1176.69</v>
      </c>
      <c r="M359" s="2">
        <v>2201.54</v>
      </c>
      <c r="N359" s="2">
        <v>0.17</v>
      </c>
      <c r="O359" s="2">
        <v>27</v>
      </c>
    </row>
    <row r="360" spans="1:15" x14ac:dyDescent="0.3">
      <c r="A360" s="2" t="s">
        <v>372</v>
      </c>
      <c r="B360" s="3">
        <v>45621</v>
      </c>
      <c r="C360" s="3">
        <v>45633</v>
      </c>
      <c r="D360" s="2" t="s">
        <v>647</v>
      </c>
      <c r="E360" s="2" t="s">
        <v>659</v>
      </c>
      <c r="F360" s="2" t="s">
        <v>685</v>
      </c>
      <c r="G360" s="2" t="s">
        <v>701</v>
      </c>
      <c r="H360" s="2" t="s">
        <v>710</v>
      </c>
      <c r="I360" s="2" t="s">
        <v>720</v>
      </c>
      <c r="J360" s="2" t="s">
        <v>733</v>
      </c>
      <c r="K360" s="2" t="s">
        <v>1092</v>
      </c>
      <c r="L360" s="2">
        <v>769.9</v>
      </c>
      <c r="M360" s="2">
        <v>814.36</v>
      </c>
      <c r="N360" s="2">
        <v>0</v>
      </c>
      <c r="O360" s="2">
        <v>5</v>
      </c>
    </row>
    <row r="361" spans="1:15" x14ac:dyDescent="0.3">
      <c r="A361" s="2" t="s">
        <v>373</v>
      </c>
      <c r="B361" s="3">
        <v>45309</v>
      </c>
      <c r="C361" s="3">
        <v>45325</v>
      </c>
      <c r="D361" s="2" t="s">
        <v>646</v>
      </c>
      <c r="E361" s="2" t="s">
        <v>661</v>
      </c>
      <c r="F361" s="2" t="s">
        <v>695</v>
      </c>
      <c r="G361" s="2" t="s">
        <v>703</v>
      </c>
      <c r="H361" s="2" t="s">
        <v>710</v>
      </c>
      <c r="I361" s="2" t="s">
        <v>716</v>
      </c>
      <c r="J361" s="2" t="s">
        <v>728</v>
      </c>
      <c r="K361" s="2" t="s">
        <v>1093</v>
      </c>
      <c r="L361" s="2">
        <v>666.23</v>
      </c>
      <c r="M361" s="2">
        <v>1382.91</v>
      </c>
      <c r="N361" s="2">
        <v>0.17599999999999999</v>
      </c>
      <c r="O361" s="2">
        <v>13</v>
      </c>
    </row>
    <row r="362" spans="1:15" x14ac:dyDescent="0.3">
      <c r="A362" s="2" t="s">
        <v>374</v>
      </c>
      <c r="B362" s="3">
        <v>45466</v>
      </c>
      <c r="C362" s="3">
        <v>45468</v>
      </c>
      <c r="D362" s="2" t="s">
        <v>649</v>
      </c>
      <c r="E362" s="2" t="s">
        <v>658</v>
      </c>
      <c r="F362" s="2" t="s">
        <v>674</v>
      </c>
      <c r="G362" s="2" t="s">
        <v>705</v>
      </c>
      <c r="H362" s="2" t="s">
        <v>709</v>
      </c>
      <c r="I362" s="2" t="s">
        <v>716</v>
      </c>
      <c r="J362" s="2" t="s">
        <v>733</v>
      </c>
      <c r="K362" s="2" t="s">
        <v>1094</v>
      </c>
      <c r="L362" s="2">
        <v>951.44</v>
      </c>
      <c r="M362" s="2">
        <v>1646.43</v>
      </c>
      <c r="N362" s="2">
        <v>0.11</v>
      </c>
      <c r="O362" s="2">
        <v>24</v>
      </c>
    </row>
    <row r="363" spans="1:15" x14ac:dyDescent="0.3">
      <c r="A363" s="2" t="s">
        <v>375</v>
      </c>
      <c r="B363" s="3">
        <v>45833</v>
      </c>
      <c r="C363" s="3">
        <v>45848</v>
      </c>
      <c r="D363" s="2" t="s">
        <v>649</v>
      </c>
      <c r="E363" s="2" t="s">
        <v>658</v>
      </c>
      <c r="F363" s="2" t="s">
        <v>674</v>
      </c>
      <c r="G363" s="2" t="s">
        <v>703</v>
      </c>
      <c r="H363" s="2" t="s">
        <v>709</v>
      </c>
      <c r="I363" s="2" t="s">
        <v>726</v>
      </c>
      <c r="J363" s="2" t="s">
        <v>730</v>
      </c>
      <c r="K363" s="2" t="s">
        <v>1095</v>
      </c>
      <c r="L363" s="2">
        <v>546.83000000000004</v>
      </c>
      <c r="M363" s="2">
        <v>400.84</v>
      </c>
      <c r="N363" s="2">
        <v>7.8E-2</v>
      </c>
      <c r="O363" s="2">
        <v>13</v>
      </c>
    </row>
    <row r="364" spans="1:15" x14ac:dyDescent="0.3">
      <c r="A364" s="2" t="s">
        <v>376</v>
      </c>
      <c r="B364" s="3">
        <v>45108</v>
      </c>
      <c r="C364" s="3">
        <v>45115</v>
      </c>
      <c r="D364" s="2" t="s">
        <v>646</v>
      </c>
      <c r="E364" s="2" t="s">
        <v>651</v>
      </c>
      <c r="F364" s="2" t="s">
        <v>663</v>
      </c>
      <c r="G364" s="2" t="s">
        <v>701</v>
      </c>
      <c r="H364" s="2" t="s">
        <v>707</v>
      </c>
      <c r="I364" s="2" t="s">
        <v>720</v>
      </c>
      <c r="J364" s="2" t="s">
        <v>731</v>
      </c>
      <c r="K364" s="2" t="s">
        <v>1096</v>
      </c>
      <c r="L364" s="2">
        <v>834.26</v>
      </c>
      <c r="M364" s="2">
        <v>1780.56</v>
      </c>
      <c r="N364" s="2">
        <v>1.4E-2</v>
      </c>
      <c r="O364" s="2">
        <v>47</v>
      </c>
    </row>
    <row r="365" spans="1:15" x14ac:dyDescent="0.3">
      <c r="A365" s="2" t="s">
        <v>377</v>
      </c>
      <c r="B365" s="3">
        <v>45360</v>
      </c>
      <c r="C365" s="3">
        <v>45377</v>
      </c>
      <c r="D365" s="2" t="s">
        <v>647</v>
      </c>
      <c r="E365" s="2" t="s">
        <v>659</v>
      </c>
      <c r="F365" s="2" t="s">
        <v>676</v>
      </c>
      <c r="G365" s="2" t="s">
        <v>706</v>
      </c>
      <c r="H365" s="2" t="s">
        <v>708</v>
      </c>
      <c r="I365" s="2" t="s">
        <v>723</v>
      </c>
      <c r="J365" s="2" t="s">
        <v>732</v>
      </c>
      <c r="K365" s="2" t="s">
        <v>1097</v>
      </c>
      <c r="L365" s="2">
        <v>1029.67</v>
      </c>
      <c r="M365" s="2">
        <v>1118.43</v>
      </c>
      <c r="N365" s="2">
        <v>0.27200000000000002</v>
      </c>
      <c r="O365" s="2">
        <v>9</v>
      </c>
    </row>
    <row r="366" spans="1:15" x14ac:dyDescent="0.3">
      <c r="A366" s="2" t="s">
        <v>378</v>
      </c>
      <c r="B366" s="3">
        <v>45082</v>
      </c>
      <c r="C366" s="3">
        <v>45105</v>
      </c>
      <c r="D366" s="2" t="s">
        <v>649</v>
      </c>
      <c r="E366" s="2" t="s">
        <v>658</v>
      </c>
      <c r="F366" s="2" t="s">
        <v>674</v>
      </c>
      <c r="G366" s="2" t="s">
        <v>701</v>
      </c>
      <c r="H366" s="2" t="s">
        <v>711</v>
      </c>
      <c r="I366" s="2" t="s">
        <v>723</v>
      </c>
      <c r="J366" s="2" t="s">
        <v>728</v>
      </c>
      <c r="K366" s="2" t="s">
        <v>1098</v>
      </c>
      <c r="L366" s="2">
        <v>605.82000000000005</v>
      </c>
      <c r="M366" s="2">
        <v>771.12</v>
      </c>
      <c r="N366" s="2">
        <v>0.13200000000000001</v>
      </c>
      <c r="O366" s="2">
        <v>19</v>
      </c>
    </row>
    <row r="367" spans="1:15" x14ac:dyDescent="0.3">
      <c r="A367" s="2" t="s">
        <v>379</v>
      </c>
      <c r="B367" s="3">
        <v>45737</v>
      </c>
      <c r="C367" s="3">
        <v>45756</v>
      </c>
      <c r="D367" s="2" t="s">
        <v>647</v>
      </c>
      <c r="E367" s="2" t="s">
        <v>652</v>
      </c>
      <c r="F367" s="2" t="s">
        <v>689</v>
      </c>
      <c r="G367" s="2" t="s">
        <v>705</v>
      </c>
      <c r="H367" s="2" t="s">
        <v>710</v>
      </c>
      <c r="I367" s="2" t="s">
        <v>718</v>
      </c>
      <c r="J367" s="2" t="s">
        <v>727</v>
      </c>
      <c r="K367" s="2" t="s">
        <v>1099</v>
      </c>
      <c r="L367" s="2">
        <v>1055.45</v>
      </c>
      <c r="M367" s="2">
        <v>1210.04</v>
      </c>
      <c r="N367" s="2">
        <v>8.9999999999999993E-3</v>
      </c>
      <c r="O367" s="2">
        <v>18</v>
      </c>
    </row>
    <row r="368" spans="1:15" x14ac:dyDescent="0.3">
      <c r="A368" s="2" t="s">
        <v>380</v>
      </c>
      <c r="B368" s="3">
        <v>45445</v>
      </c>
      <c r="C368" s="3">
        <v>45458</v>
      </c>
      <c r="D368" s="2" t="s">
        <v>646</v>
      </c>
      <c r="E368" s="2" t="s">
        <v>650</v>
      </c>
      <c r="F368" s="2" t="s">
        <v>675</v>
      </c>
      <c r="G368" s="2" t="s">
        <v>702</v>
      </c>
      <c r="H368" s="2" t="s">
        <v>708</v>
      </c>
      <c r="I368" s="2" t="s">
        <v>719</v>
      </c>
      <c r="J368" s="2" t="s">
        <v>730</v>
      </c>
      <c r="K368" s="2" t="s">
        <v>1100</v>
      </c>
      <c r="L368" s="2">
        <v>1295.18</v>
      </c>
      <c r="M368" s="2">
        <v>3024.03</v>
      </c>
      <c r="N368" s="2">
        <v>0.192</v>
      </c>
      <c r="O368" s="2">
        <v>8</v>
      </c>
    </row>
    <row r="369" spans="1:15" x14ac:dyDescent="0.3">
      <c r="A369" s="2" t="s">
        <v>381</v>
      </c>
      <c r="B369" s="3">
        <v>45731</v>
      </c>
      <c r="C369" s="3">
        <v>45745</v>
      </c>
      <c r="D369" s="2" t="s">
        <v>647</v>
      </c>
      <c r="E369" s="2" t="s">
        <v>654</v>
      </c>
      <c r="F369" s="2" t="s">
        <v>691</v>
      </c>
      <c r="G369" s="2" t="s">
        <v>706</v>
      </c>
      <c r="H369" s="2" t="s">
        <v>711</v>
      </c>
      <c r="I369" s="2" t="s">
        <v>712</v>
      </c>
      <c r="J369" s="2" t="s">
        <v>727</v>
      </c>
      <c r="K369" s="2" t="s">
        <v>1101</v>
      </c>
      <c r="L369" s="2">
        <v>935.83</v>
      </c>
      <c r="M369" s="2">
        <v>2303.46</v>
      </c>
      <c r="N369" s="2">
        <v>0.105</v>
      </c>
      <c r="O369" s="2">
        <v>9</v>
      </c>
    </row>
    <row r="370" spans="1:15" x14ac:dyDescent="0.3">
      <c r="A370" s="2" t="s">
        <v>382</v>
      </c>
      <c r="B370" s="3">
        <v>45194</v>
      </c>
      <c r="C370" s="3">
        <v>45208</v>
      </c>
      <c r="D370" s="2" t="s">
        <v>648</v>
      </c>
      <c r="E370" s="2" t="s">
        <v>660</v>
      </c>
      <c r="F370" s="2" t="s">
        <v>700</v>
      </c>
      <c r="G370" s="2" t="s">
        <v>705</v>
      </c>
      <c r="H370" s="2" t="s">
        <v>709</v>
      </c>
      <c r="I370" s="2" t="s">
        <v>713</v>
      </c>
      <c r="J370" s="2" t="s">
        <v>731</v>
      </c>
      <c r="K370" s="2" t="s">
        <v>1102</v>
      </c>
      <c r="L370" s="2">
        <v>1279.56</v>
      </c>
      <c r="M370" s="2">
        <v>3083.8</v>
      </c>
      <c r="N370" s="2">
        <v>0.106</v>
      </c>
      <c r="O370" s="2">
        <v>5</v>
      </c>
    </row>
    <row r="371" spans="1:15" x14ac:dyDescent="0.3">
      <c r="A371" s="2" t="s">
        <v>383</v>
      </c>
      <c r="B371" s="3">
        <v>45832</v>
      </c>
      <c r="C371" s="3">
        <v>45861</v>
      </c>
      <c r="D371" s="2" t="s">
        <v>648</v>
      </c>
      <c r="E371" s="2" t="s">
        <v>653</v>
      </c>
      <c r="F371" s="2" t="s">
        <v>688</v>
      </c>
      <c r="G371" s="2" t="s">
        <v>703</v>
      </c>
      <c r="H371" s="2" t="s">
        <v>709</v>
      </c>
      <c r="I371" s="2" t="s">
        <v>714</v>
      </c>
      <c r="J371" s="2" t="s">
        <v>728</v>
      </c>
      <c r="K371" s="2" t="s">
        <v>1103</v>
      </c>
      <c r="L371" s="2">
        <v>255.4</v>
      </c>
      <c r="M371" s="2">
        <v>322.70999999999998</v>
      </c>
      <c r="N371" s="2">
        <v>0.115</v>
      </c>
      <c r="O371" s="2">
        <v>16</v>
      </c>
    </row>
    <row r="372" spans="1:15" x14ac:dyDescent="0.3">
      <c r="A372" s="2" t="s">
        <v>384</v>
      </c>
      <c r="B372" s="3">
        <v>45286</v>
      </c>
      <c r="C372" s="3">
        <v>45294</v>
      </c>
      <c r="D372" s="2" t="s">
        <v>649</v>
      </c>
      <c r="E372" s="2" t="s">
        <v>657</v>
      </c>
      <c r="F372" s="2" t="s">
        <v>679</v>
      </c>
      <c r="G372" s="2" t="s">
        <v>705</v>
      </c>
      <c r="H372" s="2" t="s">
        <v>707</v>
      </c>
      <c r="I372" s="2" t="s">
        <v>724</v>
      </c>
      <c r="J372" s="2" t="s">
        <v>731</v>
      </c>
      <c r="K372" s="2" t="s">
        <v>1104</v>
      </c>
      <c r="L372" s="2">
        <v>492.75</v>
      </c>
      <c r="M372" s="2">
        <v>731.29</v>
      </c>
      <c r="N372" s="2">
        <v>5.8000000000000003E-2</v>
      </c>
      <c r="O372" s="2">
        <v>6</v>
      </c>
    </row>
    <row r="373" spans="1:15" x14ac:dyDescent="0.3">
      <c r="A373" s="2" t="s">
        <v>385</v>
      </c>
      <c r="B373" s="3">
        <v>44962</v>
      </c>
      <c r="C373" s="3">
        <v>44985</v>
      </c>
      <c r="D373" s="2" t="s">
        <v>648</v>
      </c>
      <c r="E373" s="2" t="s">
        <v>660</v>
      </c>
      <c r="F373" s="2" t="s">
        <v>697</v>
      </c>
      <c r="G373" s="2" t="s">
        <v>703</v>
      </c>
      <c r="H373" s="2" t="s">
        <v>710</v>
      </c>
      <c r="I373" s="2" t="s">
        <v>716</v>
      </c>
      <c r="J373" s="2" t="s">
        <v>730</v>
      </c>
      <c r="K373" s="2" t="s">
        <v>1105</v>
      </c>
      <c r="L373" s="2">
        <v>1214.49</v>
      </c>
      <c r="M373" s="2">
        <v>1533.95</v>
      </c>
      <c r="N373" s="2">
        <v>0</v>
      </c>
      <c r="O373" s="2">
        <v>11</v>
      </c>
    </row>
    <row r="374" spans="1:15" x14ac:dyDescent="0.3">
      <c r="A374" s="2" t="s">
        <v>386</v>
      </c>
      <c r="B374" s="3">
        <v>45022</v>
      </c>
      <c r="C374" s="3">
        <v>45024</v>
      </c>
      <c r="D374" s="2" t="s">
        <v>646</v>
      </c>
      <c r="E374" s="2" t="s">
        <v>651</v>
      </c>
      <c r="F374" s="2" t="s">
        <v>669</v>
      </c>
      <c r="G374" s="2" t="s">
        <v>705</v>
      </c>
      <c r="H374" s="2" t="s">
        <v>709</v>
      </c>
      <c r="I374" s="2" t="s">
        <v>723</v>
      </c>
      <c r="J374" s="2" t="s">
        <v>732</v>
      </c>
      <c r="K374" s="2" t="s">
        <v>1106</v>
      </c>
      <c r="L374" s="2">
        <v>720.35</v>
      </c>
      <c r="M374" s="2">
        <v>1571.66</v>
      </c>
      <c r="N374" s="2">
        <v>0.107</v>
      </c>
      <c r="O374" s="2">
        <v>23</v>
      </c>
    </row>
    <row r="375" spans="1:15" x14ac:dyDescent="0.3">
      <c r="A375" s="2" t="s">
        <v>387</v>
      </c>
      <c r="B375" s="3">
        <v>45751</v>
      </c>
      <c r="C375" s="3">
        <v>45757</v>
      </c>
      <c r="D375" s="2" t="s">
        <v>649</v>
      </c>
      <c r="E375" s="2" t="s">
        <v>658</v>
      </c>
      <c r="F375" s="2" t="s">
        <v>674</v>
      </c>
      <c r="G375" s="2" t="s">
        <v>703</v>
      </c>
      <c r="H375" s="2" t="s">
        <v>711</v>
      </c>
      <c r="I375" s="2" t="s">
        <v>725</v>
      </c>
      <c r="J375" s="2" t="s">
        <v>728</v>
      </c>
      <c r="K375" s="2" t="s">
        <v>1107</v>
      </c>
      <c r="L375" s="2">
        <v>290.14</v>
      </c>
      <c r="M375" s="2">
        <v>250.73</v>
      </c>
      <c r="N375" s="2">
        <v>3.4000000000000002E-2</v>
      </c>
      <c r="O375" s="2">
        <v>17</v>
      </c>
    </row>
    <row r="376" spans="1:15" x14ac:dyDescent="0.3">
      <c r="A376" s="2" t="s">
        <v>388</v>
      </c>
      <c r="B376" s="3">
        <v>45429</v>
      </c>
      <c r="C376" s="3">
        <v>45439</v>
      </c>
      <c r="D376" s="2" t="s">
        <v>648</v>
      </c>
      <c r="E376" s="2" t="s">
        <v>660</v>
      </c>
      <c r="F376" s="2" t="s">
        <v>697</v>
      </c>
      <c r="G376" s="2" t="s">
        <v>703</v>
      </c>
      <c r="H376" s="2" t="s">
        <v>708</v>
      </c>
      <c r="I376" s="2" t="s">
        <v>712</v>
      </c>
      <c r="J376" s="2" t="s">
        <v>730</v>
      </c>
      <c r="K376" s="2" t="s">
        <v>1108</v>
      </c>
      <c r="L376" s="2">
        <v>1484.23</v>
      </c>
      <c r="M376" s="2">
        <v>3472.81</v>
      </c>
      <c r="N376" s="2">
        <v>0.25600000000000001</v>
      </c>
      <c r="O376" s="2">
        <v>12</v>
      </c>
    </row>
    <row r="377" spans="1:15" x14ac:dyDescent="0.3">
      <c r="A377" s="2" t="s">
        <v>389</v>
      </c>
      <c r="B377" s="3">
        <v>45354</v>
      </c>
      <c r="C377" s="3">
        <v>45370</v>
      </c>
      <c r="D377" s="2" t="s">
        <v>647</v>
      </c>
      <c r="E377" s="2" t="s">
        <v>659</v>
      </c>
      <c r="F377" s="2" t="s">
        <v>699</v>
      </c>
      <c r="G377" s="2" t="s">
        <v>704</v>
      </c>
      <c r="H377" s="2" t="s">
        <v>710</v>
      </c>
      <c r="I377" s="2" t="s">
        <v>715</v>
      </c>
      <c r="J377" s="2" t="s">
        <v>730</v>
      </c>
      <c r="K377" s="2" t="s">
        <v>1109</v>
      </c>
      <c r="L377" s="2">
        <v>988.83</v>
      </c>
      <c r="M377" s="2">
        <v>1206.04</v>
      </c>
      <c r="N377" s="2">
        <v>6.3E-2</v>
      </c>
      <c r="O377" s="2">
        <v>34</v>
      </c>
    </row>
    <row r="378" spans="1:15" x14ac:dyDescent="0.3">
      <c r="A378" s="2" t="s">
        <v>390</v>
      </c>
      <c r="B378" s="3">
        <v>45835</v>
      </c>
      <c r="C378" s="3">
        <v>45849</v>
      </c>
      <c r="D378" s="2" t="s">
        <v>647</v>
      </c>
      <c r="E378" s="2" t="s">
        <v>659</v>
      </c>
      <c r="F378" s="2" t="s">
        <v>685</v>
      </c>
      <c r="G378" s="2" t="s">
        <v>705</v>
      </c>
      <c r="H378" s="2" t="s">
        <v>709</v>
      </c>
      <c r="I378" s="2" t="s">
        <v>716</v>
      </c>
      <c r="J378" s="2" t="s">
        <v>729</v>
      </c>
      <c r="K378" s="2" t="s">
        <v>1110</v>
      </c>
      <c r="L378" s="2">
        <v>1227.7</v>
      </c>
      <c r="M378" s="2">
        <v>2197.23</v>
      </c>
      <c r="N378" s="2">
        <v>9.9000000000000005E-2</v>
      </c>
      <c r="O378" s="2">
        <v>22</v>
      </c>
    </row>
    <row r="379" spans="1:15" x14ac:dyDescent="0.3">
      <c r="A379" s="2" t="s">
        <v>391</v>
      </c>
      <c r="B379" s="3">
        <v>44998</v>
      </c>
      <c r="C379" s="3">
        <v>45020</v>
      </c>
      <c r="D379" s="2" t="s">
        <v>646</v>
      </c>
      <c r="E379" s="2" t="s">
        <v>661</v>
      </c>
      <c r="F379" s="2" t="s">
        <v>687</v>
      </c>
      <c r="G379" s="2" t="s">
        <v>705</v>
      </c>
      <c r="H379" s="2" t="s">
        <v>707</v>
      </c>
      <c r="I379" s="2" t="s">
        <v>720</v>
      </c>
      <c r="J379" s="2" t="s">
        <v>727</v>
      </c>
      <c r="K379" s="2" t="s">
        <v>1111</v>
      </c>
      <c r="L379" s="2">
        <v>1113.7</v>
      </c>
      <c r="M379" s="2">
        <v>1620.6</v>
      </c>
      <c r="N379" s="2">
        <v>0.13900000000000001</v>
      </c>
      <c r="O379" s="2">
        <v>11</v>
      </c>
    </row>
    <row r="380" spans="1:15" x14ac:dyDescent="0.3">
      <c r="A380" s="2" t="s">
        <v>392</v>
      </c>
      <c r="B380" s="3">
        <v>45664</v>
      </c>
      <c r="C380" s="3">
        <v>45677</v>
      </c>
      <c r="D380" s="2" t="s">
        <v>646</v>
      </c>
      <c r="E380" s="2" t="s">
        <v>661</v>
      </c>
      <c r="F380" s="2" t="s">
        <v>695</v>
      </c>
      <c r="G380" s="2" t="s">
        <v>701</v>
      </c>
      <c r="H380" s="2" t="s">
        <v>711</v>
      </c>
      <c r="I380" s="2" t="s">
        <v>723</v>
      </c>
      <c r="J380" s="2" t="s">
        <v>729</v>
      </c>
      <c r="K380" s="2" t="s">
        <v>1112</v>
      </c>
      <c r="L380" s="2">
        <v>432.13</v>
      </c>
      <c r="M380" s="2">
        <v>1034.6600000000001</v>
      </c>
      <c r="N380" s="2">
        <v>9.1999999999999998E-2</v>
      </c>
      <c r="O380" s="2">
        <v>7</v>
      </c>
    </row>
    <row r="381" spans="1:15" x14ac:dyDescent="0.3">
      <c r="A381" s="2" t="s">
        <v>393</v>
      </c>
      <c r="B381" s="3">
        <v>45694</v>
      </c>
      <c r="C381" s="3">
        <v>45703</v>
      </c>
      <c r="D381" s="2" t="s">
        <v>648</v>
      </c>
      <c r="E381" s="2" t="s">
        <v>655</v>
      </c>
      <c r="F381" s="2" t="s">
        <v>670</v>
      </c>
      <c r="G381" s="2" t="s">
        <v>703</v>
      </c>
      <c r="H381" s="2" t="s">
        <v>710</v>
      </c>
      <c r="I381" s="2" t="s">
        <v>721</v>
      </c>
      <c r="J381" s="2" t="s">
        <v>729</v>
      </c>
      <c r="K381" s="2" t="s">
        <v>1113</v>
      </c>
      <c r="L381" s="2">
        <v>837.39</v>
      </c>
      <c r="M381" s="2">
        <v>1905.42</v>
      </c>
      <c r="N381" s="2">
        <v>3.2000000000000001E-2</v>
      </c>
      <c r="O381" s="2">
        <v>18</v>
      </c>
    </row>
    <row r="382" spans="1:15" x14ac:dyDescent="0.3">
      <c r="A382" s="2" t="s">
        <v>394</v>
      </c>
      <c r="B382" s="3">
        <v>45688</v>
      </c>
      <c r="C382" s="3">
        <v>45705</v>
      </c>
      <c r="D382" s="2" t="s">
        <v>649</v>
      </c>
      <c r="E382" s="2" t="s">
        <v>658</v>
      </c>
      <c r="F382" s="2" t="s">
        <v>683</v>
      </c>
      <c r="G382" s="2" t="s">
        <v>706</v>
      </c>
      <c r="H382" s="2" t="s">
        <v>707</v>
      </c>
      <c r="I382" s="2" t="s">
        <v>722</v>
      </c>
      <c r="J382" s="2" t="s">
        <v>727</v>
      </c>
      <c r="K382" s="2" t="s">
        <v>812</v>
      </c>
      <c r="L382" s="2">
        <v>378.26</v>
      </c>
      <c r="M382" s="2">
        <v>541.55999999999995</v>
      </c>
      <c r="N382" s="2">
        <v>0.16300000000000001</v>
      </c>
      <c r="O382" s="2">
        <v>25</v>
      </c>
    </row>
    <row r="383" spans="1:15" x14ac:dyDescent="0.3">
      <c r="A383" s="2" t="s">
        <v>395</v>
      </c>
      <c r="B383" s="3">
        <v>45876</v>
      </c>
      <c r="C383" s="3">
        <v>45906</v>
      </c>
      <c r="D383" s="2" t="s">
        <v>648</v>
      </c>
      <c r="E383" s="2" t="s">
        <v>653</v>
      </c>
      <c r="F383" s="2" t="s">
        <v>681</v>
      </c>
      <c r="G383" s="2" t="s">
        <v>702</v>
      </c>
      <c r="H383" s="2" t="s">
        <v>711</v>
      </c>
      <c r="I383" s="2" t="s">
        <v>724</v>
      </c>
      <c r="J383" s="2" t="s">
        <v>729</v>
      </c>
      <c r="K383" s="2" t="s">
        <v>1114</v>
      </c>
      <c r="L383" s="2">
        <v>833.73</v>
      </c>
      <c r="M383" s="2">
        <v>1116.5999999999999</v>
      </c>
      <c r="N383" s="2">
        <v>0.17599999999999999</v>
      </c>
      <c r="O383" s="2">
        <v>14</v>
      </c>
    </row>
    <row r="384" spans="1:15" x14ac:dyDescent="0.3">
      <c r="A384" s="2" t="s">
        <v>396</v>
      </c>
      <c r="B384" s="3">
        <v>45861</v>
      </c>
      <c r="C384" s="3">
        <v>45886</v>
      </c>
      <c r="D384" s="2" t="s">
        <v>649</v>
      </c>
      <c r="E384" s="2" t="s">
        <v>658</v>
      </c>
      <c r="F384" s="2" t="s">
        <v>674</v>
      </c>
      <c r="G384" s="2" t="s">
        <v>702</v>
      </c>
      <c r="H384" s="2" t="s">
        <v>708</v>
      </c>
      <c r="I384" s="2" t="s">
        <v>714</v>
      </c>
      <c r="J384" s="2" t="s">
        <v>728</v>
      </c>
      <c r="K384" s="2" t="s">
        <v>1115</v>
      </c>
      <c r="L384" s="2">
        <v>1142.06</v>
      </c>
      <c r="M384" s="2">
        <v>1455</v>
      </c>
      <c r="N384" s="2">
        <v>7.8E-2</v>
      </c>
      <c r="O384" s="2">
        <v>28</v>
      </c>
    </row>
    <row r="385" spans="1:15" x14ac:dyDescent="0.3">
      <c r="A385" s="2" t="s">
        <v>397</v>
      </c>
      <c r="B385" s="3">
        <v>45097</v>
      </c>
      <c r="C385" s="3">
        <v>45115</v>
      </c>
      <c r="D385" s="2" t="s">
        <v>648</v>
      </c>
      <c r="E385" s="2" t="s">
        <v>660</v>
      </c>
      <c r="F385" s="2" t="s">
        <v>700</v>
      </c>
      <c r="G385" s="2" t="s">
        <v>704</v>
      </c>
      <c r="H385" s="2" t="s">
        <v>709</v>
      </c>
      <c r="I385" s="2" t="s">
        <v>719</v>
      </c>
      <c r="J385" s="2" t="s">
        <v>729</v>
      </c>
      <c r="K385" s="2" t="s">
        <v>1116</v>
      </c>
      <c r="L385" s="2">
        <v>1145.53</v>
      </c>
      <c r="M385" s="2">
        <v>1278.3</v>
      </c>
      <c r="N385" s="2">
        <v>0.09</v>
      </c>
      <c r="O385" s="2">
        <v>41</v>
      </c>
    </row>
    <row r="386" spans="1:15" x14ac:dyDescent="0.3">
      <c r="A386" s="2" t="s">
        <v>398</v>
      </c>
      <c r="B386" s="3">
        <v>45491</v>
      </c>
      <c r="C386" s="3">
        <v>45511</v>
      </c>
      <c r="D386" s="2" t="s">
        <v>649</v>
      </c>
      <c r="E386" s="2" t="s">
        <v>657</v>
      </c>
      <c r="F386" s="2" t="s">
        <v>673</v>
      </c>
      <c r="G386" s="2" t="s">
        <v>701</v>
      </c>
      <c r="H386" s="2" t="s">
        <v>707</v>
      </c>
      <c r="I386" s="2" t="s">
        <v>721</v>
      </c>
      <c r="J386" s="2" t="s">
        <v>732</v>
      </c>
      <c r="K386" s="2" t="s">
        <v>1117</v>
      </c>
      <c r="L386" s="2">
        <v>941.35</v>
      </c>
      <c r="M386" s="2">
        <v>899.83</v>
      </c>
      <c r="N386" s="2">
        <v>5.8000000000000003E-2</v>
      </c>
      <c r="O386" s="2">
        <v>18</v>
      </c>
    </row>
    <row r="387" spans="1:15" x14ac:dyDescent="0.3">
      <c r="A387" s="2" t="s">
        <v>399</v>
      </c>
      <c r="B387" s="3">
        <v>45066</v>
      </c>
      <c r="C387" s="3">
        <v>45096</v>
      </c>
      <c r="D387" s="2" t="s">
        <v>647</v>
      </c>
      <c r="E387" s="2" t="s">
        <v>654</v>
      </c>
      <c r="F387" s="2" t="s">
        <v>680</v>
      </c>
      <c r="G387" s="2" t="s">
        <v>703</v>
      </c>
      <c r="H387" s="2" t="s">
        <v>709</v>
      </c>
      <c r="I387" s="2" t="s">
        <v>722</v>
      </c>
      <c r="J387" s="2" t="s">
        <v>731</v>
      </c>
      <c r="K387" s="2" t="s">
        <v>1118</v>
      </c>
      <c r="L387" s="2">
        <v>1161.2</v>
      </c>
      <c r="M387" s="2">
        <v>878.73</v>
      </c>
      <c r="N387" s="2">
        <v>0.19</v>
      </c>
      <c r="O387" s="2">
        <v>31</v>
      </c>
    </row>
    <row r="388" spans="1:15" x14ac:dyDescent="0.3">
      <c r="A388" s="2" t="s">
        <v>400</v>
      </c>
      <c r="B388" s="3">
        <v>45789</v>
      </c>
      <c r="C388" s="3">
        <v>45803</v>
      </c>
      <c r="D388" s="2" t="s">
        <v>647</v>
      </c>
      <c r="E388" s="2" t="s">
        <v>654</v>
      </c>
      <c r="F388" s="2" t="s">
        <v>696</v>
      </c>
      <c r="G388" s="2" t="s">
        <v>701</v>
      </c>
      <c r="H388" s="2" t="s">
        <v>709</v>
      </c>
      <c r="I388" s="2" t="s">
        <v>715</v>
      </c>
      <c r="J388" s="2" t="s">
        <v>728</v>
      </c>
      <c r="K388" s="2" t="s">
        <v>1119</v>
      </c>
      <c r="L388" s="2">
        <v>320.12</v>
      </c>
      <c r="M388" s="2">
        <v>594.41999999999996</v>
      </c>
      <c r="N388" s="2">
        <v>0.104</v>
      </c>
      <c r="O388" s="2">
        <v>18</v>
      </c>
    </row>
    <row r="389" spans="1:15" x14ac:dyDescent="0.3">
      <c r="A389" s="2" t="s">
        <v>401</v>
      </c>
      <c r="B389" s="3">
        <v>45419</v>
      </c>
      <c r="C389" s="3">
        <v>45424</v>
      </c>
      <c r="D389" s="2" t="s">
        <v>646</v>
      </c>
      <c r="E389" s="2" t="s">
        <v>651</v>
      </c>
      <c r="F389" s="2" t="s">
        <v>669</v>
      </c>
      <c r="G389" s="2" t="s">
        <v>703</v>
      </c>
      <c r="H389" s="2" t="s">
        <v>710</v>
      </c>
      <c r="I389" s="2" t="s">
        <v>716</v>
      </c>
      <c r="J389" s="2" t="s">
        <v>731</v>
      </c>
      <c r="K389" s="2" t="s">
        <v>1120</v>
      </c>
      <c r="L389" s="2">
        <v>1163.99</v>
      </c>
      <c r="M389" s="2">
        <v>1617.85</v>
      </c>
      <c r="N389" s="2">
        <v>0.127</v>
      </c>
      <c r="O389" s="2">
        <v>14</v>
      </c>
    </row>
    <row r="390" spans="1:15" x14ac:dyDescent="0.3">
      <c r="A390" s="2" t="s">
        <v>402</v>
      </c>
      <c r="B390" s="3">
        <v>45199</v>
      </c>
      <c r="C390" s="3">
        <v>45202</v>
      </c>
      <c r="D390" s="2" t="s">
        <v>647</v>
      </c>
      <c r="E390" s="2" t="s">
        <v>659</v>
      </c>
      <c r="F390" s="2" t="s">
        <v>699</v>
      </c>
      <c r="G390" s="2" t="s">
        <v>703</v>
      </c>
      <c r="H390" s="2" t="s">
        <v>707</v>
      </c>
      <c r="I390" s="2" t="s">
        <v>713</v>
      </c>
      <c r="J390" s="2" t="s">
        <v>731</v>
      </c>
      <c r="K390" s="2" t="s">
        <v>1121</v>
      </c>
      <c r="L390" s="2">
        <v>1019.36</v>
      </c>
      <c r="M390" s="2">
        <v>972.91</v>
      </c>
      <c r="N390" s="2">
        <v>0.14699999999999999</v>
      </c>
      <c r="O390" s="2">
        <v>17</v>
      </c>
    </row>
    <row r="391" spans="1:15" x14ac:dyDescent="0.3">
      <c r="A391" s="2" t="s">
        <v>403</v>
      </c>
      <c r="B391" s="3">
        <v>45225</v>
      </c>
      <c r="C391" s="3">
        <v>45235</v>
      </c>
      <c r="D391" s="2" t="s">
        <v>646</v>
      </c>
      <c r="E391" s="2" t="s">
        <v>661</v>
      </c>
      <c r="F391" s="2" t="s">
        <v>695</v>
      </c>
      <c r="G391" s="2" t="s">
        <v>703</v>
      </c>
      <c r="H391" s="2" t="s">
        <v>708</v>
      </c>
      <c r="I391" s="2" t="s">
        <v>714</v>
      </c>
      <c r="J391" s="2" t="s">
        <v>731</v>
      </c>
      <c r="K391" s="2" t="s">
        <v>1122</v>
      </c>
      <c r="L391" s="2">
        <v>20.38</v>
      </c>
      <c r="M391" s="2">
        <v>42.56</v>
      </c>
      <c r="N391" s="2">
        <v>7.1999999999999995E-2</v>
      </c>
      <c r="O391" s="2">
        <v>11</v>
      </c>
    </row>
    <row r="392" spans="1:15" x14ac:dyDescent="0.3">
      <c r="A392" s="2" t="s">
        <v>404</v>
      </c>
      <c r="B392" s="3">
        <v>45823</v>
      </c>
      <c r="C392" s="3">
        <v>45838</v>
      </c>
      <c r="D392" s="2" t="s">
        <v>646</v>
      </c>
      <c r="E392" s="2" t="s">
        <v>661</v>
      </c>
      <c r="F392" s="2" t="s">
        <v>682</v>
      </c>
      <c r="G392" s="2" t="s">
        <v>705</v>
      </c>
      <c r="H392" s="2" t="s">
        <v>711</v>
      </c>
      <c r="I392" s="2" t="s">
        <v>712</v>
      </c>
      <c r="J392" s="2" t="s">
        <v>732</v>
      </c>
      <c r="K392" s="2" t="s">
        <v>1123</v>
      </c>
      <c r="L392" s="2">
        <v>1487.59</v>
      </c>
      <c r="M392" s="2">
        <v>1480.83</v>
      </c>
      <c r="N392" s="2">
        <v>8.9999999999999993E-3</v>
      </c>
      <c r="O392" s="2">
        <v>11</v>
      </c>
    </row>
    <row r="393" spans="1:15" x14ac:dyDescent="0.3">
      <c r="A393" s="2" t="s">
        <v>405</v>
      </c>
      <c r="B393" s="3">
        <v>45514</v>
      </c>
      <c r="C393" s="3">
        <v>45542</v>
      </c>
      <c r="D393" s="2" t="s">
        <v>649</v>
      </c>
      <c r="E393" s="2" t="s">
        <v>657</v>
      </c>
      <c r="F393" s="2" t="s">
        <v>673</v>
      </c>
      <c r="G393" s="2" t="s">
        <v>703</v>
      </c>
      <c r="H393" s="2" t="s">
        <v>711</v>
      </c>
      <c r="I393" s="2" t="s">
        <v>721</v>
      </c>
      <c r="J393" s="2" t="s">
        <v>728</v>
      </c>
      <c r="K393" s="2" t="s">
        <v>1124</v>
      </c>
      <c r="L393" s="2">
        <v>229.96</v>
      </c>
      <c r="M393" s="2">
        <v>564.26</v>
      </c>
      <c r="N393" s="2">
        <v>0.105</v>
      </c>
      <c r="O393" s="2">
        <v>5</v>
      </c>
    </row>
    <row r="394" spans="1:15" x14ac:dyDescent="0.3">
      <c r="A394" s="2" t="s">
        <v>406</v>
      </c>
      <c r="B394" s="3">
        <v>45208</v>
      </c>
      <c r="C394" s="3">
        <v>45225</v>
      </c>
      <c r="D394" s="2" t="s">
        <v>647</v>
      </c>
      <c r="E394" s="2" t="s">
        <v>659</v>
      </c>
      <c r="F394" s="2" t="s">
        <v>685</v>
      </c>
      <c r="G394" s="2" t="s">
        <v>704</v>
      </c>
      <c r="H394" s="2" t="s">
        <v>709</v>
      </c>
      <c r="I394" s="2" t="s">
        <v>712</v>
      </c>
      <c r="J394" s="2" t="s">
        <v>727</v>
      </c>
      <c r="K394" s="2" t="s">
        <v>1125</v>
      </c>
      <c r="L394" s="2">
        <v>1132.03</v>
      </c>
      <c r="M394" s="2">
        <v>2137.21</v>
      </c>
      <c r="N394" s="2">
        <v>0.35699999999999998</v>
      </c>
      <c r="O394" s="2">
        <v>35</v>
      </c>
    </row>
    <row r="395" spans="1:15" x14ac:dyDescent="0.3">
      <c r="A395" s="2" t="s">
        <v>407</v>
      </c>
      <c r="B395" s="3">
        <v>45360</v>
      </c>
      <c r="C395" s="3">
        <v>45377</v>
      </c>
      <c r="D395" s="2" t="s">
        <v>648</v>
      </c>
      <c r="E395" s="2" t="s">
        <v>660</v>
      </c>
      <c r="F395" s="2" t="s">
        <v>686</v>
      </c>
      <c r="G395" s="2" t="s">
        <v>702</v>
      </c>
      <c r="H395" s="2" t="s">
        <v>711</v>
      </c>
      <c r="I395" s="2" t="s">
        <v>714</v>
      </c>
      <c r="J395" s="2" t="s">
        <v>730</v>
      </c>
      <c r="K395" s="2" t="s">
        <v>1126</v>
      </c>
      <c r="L395" s="2">
        <v>1137.4100000000001</v>
      </c>
      <c r="M395" s="2">
        <v>1680.93</v>
      </c>
      <c r="N395" s="2">
        <v>0.254</v>
      </c>
      <c r="O395" s="2">
        <v>9</v>
      </c>
    </row>
    <row r="396" spans="1:15" x14ac:dyDescent="0.3">
      <c r="A396" s="2" t="s">
        <v>408</v>
      </c>
      <c r="B396" s="3">
        <v>45075</v>
      </c>
      <c r="C396" s="3">
        <v>45097</v>
      </c>
      <c r="D396" s="2" t="s">
        <v>649</v>
      </c>
      <c r="E396" s="2" t="s">
        <v>658</v>
      </c>
      <c r="F396" s="2" t="s">
        <v>683</v>
      </c>
      <c r="G396" s="2" t="s">
        <v>705</v>
      </c>
      <c r="H396" s="2" t="s">
        <v>711</v>
      </c>
      <c r="I396" s="2" t="s">
        <v>723</v>
      </c>
      <c r="J396" s="2" t="s">
        <v>727</v>
      </c>
      <c r="K396" s="2" t="s">
        <v>1127</v>
      </c>
      <c r="L396" s="2">
        <v>1295.3900000000001</v>
      </c>
      <c r="M396" s="2">
        <v>2905.06</v>
      </c>
      <c r="N396" s="2">
        <v>0.14799999999999999</v>
      </c>
      <c r="O396" s="2">
        <v>8</v>
      </c>
    </row>
    <row r="397" spans="1:15" x14ac:dyDescent="0.3">
      <c r="A397" s="2" t="s">
        <v>409</v>
      </c>
      <c r="B397" s="3">
        <v>45804</v>
      </c>
      <c r="C397" s="3">
        <v>45816</v>
      </c>
      <c r="D397" s="2" t="s">
        <v>647</v>
      </c>
      <c r="E397" s="2" t="s">
        <v>652</v>
      </c>
      <c r="F397" s="2" t="s">
        <v>666</v>
      </c>
      <c r="G397" s="2" t="s">
        <v>701</v>
      </c>
      <c r="H397" s="2" t="s">
        <v>707</v>
      </c>
      <c r="I397" s="2" t="s">
        <v>722</v>
      </c>
      <c r="J397" s="2" t="s">
        <v>733</v>
      </c>
      <c r="K397" s="2" t="s">
        <v>1128</v>
      </c>
      <c r="L397" s="2">
        <v>653.6</v>
      </c>
      <c r="M397" s="2">
        <v>842.09</v>
      </c>
      <c r="N397" s="2">
        <v>9.8000000000000004E-2</v>
      </c>
      <c r="O397" s="2">
        <v>19</v>
      </c>
    </row>
    <row r="398" spans="1:15" x14ac:dyDescent="0.3">
      <c r="A398" s="2" t="s">
        <v>410</v>
      </c>
      <c r="B398" s="3">
        <v>45890</v>
      </c>
      <c r="C398" s="3">
        <v>45914</v>
      </c>
      <c r="D398" s="2" t="s">
        <v>649</v>
      </c>
      <c r="E398" s="2" t="s">
        <v>656</v>
      </c>
      <c r="F398" s="2" t="s">
        <v>671</v>
      </c>
      <c r="G398" s="2" t="s">
        <v>703</v>
      </c>
      <c r="H398" s="2" t="s">
        <v>708</v>
      </c>
      <c r="I398" s="2" t="s">
        <v>720</v>
      </c>
      <c r="J398" s="2" t="s">
        <v>732</v>
      </c>
      <c r="K398" s="2" t="s">
        <v>1129</v>
      </c>
      <c r="L398" s="2">
        <v>1397.67</v>
      </c>
      <c r="M398" s="2">
        <v>3131.37</v>
      </c>
      <c r="N398" s="2">
        <v>0.10299999999999999</v>
      </c>
      <c r="O398" s="2">
        <v>20</v>
      </c>
    </row>
    <row r="399" spans="1:15" x14ac:dyDescent="0.3">
      <c r="A399" s="2" t="s">
        <v>411</v>
      </c>
      <c r="B399" s="3">
        <v>45638</v>
      </c>
      <c r="C399" s="3">
        <v>45646</v>
      </c>
      <c r="D399" s="2" t="s">
        <v>647</v>
      </c>
      <c r="E399" s="2" t="s">
        <v>652</v>
      </c>
      <c r="F399" s="2" t="s">
        <v>689</v>
      </c>
      <c r="G399" s="2" t="s">
        <v>701</v>
      </c>
      <c r="H399" s="2" t="s">
        <v>707</v>
      </c>
      <c r="I399" s="2" t="s">
        <v>717</v>
      </c>
      <c r="J399" s="2" t="s">
        <v>731</v>
      </c>
      <c r="K399" s="2" t="s">
        <v>1130</v>
      </c>
      <c r="L399" s="2">
        <v>1202.47</v>
      </c>
      <c r="M399" s="2">
        <v>1444.72</v>
      </c>
      <c r="N399" s="2">
        <v>0.24099999999999999</v>
      </c>
      <c r="O399" s="2">
        <v>17</v>
      </c>
    </row>
    <row r="400" spans="1:15" x14ac:dyDescent="0.3">
      <c r="A400" s="2" t="s">
        <v>412</v>
      </c>
      <c r="B400" s="3">
        <v>45914</v>
      </c>
      <c r="C400" s="3">
        <v>45923</v>
      </c>
      <c r="D400" s="2" t="s">
        <v>646</v>
      </c>
      <c r="E400" s="2" t="s">
        <v>661</v>
      </c>
      <c r="F400" s="2" t="s">
        <v>687</v>
      </c>
      <c r="G400" s="2" t="s">
        <v>703</v>
      </c>
      <c r="H400" s="2" t="s">
        <v>708</v>
      </c>
      <c r="I400" s="2" t="s">
        <v>726</v>
      </c>
      <c r="J400" s="2" t="s">
        <v>727</v>
      </c>
      <c r="K400" s="2" t="s">
        <v>1131</v>
      </c>
      <c r="L400" s="2">
        <v>1310.3</v>
      </c>
      <c r="M400" s="2">
        <v>2875.8</v>
      </c>
      <c r="N400" s="2">
        <v>8.3000000000000004E-2</v>
      </c>
      <c r="O400" s="2">
        <v>5</v>
      </c>
    </row>
    <row r="401" spans="1:15" x14ac:dyDescent="0.3">
      <c r="A401" s="2" t="s">
        <v>413</v>
      </c>
      <c r="B401" s="3">
        <v>45541</v>
      </c>
      <c r="C401" s="3">
        <v>45569</v>
      </c>
      <c r="D401" s="2" t="s">
        <v>646</v>
      </c>
      <c r="E401" s="2" t="s">
        <v>661</v>
      </c>
      <c r="F401" s="2" t="s">
        <v>695</v>
      </c>
      <c r="G401" s="2" t="s">
        <v>701</v>
      </c>
      <c r="H401" s="2" t="s">
        <v>709</v>
      </c>
      <c r="I401" s="2" t="s">
        <v>726</v>
      </c>
      <c r="J401" s="2" t="s">
        <v>732</v>
      </c>
      <c r="K401" s="2" t="s">
        <v>1132</v>
      </c>
      <c r="L401" s="2">
        <v>1174.17</v>
      </c>
      <c r="M401" s="2">
        <v>1641.61</v>
      </c>
      <c r="N401" s="2">
        <v>0.122</v>
      </c>
      <c r="O401" s="2">
        <v>9</v>
      </c>
    </row>
    <row r="402" spans="1:15" x14ac:dyDescent="0.3">
      <c r="A402" s="2" t="s">
        <v>414</v>
      </c>
      <c r="B402" s="3">
        <v>45759</v>
      </c>
      <c r="C402" s="3">
        <v>45777</v>
      </c>
      <c r="D402" s="2" t="s">
        <v>646</v>
      </c>
      <c r="E402" s="2" t="s">
        <v>650</v>
      </c>
      <c r="F402" s="2" t="s">
        <v>662</v>
      </c>
      <c r="G402" s="2" t="s">
        <v>701</v>
      </c>
      <c r="H402" s="2" t="s">
        <v>709</v>
      </c>
      <c r="I402" s="2" t="s">
        <v>721</v>
      </c>
      <c r="J402" s="2" t="s">
        <v>729</v>
      </c>
      <c r="K402" s="2" t="s">
        <v>1133</v>
      </c>
      <c r="L402" s="2">
        <v>1119.04</v>
      </c>
      <c r="M402" s="2">
        <v>1299.02</v>
      </c>
      <c r="N402" s="2">
        <v>2.5000000000000001E-2</v>
      </c>
      <c r="O402" s="2">
        <v>14</v>
      </c>
    </row>
    <row r="403" spans="1:15" x14ac:dyDescent="0.3">
      <c r="A403" s="2" t="s">
        <v>415</v>
      </c>
      <c r="B403" s="3">
        <v>45516</v>
      </c>
      <c r="C403" s="3">
        <v>45519</v>
      </c>
      <c r="D403" s="2" t="s">
        <v>648</v>
      </c>
      <c r="E403" s="2" t="s">
        <v>660</v>
      </c>
      <c r="F403" s="2" t="s">
        <v>677</v>
      </c>
      <c r="G403" s="2" t="s">
        <v>701</v>
      </c>
      <c r="H403" s="2" t="s">
        <v>709</v>
      </c>
      <c r="I403" s="2" t="s">
        <v>726</v>
      </c>
      <c r="J403" s="2" t="s">
        <v>728</v>
      </c>
      <c r="K403" s="2" t="s">
        <v>1134</v>
      </c>
      <c r="L403" s="2">
        <v>850.7</v>
      </c>
      <c r="M403" s="2">
        <v>1118.56</v>
      </c>
      <c r="N403" s="2">
        <v>0.18</v>
      </c>
      <c r="O403" s="2">
        <v>19</v>
      </c>
    </row>
    <row r="404" spans="1:15" x14ac:dyDescent="0.3">
      <c r="A404" s="2" t="s">
        <v>416</v>
      </c>
      <c r="B404" s="3">
        <v>45601</v>
      </c>
      <c r="C404" s="3">
        <v>45604</v>
      </c>
      <c r="D404" s="2" t="s">
        <v>648</v>
      </c>
      <c r="E404" s="2" t="s">
        <v>653</v>
      </c>
      <c r="F404" s="2" t="s">
        <v>667</v>
      </c>
      <c r="G404" s="2" t="s">
        <v>702</v>
      </c>
      <c r="H404" s="2" t="s">
        <v>709</v>
      </c>
      <c r="I404" s="2" t="s">
        <v>719</v>
      </c>
      <c r="J404" s="2" t="s">
        <v>727</v>
      </c>
      <c r="K404" s="2" t="s">
        <v>1135</v>
      </c>
      <c r="L404" s="2">
        <v>1020.4</v>
      </c>
      <c r="M404" s="2">
        <v>1184.71</v>
      </c>
      <c r="N404" s="2">
        <v>0.106</v>
      </c>
      <c r="O404" s="2">
        <v>16</v>
      </c>
    </row>
    <row r="405" spans="1:15" x14ac:dyDescent="0.3">
      <c r="A405" s="2" t="s">
        <v>417</v>
      </c>
      <c r="B405" s="3">
        <v>45497</v>
      </c>
      <c r="C405" s="3">
        <v>45512</v>
      </c>
      <c r="D405" s="2" t="s">
        <v>649</v>
      </c>
      <c r="E405" s="2" t="s">
        <v>657</v>
      </c>
      <c r="F405" s="2" t="s">
        <v>673</v>
      </c>
      <c r="G405" s="2" t="s">
        <v>706</v>
      </c>
      <c r="H405" s="2" t="s">
        <v>709</v>
      </c>
      <c r="I405" s="2" t="s">
        <v>722</v>
      </c>
      <c r="J405" s="2" t="s">
        <v>731</v>
      </c>
      <c r="K405" s="2" t="s">
        <v>1136</v>
      </c>
      <c r="L405" s="2">
        <v>501.5</v>
      </c>
      <c r="M405" s="2">
        <v>1201.47</v>
      </c>
      <c r="N405" s="2">
        <v>0.126</v>
      </c>
      <c r="O405" s="2">
        <v>5</v>
      </c>
    </row>
    <row r="406" spans="1:15" x14ac:dyDescent="0.3">
      <c r="A406" s="2" t="s">
        <v>418</v>
      </c>
      <c r="B406" s="3">
        <v>45677</v>
      </c>
      <c r="C406" s="3">
        <v>45691</v>
      </c>
      <c r="D406" s="2" t="s">
        <v>648</v>
      </c>
      <c r="E406" s="2" t="s">
        <v>655</v>
      </c>
      <c r="F406" s="2" t="s">
        <v>672</v>
      </c>
      <c r="G406" s="2" t="s">
        <v>706</v>
      </c>
      <c r="H406" s="2" t="s">
        <v>709</v>
      </c>
      <c r="I406" s="2" t="s">
        <v>721</v>
      </c>
      <c r="J406" s="2" t="s">
        <v>727</v>
      </c>
      <c r="K406" s="2" t="s">
        <v>1137</v>
      </c>
      <c r="L406" s="2">
        <v>974.11</v>
      </c>
      <c r="M406" s="2">
        <v>880.99</v>
      </c>
      <c r="N406" s="2">
        <v>0.111</v>
      </c>
      <c r="O406" s="2">
        <v>10</v>
      </c>
    </row>
    <row r="407" spans="1:15" x14ac:dyDescent="0.3">
      <c r="A407" s="2" t="s">
        <v>419</v>
      </c>
      <c r="B407" s="3">
        <v>44991</v>
      </c>
      <c r="C407" s="3">
        <v>45020</v>
      </c>
      <c r="D407" s="2" t="s">
        <v>647</v>
      </c>
      <c r="E407" s="2" t="s">
        <v>659</v>
      </c>
      <c r="F407" s="2" t="s">
        <v>699</v>
      </c>
      <c r="G407" s="2" t="s">
        <v>705</v>
      </c>
      <c r="H407" s="2" t="s">
        <v>711</v>
      </c>
      <c r="I407" s="2" t="s">
        <v>712</v>
      </c>
      <c r="J407" s="2" t="s">
        <v>732</v>
      </c>
      <c r="K407" s="2" t="s">
        <v>1138</v>
      </c>
      <c r="L407" s="2">
        <v>1126.29</v>
      </c>
      <c r="M407" s="2">
        <v>2050.87</v>
      </c>
      <c r="N407" s="2">
        <v>6.4000000000000001E-2</v>
      </c>
      <c r="O407" s="2">
        <v>7</v>
      </c>
    </row>
    <row r="408" spans="1:15" x14ac:dyDescent="0.3">
      <c r="A408" s="2" t="s">
        <v>420</v>
      </c>
      <c r="B408" s="3">
        <v>45646</v>
      </c>
      <c r="C408" s="3">
        <v>45671</v>
      </c>
      <c r="D408" s="2" t="s">
        <v>647</v>
      </c>
      <c r="E408" s="2" t="s">
        <v>654</v>
      </c>
      <c r="F408" s="2" t="s">
        <v>680</v>
      </c>
      <c r="G408" s="2" t="s">
        <v>705</v>
      </c>
      <c r="H408" s="2" t="s">
        <v>707</v>
      </c>
      <c r="I408" s="2" t="s">
        <v>724</v>
      </c>
      <c r="J408" s="2" t="s">
        <v>728</v>
      </c>
      <c r="K408" s="2" t="s">
        <v>1139</v>
      </c>
      <c r="L408" s="2">
        <v>1361.34</v>
      </c>
      <c r="M408" s="2">
        <v>1737.9</v>
      </c>
      <c r="N408" s="2">
        <v>7.6999999999999999E-2</v>
      </c>
      <c r="O408" s="2">
        <v>14</v>
      </c>
    </row>
    <row r="409" spans="1:15" x14ac:dyDescent="0.3">
      <c r="A409" s="2" t="s">
        <v>421</v>
      </c>
      <c r="B409" s="3">
        <v>45709</v>
      </c>
      <c r="C409" s="3">
        <v>45737</v>
      </c>
      <c r="D409" s="2" t="s">
        <v>646</v>
      </c>
      <c r="E409" s="2" t="s">
        <v>651</v>
      </c>
      <c r="F409" s="2" t="s">
        <v>669</v>
      </c>
      <c r="G409" s="2" t="s">
        <v>706</v>
      </c>
      <c r="H409" s="2" t="s">
        <v>709</v>
      </c>
      <c r="I409" s="2" t="s">
        <v>714</v>
      </c>
      <c r="J409" s="2" t="s">
        <v>730</v>
      </c>
      <c r="K409" s="2" t="s">
        <v>1140</v>
      </c>
      <c r="L409" s="2">
        <v>1437.39</v>
      </c>
      <c r="M409" s="2">
        <v>1388.31</v>
      </c>
      <c r="N409" s="2">
        <v>0.13800000000000001</v>
      </c>
      <c r="O409" s="2">
        <v>18</v>
      </c>
    </row>
    <row r="410" spans="1:15" x14ac:dyDescent="0.3">
      <c r="A410" s="2" t="s">
        <v>422</v>
      </c>
      <c r="B410" s="3">
        <v>45724</v>
      </c>
      <c r="C410" s="3">
        <v>45731</v>
      </c>
      <c r="D410" s="2" t="s">
        <v>647</v>
      </c>
      <c r="E410" s="2" t="s">
        <v>654</v>
      </c>
      <c r="F410" s="2" t="s">
        <v>668</v>
      </c>
      <c r="G410" s="2" t="s">
        <v>701</v>
      </c>
      <c r="H410" s="2" t="s">
        <v>710</v>
      </c>
      <c r="I410" s="2" t="s">
        <v>723</v>
      </c>
      <c r="J410" s="2" t="s">
        <v>731</v>
      </c>
      <c r="K410" s="2" t="s">
        <v>1141</v>
      </c>
      <c r="L410" s="2">
        <v>475.66</v>
      </c>
      <c r="M410" s="2">
        <v>529.14</v>
      </c>
      <c r="N410" s="2">
        <v>0.19600000000000001</v>
      </c>
      <c r="O410" s="2">
        <v>11</v>
      </c>
    </row>
    <row r="411" spans="1:15" x14ac:dyDescent="0.3">
      <c r="A411" s="2" t="s">
        <v>423</v>
      </c>
      <c r="B411" s="3">
        <v>45276</v>
      </c>
      <c r="C411" s="3">
        <v>45279</v>
      </c>
      <c r="D411" s="2" t="s">
        <v>647</v>
      </c>
      <c r="E411" s="2" t="s">
        <v>659</v>
      </c>
      <c r="F411" s="2" t="s">
        <v>699</v>
      </c>
      <c r="G411" s="2" t="s">
        <v>702</v>
      </c>
      <c r="H411" s="2" t="s">
        <v>707</v>
      </c>
      <c r="I411" s="2" t="s">
        <v>720</v>
      </c>
      <c r="J411" s="2" t="s">
        <v>733</v>
      </c>
      <c r="K411" s="2" t="s">
        <v>1142</v>
      </c>
      <c r="L411" s="2">
        <v>1415.05</v>
      </c>
      <c r="M411" s="2">
        <v>1972.38</v>
      </c>
      <c r="N411" s="2">
        <v>0</v>
      </c>
      <c r="O411" s="2">
        <v>12</v>
      </c>
    </row>
    <row r="412" spans="1:15" x14ac:dyDescent="0.3">
      <c r="A412" s="2" t="s">
        <v>424</v>
      </c>
      <c r="B412" s="3">
        <v>45534</v>
      </c>
      <c r="C412" s="3">
        <v>45540</v>
      </c>
      <c r="D412" s="2" t="s">
        <v>647</v>
      </c>
      <c r="E412" s="2" t="s">
        <v>652</v>
      </c>
      <c r="F412" s="2" t="s">
        <v>694</v>
      </c>
      <c r="G412" s="2" t="s">
        <v>702</v>
      </c>
      <c r="H412" s="2" t="s">
        <v>708</v>
      </c>
      <c r="I412" s="2" t="s">
        <v>725</v>
      </c>
      <c r="J412" s="2" t="s">
        <v>731</v>
      </c>
      <c r="K412" s="2" t="s">
        <v>1143</v>
      </c>
      <c r="L412" s="2">
        <v>466.16</v>
      </c>
      <c r="M412" s="2">
        <v>876.81</v>
      </c>
      <c r="N412" s="2">
        <v>0.24099999999999999</v>
      </c>
      <c r="O412" s="2">
        <v>8</v>
      </c>
    </row>
    <row r="413" spans="1:15" x14ac:dyDescent="0.3">
      <c r="A413" s="2" t="s">
        <v>425</v>
      </c>
      <c r="B413" s="3">
        <v>45430</v>
      </c>
      <c r="C413" s="3">
        <v>45433</v>
      </c>
      <c r="D413" s="2" t="s">
        <v>649</v>
      </c>
      <c r="E413" s="2" t="s">
        <v>657</v>
      </c>
      <c r="F413" s="2" t="s">
        <v>673</v>
      </c>
      <c r="G413" s="2" t="s">
        <v>703</v>
      </c>
      <c r="H413" s="2" t="s">
        <v>709</v>
      </c>
      <c r="I413" s="2" t="s">
        <v>726</v>
      </c>
      <c r="J413" s="2" t="s">
        <v>728</v>
      </c>
      <c r="K413" s="2" t="s">
        <v>1144</v>
      </c>
      <c r="L413" s="2">
        <v>663.66</v>
      </c>
      <c r="M413" s="2">
        <v>824.26</v>
      </c>
      <c r="N413" s="2">
        <v>0.23899999999999999</v>
      </c>
      <c r="O413" s="2">
        <v>11</v>
      </c>
    </row>
    <row r="414" spans="1:15" x14ac:dyDescent="0.3">
      <c r="A414" s="2" t="s">
        <v>426</v>
      </c>
      <c r="B414" s="3">
        <v>45002</v>
      </c>
      <c r="C414" s="3">
        <v>45022</v>
      </c>
      <c r="D414" s="2" t="s">
        <v>649</v>
      </c>
      <c r="E414" s="2" t="s">
        <v>656</v>
      </c>
      <c r="F414" s="2" t="s">
        <v>684</v>
      </c>
      <c r="G414" s="2" t="s">
        <v>704</v>
      </c>
      <c r="H414" s="2" t="s">
        <v>707</v>
      </c>
      <c r="I414" s="2" t="s">
        <v>719</v>
      </c>
      <c r="J414" s="2" t="s">
        <v>730</v>
      </c>
      <c r="K414" s="2" t="s">
        <v>1145</v>
      </c>
      <c r="L414" s="2">
        <v>692.18</v>
      </c>
      <c r="M414" s="2">
        <v>1159.3499999999999</v>
      </c>
      <c r="N414" s="2">
        <v>0.112</v>
      </c>
      <c r="O414" s="2">
        <v>2</v>
      </c>
    </row>
    <row r="415" spans="1:15" x14ac:dyDescent="0.3">
      <c r="A415" s="2" t="s">
        <v>427</v>
      </c>
      <c r="B415" s="3">
        <v>45163</v>
      </c>
      <c r="C415" s="3">
        <v>45185</v>
      </c>
      <c r="D415" s="2" t="s">
        <v>646</v>
      </c>
      <c r="E415" s="2" t="s">
        <v>651</v>
      </c>
      <c r="F415" s="2" t="s">
        <v>669</v>
      </c>
      <c r="G415" s="2" t="s">
        <v>701</v>
      </c>
      <c r="H415" s="2" t="s">
        <v>709</v>
      </c>
      <c r="I415" s="2" t="s">
        <v>716</v>
      </c>
      <c r="J415" s="2" t="s">
        <v>730</v>
      </c>
      <c r="K415" s="2" t="s">
        <v>1146</v>
      </c>
      <c r="L415" s="2">
        <v>1196.83</v>
      </c>
      <c r="M415" s="2">
        <v>2513.5100000000002</v>
      </c>
      <c r="N415" s="2">
        <v>8.3000000000000004E-2</v>
      </c>
      <c r="O415" s="2">
        <v>7</v>
      </c>
    </row>
    <row r="416" spans="1:15" x14ac:dyDescent="0.3">
      <c r="A416" s="2" t="s">
        <v>428</v>
      </c>
      <c r="B416" s="3">
        <v>45449</v>
      </c>
      <c r="C416" s="3">
        <v>45467</v>
      </c>
      <c r="D416" s="2" t="s">
        <v>647</v>
      </c>
      <c r="E416" s="2" t="s">
        <v>654</v>
      </c>
      <c r="F416" s="2" t="s">
        <v>668</v>
      </c>
      <c r="G416" s="2" t="s">
        <v>705</v>
      </c>
      <c r="H416" s="2" t="s">
        <v>711</v>
      </c>
      <c r="I416" s="2" t="s">
        <v>722</v>
      </c>
      <c r="J416" s="2" t="s">
        <v>729</v>
      </c>
      <c r="K416" s="2" t="s">
        <v>1147</v>
      </c>
      <c r="L416" s="2">
        <v>1253.25</v>
      </c>
      <c r="M416" s="2">
        <v>3087.13</v>
      </c>
      <c r="N416" s="2">
        <v>7.1999999999999995E-2</v>
      </c>
      <c r="O416" s="2">
        <v>11</v>
      </c>
    </row>
    <row r="417" spans="1:15" x14ac:dyDescent="0.3">
      <c r="A417" s="2" t="s">
        <v>429</v>
      </c>
      <c r="B417" s="3">
        <v>45167</v>
      </c>
      <c r="C417" s="3">
        <v>45182</v>
      </c>
      <c r="D417" s="2" t="s">
        <v>648</v>
      </c>
      <c r="E417" s="2" t="s">
        <v>653</v>
      </c>
      <c r="F417" s="2" t="s">
        <v>688</v>
      </c>
      <c r="G417" s="2" t="s">
        <v>705</v>
      </c>
      <c r="H417" s="2" t="s">
        <v>709</v>
      </c>
      <c r="I417" s="2" t="s">
        <v>719</v>
      </c>
      <c r="J417" s="2" t="s">
        <v>728</v>
      </c>
      <c r="K417" s="2" t="s">
        <v>1148</v>
      </c>
      <c r="L417" s="2">
        <v>1287.6400000000001</v>
      </c>
      <c r="M417" s="2">
        <v>2717.15</v>
      </c>
      <c r="N417" s="2">
        <v>3.2000000000000001E-2</v>
      </c>
      <c r="O417" s="2">
        <v>7</v>
      </c>
    </row>
    <row r="418" spans="1:15" x14ac:dyDescent="0.3">
      <c r="A418" s="2" t="s">
        <v>430</v>
      </c>
      <c r="B418" s="3">
        <v>45626</v>
      </c>
      <c r="C418" s="3">
        <v>45636</v>
      </c>
      <c r="D418" s="2" t="s">
        <v>647</v>
      </c>
      <c r="E418" s="2" t="s">
        <v>654</v>
      </c>
      <c r="F418" s="2" t="s">
        <v>696</v>
      </c>
      <c r="G418" s="2" t="s">
        <v>705</v>
      </c>
      <c r="H418" s="2" t="s">
        <v>707</v>
      </c>
      <c r="I418" s="2" t="s">
        <v>721</v>
      </c>
      <c r="J418" s="2" t="s">
        <v>733</v>
      </c>
      <c r="K418" s="2" t="s">
        <v>1149</v>
      </c>
      <c r="L418" s="2">
        <v>851.49</v>
      </c>
      <c r="M418" s="2">
        <v>901.79</v>
      </c>
      <c r="N418" s="2">
        <v>0.245</v>
      </c>
      <c r="O418" s="2">
        <v>16</v>
      </c>
    </row>
    <row r="419" spans="1:15" x14ac:dyDescent="0.3">
      <c r="A419" s="2" t="s">
        <v>431</v>
      </c>
      <c r="B419" s="3">
        <v>45813</v>
      </c>
      <c r="C419" s="3">
        <v>45822</v>
      </c>
      <c r="D419" s="2" t="s">
        <v>647</v>
      </c>
      <c r="E419" s="2" t="s">
        <v>654</v>
      </c>
      <c r="F419" s="2" t="s">
        <v>680</v>
      </c>
      <c r="G419" s="2" t="s">
        <v>703</v>
      </c>
      <c r="H419" s="2" t="s">
        <v>707</v>
      </c>
      <c r="I419" s="2" t="s">
        <v>720</v>
      </c>
      <c r="J419" s="2" t="s">
        <v>733</v>
      </c>
      <c r="K419" s="2" t="s">
        <v>1150</v>
      </c>
      <c r="L419" s="2">
        <v>618.69000000000005</v>
      </c>
      <c r="M419" s="2">
        <v>796.15</v>
      </c>
      <c r="N419" s="2">
        <v>0.09</v>
      </c>
      <c r="O419" s="2">
        <v>11</v>
      </c>
    </row>
    <row r="420" spans="1:15" x14ac:dyDescent="0.3">
      <c r="A420" s="2" t="s">
        <v>432</v>
      </c>
      <c r="B420" s="3">
        <v>45730</v>
      </c>
      <c r="C420" s="3">
        <v>45755</v>
      </c>
      <c r="D420" s="2" t="s">
        <v>647</v>
      </c>
      <c r="E420" s="2" t="s">
        <v>659</v>
      </c>
      <c r="F420" s="2"/>
      <c r="G420" s="2" t="s">
        <v>701</v>
      </c>
      <c r="H420" s="2" t="s">
        <v>710</v>
      </c>
      <c r="I420" s="2" t="s">
        <v>726</v>
      </c>
      <c r="J420" s="2" t="s">
        <v>728</v>
      </c>
      <c r="K420" s="2" t="s">
        <v>1151</v>
      </c>
      <c r="L420" s="2">
        <v>80.59</v>
      </c>
      <c r="M420" s="2">
        <v>157.82</v>
      </c>
      <c r="N420" s="2">
        <v>0.217</v>
      </c>
      <c r="O420" s="2">
        <v>6</v>
      </c>
    </row>
    <row r="421" spans="1:15" x14ac:dyDescent="0.3">
      <c r="A421" s="2" t="s">
        <v>433</v>
      </c>
      <c r="B421" s="3">
        <v>45307</v>
      </c>
      <c r="C421" s="3">
        <v>45333</v>
      </c>
      <c r="D421" s="2" t="s">
        <v>649</v>
      </c>
      <c r="E421" s="2" t="s">
        <v>656</v>
      </c>
      <c r="F421" s="2" t="s">
        <v>698</v>
      </c>
      <c r="G421" s="2" t="s">
        <v>703</v>
      </c>
      <c r="H421" s="2" t="s">
        <v>710</v>
      </c>
      <c r="I421" s="2" t="s">
        <v>718</v>
      </c>
      <c r="J421" s="2" t="s">
        <v>732</v>
      </c>
      <c r="K421" s="2" t="s">
        <v>1152</v>
      </c>
      <c r="L421" s="2">
        <v>504.93</v>
      </c>
      <c r="M421" s="2">
        <v>819.06</v>
      </c>
      <c r="N421" s="2">
        <v>0.22600000000000001</v>
      </c>
      <c r="O421" s="2">
        <v>15</v>
      </c>
    </row>
    <row r="422" spans="1:15" x14ac:dyDescent="0.3">
      <c r="A422" s="2" t="s">
        <v>434</v>
      </c>
      <c r="B422" s="3">
        <v>45211</v>
      </c>
      <c r="C422" s="3">
        <v>45228</v>
      </c>
      <c r="D422" s="2" t="s">
        <v>647</v>
      </c>
      <c r="E422" s="2" t="s">
        <v>652</v>
      </c>
      <c r="F422" s="2" t="s">
        <v>694</v>
      </c>
      <c r="G422" s="2" t="s">
        <v>703</v>
      </c>
      <c r="H422" s="2" t="s">
        <v>711</v>
      </c>
      <c r="I422" s="2" t="s">
        <v>722</v>
      </c>
      <c r="J422" s="2" t="s">
        <v>730</v>
      </c>
      <c r="K422" s="2" t="s">
        <v>1153</v>
      </c>
      <c r="L422" s="2">
        <v>1102.19</v>
      </c>
      <c r="M422" s="2">
        <v>1711.16</v>
      </c>
      <c r="N422" s="2">
        <v>0.151</v>
      </c>
      <c r="O422" s="2">
        <v>10</v>
      </c>
    </row>
    <row r="423" spans="1:15" x14ac:dyDescent="0.3">
      <c r="A423" s="2" t="s">
        <v>435</v>
      </c>
      <c r="B423" s="3">
        <v>45713</v>
      </c>
      <c r="C423" s="3">
        <v>45733</v>
      </c>
      <c r="D423" s="2" t="s">
        <v>648</v>
      </c>
      <c r="E423" s="2" t="s">
        <v>660</v>
      </c>
      <c r="F423" s="2" t="s">
        <v>686</v>
      </c>
      <c r="G423" s="2" t="s">
        <v>703</v>
      </c>
      <c r="H423" s="2" t="s">
        <v>709</v>
      </c>
      <c r="I423" s="2" t="s">
        <v>722</v>
      </c>
      <c r="J423" s="2" t="s">
        <v>730</v>
      </c>
      <c r="K423" s="2" t="s">
        <v>1154</v>
      </c>
      <c r="L423" s="2">
        <v>1205.26</v>
      </c>
      <c r="M423" s="2">
        <v>1696.35</v>
      </c>
      <c r="N423" s="2">
        <v>1.9E-2</v>
      </c>
      <c r="O423" s="2">
        <v>6</v>
      </c>
    </row>
    <row r="424" spans="1:15" x14ac:dyDescent="0.3">
      <c r="A424" s="2" t="s">
        <v>436</v>
      </c>
      <c r="B424" s="3">
        <v>45841</v>
      </c>
      <c r="C424" s="3">
        <v>45844</v>
      </c>
      <c r="D424" s="2" t="s">
        <v>646</v>
      </c>
      <c r="E424" s="2" t="s">
        <v>651</v>
      </c>
      <c r="F424" s="2" t="s">
        <v>665</v>
      </c>
      <c r="G424" s="2" t="s">
        <v>704</v>
      </c>
      <c r="H424" s="2" t="s">
        <v>708</v>
      </c>
      <c r="I424" s="2"/>
      <c r="J424" s="2" t="s">
        <v>731</v>
      </c>
      <c r="K424" s="2" t="s">
        <v>1155</v>
      </c>
      <c r="L424" s="2">
        <v>1313.3</v>
      </c>
      <c r="M424" s="2">
        <v>2884.34</v>
      </c>
      <c r="N424" s="2">
        <v>0.157</v>
      </c>
      <c r="O424" s="2">
        <v>42</v>
      </c>
    </row>
    <row r="425" spans="1:15" x14ac:dyDescent="0.3">
      <c r="A425" s="2" t="s">
        <v>437</v>
      </c>
      <c r="B425" s="3">
        <v>45915</v>
      </c>
      <c r="C425" s="3">
        <v>45925</v>
      </c>
      <c r="D425" s="2" t="s">
        <v>647</v>
      </c>
      <c r="E425" s="2" t="s">
        <v>654</v>
      </c>
      <c r="F425" s="2" t="s">
        <v>680</v>
      </c>
      <c r="G425" s="2" t="s">
        <v>704</v>
      </c>
      <c r="H425" s="2" t="s">
        <v>707</v>
      </c>
      <c r="I425" s="2" t="s">
        <v>720</v>
      </c>
      <c r="J425" s="2" t="s">
        <v>730</v>
      </c>
      <c r="K425" s="2" t="s">
        <v>1156</v>
      </c>
      <c r="L425" s="2">
        <v>1488.91</v>
      </c>
      <c r="M425" s="2">
        <v>1483.74</v>
      </c>
      <c r="N425" s="2">
        <v>0.16800000000000001</v>
      </c>
      <c r="O425" s="2">
        <v>24</v>
      </c>
    </row>
    <row r="426" spans="1:15" x14ac:dyDescent="0.3">
      <c r="A426" s="2" t="s">
        <v>438</v>
      </c>
      <c r="B426" s="3">
        <v>45341</v>
      </c>
      <c r="C426" s="3">
        <v>45357</v>
      </c>
      <c r="D426" s="2" t="s">
        <v>647</v>
      </c>
      <c r="E426" s="2" t="s">
        <v>659</v>
      </c>
      <c r="F426" s="2" t="s">
        <v>699</v>
      </c>
      <c r="G426" s="2" t="s">
        <v>702</v>
      </c>
      <c r="H426" s="2" t="s">
        <v>709</v>
      </c>
      <c r="I426" s="2" t="s">
        <v>719</v>
      </c>
      <c r="J426" s="2" t="s">
        <v>728</v>
      </c>
      <c r="K426" s="2" t="s">
        <v>1157</v>
      </c>
      <c r="L426" s="2">
        <v>1477.84</v>
      </c>
      <c r="M426" s="2">
        <v>3197.47</v>
      </c>
      <c r="N426" s="2">
        <v>0.24299999999999999</v>
      </c>
      <c r="O426" s="2">
        <v>24</v>
      </c>
    </row>
    <row r="427" spans="1:15" x14ac:dyDescent="0.3">
      <c r="A427" s="2" t="s">
        <v>439</v>
      </c>
      <c r="B427" s="3">
        <v>45349</v>
      </c>
      <c r="C427" s="3">
        <v>45377</v>
      </c>
      <c r="D427" s="2" t="s">
        <v>647</v>
      </c>
      <c r="E427" s="2" t="s">
        <v>654</v>
      </c>
      <c r="F427" s="2" t="s">
        <v>691</v>
      </c>
      <c r="G427" s="2" t="s">
        <v>702</v>
      </c>
      <c r="H427" s="2" t="s">
        <v>709</v>
      </c>
      <c r="I427" s="2" t="s">
        <v>715</v>
      </c>
      <c r="J427" s="2" t="s">
        <v>731</v>
      </c>
      <c r="K427" s="2" t="s">
        <v>1158</v>
      </c>
      <c r="L427" s="2">
        <v>1035.19</v>
      </c>
      <c r="M427" s="2">
        <v>2322.6999999999998</v>
      </c>
      <c r="N427" s="2">
        <v>0.17299999999999999</v>
      </c>
      <c r="O427" s="2">
        <v>8</v>
      </c>
    </row>
    <row r="428" spans="1:15" x14ac:dyDescent="0.3">
      <c r="A428" s="2" t="s">
        <v>440</v>
      </c>
      <c r="B428" s="3">
        <v>45897</v>
      </c>
      <c r="C428" s="3">
        <v>45905</v>
      </c>
      <c r="D428" s="2" t="s">
        <v>646</v>
      </c>
      <c r="E428" s="2" t="s">
        <v>651</v>
      </c>
      <c r="F428" s="2" t="s">
        <v>663</v>
      </c>
      <c r="G428" s="2" t="s">
        <v>705</v>
      </c>
      <c r="H428" s="2" t="s">
        <v>709</v>
      </c>
      <c r="I428" s="2" t="s">
        <v>718</v>
      </c>
      <c r="J428" s="2" t="s">
        <v>731</v>
      </c>
      <c r="K428" s="2" t="s">
        <v>1159</v>
      </c>
      <c r="L428" s="2">
        <v>1271.0999999999999</v>
      </c>
      <c r="M428" s="2">
        <v>1932.42</v>
      </c>
      <c r="N428" s="2">
        <v>0.25</v>
      </c>
      <c r="O428" s="2">
        <v>21</v>
      </c>
    </row>
    <row r="429" spans="1:15" x14ac:dyDescent="0.3">
      <c r="A429" s="2" t="s">
        <v>441</v>
      </c>
      <c r="B429" s="3">
        <v>45522</v>
      </c>
      <c r="C429" s="3">
        <v>45547</v>
      </c>
      <c r="D429" s="2" t="s">
        <v>647</v>
      </c>
      <c r="E429" s="2" t="s">
        <v>654</v>
      </c>
      <c r="F429" s="2" t="s">
        <v>691</v>
      </c>
      <c r="G429" s="2" t="s">
        <v>704</v>
      </c>
      <c r="H429" s="2" t="s">
        <v>709</v>
      </c>
      <c r="I429" s="2" t="s">
        <v>712</v>
      </c>
      <c r="J429" s="2" t="s">
        <v>730</v>
      </c>
      <c r="K429" s="2" t="s">
        <v>1160</v>
      </c>
      <c r="L429" s="2">
        <v>1154.03</v>
      </c>
      <c r="M429" s="2">
        <v>1590.36</v>
      </c>
      <c r="N429" s="2">
        <v>0.314</v>
      </c>
      <c r="O429" s="2">
        <v>18</v>
      </c>
    </row>
    <row r="430" spans="1:15" x14ac:dyDescent="0.3">
      <c r="A430" s="2" t="s">
        <v>442</v>
      </c>
      <c r="B430" s="3">
        <v>45347</v>
      </c>
      <c r="C430" s="3">
        <v>45360</v>
      </c>
      <c r="D430" s="2" t="s">
        <v>649</v>
      </c>
      <c r="E430" s="2" t="s">
        <v>657</v>
      </c>
      <c r="F430" s="2" t="s">
        <v>673</v>
      </c>
      <c r="G430" s="2" t="s">
        <v>705</v>
      </c>
      <c r="H430" s="2" t="s">
        <v>710</v>
      </c>
      <c r="I430" s="2" t="s">
        <v>718</v>
      </c>
      <c r="J430" s="2" t="s">
        <v>732</v>
      </c>
      <c r="K430" s="2" t="s">
        <v>1161</v>
      </c>
      <c r="L430" s="2">
        <v>322.44</v>
      </c>
      <c r="M430" s="2">
        <v>395.61</v>
      </c>
      <c r="N430" s="2">
        <v>0</v>
      </c>
      <c r="O430" s="2">
        <v>34</v>
      </c>
    </row>
    <row r="431" spans="1:15" x14ac:dyDescent="0.3">
      <c r="A431" s="2" t="s">
        <v>443</v>
      </c>
      <c r="B431" s="3">
        <v>45784</v>
      </c>
      <c r="C431" s="3">
        <v>45790</v>
      </c>
      <c r="D431" s="2" t="s">
        <v>647</v>
      </c>
      <c r="E431" s="2" t="s">
        <v>654</v>
      </c>
      <c r="F431" s="2" t="s">
        <v>668</v>
      </c>
      <c r="G431" s="2" t="s">
        <v>706</v>
      </c>
      <c r="H431" s="2" t="s">
        <v>711</v>
      </c>
      <c r="I431" s="2" t="s">
        <v>713</v>
      </c>
      <c r="J431" s="2" t="s">
        <v>730</v>
      </c>
      <c r="K431" s="2" t="s">
        <v>1162</v>
      </c>
      <c r="L431" s="2">
        <v>935.98</v>
      </c>
      <c r="M431" s="2">
        <v>2077.69</v>
      </c>
      <c r="N431" s="2">
        <v>0.17499999999999999</v>
      </c>
      <c r="O431" s="2">
        <v>24</v>
      </c>
    </row>
    <row r="432" spans="1:15" x14ac:dyDescent="0.3">
      <c r="A432" s="2" t="s">
        <v>444</v>
      </c>
      <c r="B432" s="3">
        <v>45597</v>
      </c>
      <c r="C432" s="3">
        <v>45608</v>
      </c>
      <c r="D432" s="2" t="s">
        <v>649</v>
      </c>
      <c r="E432" s="2" t="s">
        <v>656</v>
      </c>
      <c r="F432" s="2" t="s">
        <v>698</v>
      </c>
      <c r="G432" s="2" t="s">
        <v>704</v>
      </c>
      <c r="H432" s="2" t="s">
        <v>708</v>
      </c>
      <c r="I432" s="2" t="s">
        <v>717</v>
      </c>
      <c r="J432" s="2" t="s">
        <v>728</v>
      </c>
      <c r="K432" s="2" t="s">
        <v>1163</v>
      </c>
      <c r="L432" s="2">
        <v>599.84</v>
      </c>
      <c r="M432" s="2">
        <v>1330.85</v>
      </c>
      <c r="N432" s="2">
        <v>0.115</v>
      </c>
      <c r="O432" s="2">
        <v>11</v>
      </c>
    </row>
    <row r="433" spans="1:15" x14ac:dyDescent="0.3">
      <c r="A433" s="2" t="s">
        <v>445</v>
      </c>
      <c r="B433" s="3">
        <v>45654</v>
      </c>
      <c r="C433" s="3">
        <v>45665</v>
      </c>
      <c r="D433" s="2" t="s">
        <v>647</v>
      </c>
      <c r="E433" s="2" t="s">
        <v>659</v>
      </c>
      <c r="F433" s="2" t="s">
        <v>676</v>
      </c>
      <c r="G433" s="2" t="s">
        <v>706</v>
      </c>
      <c r="H433" s="2" t="s">
        <v>708</v>
      </c>
      <c r="I433" s="2" t="s">
        <v>723</v>
      </c>
      <c r="J433" s="2" t="s">
        <v>731</v>
      </c>
      <c r="K433" s="2" t="s">
        <v>1164</v>
      </c>
      <c r="L433" s="2">
        <v>1201.31</v>
      </c>
      <c r="M433" s="2">
        <v>2764.65</v>
      </c>
      <c r="N433" s="2">
        <v>0</v>
      </c>
      <c r="O433" s="2">
        <v>21</v>
      </c>
    </row>
    <row r="434" spans="1:15" x14ac:dyDescent="0.3">
      <c r="A434" s="2" t="s">
        <v>446</v>
      </c>
      <c r="B434" s="3">
        <v>45220</v>
      </c>
      <c r="C434" s="3">
        <v>45220</v>
      </c>
      <c r="D434" s="2" t="s">
        <v>649</v>
      </c>
      <c r="E434" s="2" t="s">
        <v>658</v>
      </c>
      <c r="F434" s="2" t="s">
        <v>693</v>
      </c>
      <c r="G434" s="2" t="s">
        <v>706</v>
      </c>
      <c r="H434" s="2" t="s">
        <v>710</v>
      </c>
      <c r="I434" s="2" t="s">
        <v>713</v>
      </c>
      <c r="J434" s="2" t="s">
        <v>732</v>
      </c>
      <c r="K434" s="2" t="s">
        <v>1165</v>
      </c>
      <c r="L434" s="2">
        <v>384.19</v>
      </c>
      <c r="M434" s="2">
        <v>278.35000000000002</v>
      </c>
      <c r="N434" s="2">
        <v>5.6000000000000001E-2</v>
      </c>
      <c r="O434" s="2">
        <v>10</v>
      </c>
    </row>
    <row r="435" spans="1:15" x14ac:dyDescent="0.3">
      <c r="A435" s="2" t="s">
        <v>447</v>
      </c>
      <c r="B435" s="3">
        <v>45636</v>
      </c>
      <c r="C435" s="3">
        <v>45645</v>
      </c>
      <c r="D435" s="2" t="s">
        <v>646</v>
      </c>
      <c r="E435" s="2" t="s">
        <v>651</v>
      </c>
      <c r="F435" s="2" t="s">
        <v>665</v>
      </c>
      <c r="G435" s="2" t="s">
        <v>701</v>
      </c>
      <c r="H435" s="2" t="s">
        <v>707</v>
      </c>
      <c r="I435" s="2" t="s">
        <v>719</v>
      </c>
      <c r="J435" s="2" t="s">
        <v>732</v>
      </c>
      <c r="K435" s="2" t="s">
        <v>1166</v>
      </c>
      <c r="L435" s="2">
        <v>488.68</v>
      </c>
      <c r="M435" s="2">
        <v>984.36</v>
      </c>
      <c r="N435" s="2">
        <v>5.8999999999999997E-2</v>
      </c>
      <c r="O435" s="2">
        <v>14</v>
      </c>
    </row>
    <row r="436" spans="1:15" x14ac:dyDescent="0.3">
      <c r="A436" s="2" t="s">
        <v>448</v>
      </c>
      <c r="B436" s="3">
        <v>45542</v>
      </c>
      <c r="C436" s="3">
        <v>45553</v>
      </c>
      <c r="D436" s="2" t="s">
        <v>647</v>
      </c>
      <c r="E436" s="2" t="s">
        <v>659</v>
      </c>
      <c r="F436" s="2" t="s">
        <v>699</v>
      </c>
      <c r="G436" s="2" t="s">
        <v>704</v>
      </c>
      <c r="H436" s="2" t="s">
        <v>710</v>
      </c>
      <c r="I436" s="2" t="s">
        <v>719</v>
      </c>
      <c r="J436" s="2" t="s">
        <v>729</v>
      </c>
      <c r="K436" s="2" t="s">
        <v>1167</v>
      </c>
      <c r="L436" s="2">
        <v>181.74</v>
      </c>
      <c r="M436" s="2">
        <v>190.84</v>
      </c>
      <c r="N436" s="2">
        <v>0.214</v>
      </c>
      <c r="O436" s="2">
        <v>13</v>
      </c>
    </row>
    <row r="437" spans="1:15" x14ac:dyDescent="0.3">
      <c r="A437" s="2" t="s">
        <v>449</v>
      </c>
      <c r="B437" s="3">
        <v>45217</v>
      </c>
      <c r="C437" s="3">
        <v>45219</v>
      </c>
      <c r="D437" s="2" t="s">
        <v>646</v>
      </c>
      <c r="E437" s="2" t="s">
        <v>650</v>
      </c>
      <c r="F437" s="2" t="s">
        <v>662</v>
      </c>
      <c r="G437" s="2" t="s">
        <v>704</v>
      </c>
      <c r="H437" s="2" t="s">
        <v>707</v>
      </c>
      <c r="I437" s="2" t="s">
        <v>713</v>
      </c>
      <c r="J437" s="2" t="s">
        <v>730</v>
      </c>
      <c r="K437" s="2" t="s">
        <v>1168</v>
      </c>
      <c r="L437" s="2">
        <v>774.12</v>
      </c>
      <c r="M437" s="2">
        <v>908.3</v>
      </c>
      <c r="N437" s="2">
        <v>0</v>
      </c>
      <c r="O437" s="2">
        <v>30</v>
      </c>
    </row>
    <row r="438" spans="1:15" x14ac:dyDescent="0.3">
      <c r="A438" s="2" t="s">
        <v>450</v>
      </c>
      <c r="B438" s="3">
        <v>45650</v>
      </c>
      <c r="C438" s="3">
        <v>45670</v>
      </c>
      <c r="D438" s="2" t="s">
        <v>647</v>
      </c>
      <c r="E438" s="2" t="s">
        <v>654</v>
      </c>
      <c r="F438" s="2" t="s">
        <v>668</v>
      </c>
      <c r="G438" s="2" t="s">
        <v>701</v>
      </c>
      <c r="H438" s="2" t="s">
        <v>709</v>
      </c>
      <c r="I438" s="2" t="s">
        <v>726</v>
      </c>
      <c r="J438" s="2" t="s">
        <v>729</v>
      </c>
      <c r="K438" s="2" t="s">
        <v>1169</v>
      </c>
      <c r="L438" s="2">
        <v>126.15</v>
      </c>
      <c r="M438" s="2">
        <v>284.23</v>
      </c>
      <c r="N438" s="2">
        <v>0.113</v>
      </c>
      <c r="O438" s="2">
        <v>22</v>
      </c>
    </row>
    <row r="439" spans="1:15" x14ac:dyDescent="0.3">
      <c r="A439" s="2" t="s">
        <v>451</v>
      </c>
      <c r="B439" s="3">
        <v>45037</v>
      </c>
      <c r="C439" s="3">
        <v>45035</v>
      </c>
      <c r="D439" s="2" t="s">
        <v>647</v>
      </c>
      <c r="E439" s="2" t="s">
        <v>652</v>
      </c>
      <c r="F439" s="2" t="s">
        <v>694</v>
      </c>
      <c r="G439" s="2" t="s">
        <v>705</v>
      </c>
      <c r="H439" s="2" t="s">
        <v>711</v>
      </c>
      <c r="I439" s="2" t="s">
        <v>724</v>
      </c>
      <c r="J439" s="2" t="s">
        <v>727</v>
      </c>
      <c r="K439" s="2" t="s">
        <v>1170</v>
      </c>
      <c r="L439" s="2">
        <v>607.04</v>
      </c>
      <c r="M439" s="2">
        <v>1229.3399999999999</v>
      </c>
      <c r="N439" s="2">
        <v>0.14699999999999999</v>
      </c>
      <c r="O439" s="2">
        <v>7</v>
      </c>
    </row>
    <row r="440" spans="1:15" x14ac:dyDescent="0.3">
      <c r="A440" s="2" t="s">
        <v>452</v>
      </c>
      <c r="B440" s="3">
        <v>45290</v>
      </c>
      <c r="C440" s="3">
        <v>45299</v>
      </c>
      <c r="D440" s="2" t="s">
        <v>649</v>
      </c>
      <c r="E440" s="2" t="s">
        <v>657</v>
      </c>
      <c r="F440" s="2" t="s">
        <v>673</v>
      </c>
      <c r="G440" s="2" t="s">
        <v>704</v>
      </c>
      <c r="H440" s="2" t="s">
        <v>709</v>
      </c>
      <c r="I440" s="2" t="s">
        <v>716</v>
      </c>
      <c r="J440" s="2" t="s">
        <v>733</v>
      </c>
      <c r="K440" s="2" t="s">
        <v>1171</v>
      </c>
      <c r="L440" s="2">
        <v>861.1</v>
      </c>
      <c r="M440" s="2">
        <v>1224.72</v>
      </c>
      <c r="N440" s="2">
        <v>0.17399999999999999</v>
      </c>
      <c r="O440" s="2">
        <v>24</v>
      </c>
    </row>
    <row r="441" spans="1:15" x14ac:dyDescent="0.3">
      <c r="A441" s="2" t="s">
        <v>453</v>
      </c>
      <c r="B441" s="3">
        <v>44978</v>
      </c>
      <c r="C441" s="3">
        <v>44997</v>
      </c>
      <c r="D441" s="2" t="s">
        <v>646</v>
      </c>
      <c r="E441" s="2" t="s">
        <v>650</v>
      </c>
      <c r="F441" s="2" t="s">
        <v>678</v>
      </c>
      <c r="G441" s="2" t="s">
        <v>701</v>
      </c>
      <c r="H441" s="2" t="s">
        <v>708</v>
      </c>
      <c r="I441" s="2" t="s">
        <v>721</v>
      </c>
      <c r="J441" s="2" t="s">
        <v>729</v>
      </c>
      <c r="K441" s="2" t="s">
        <v>1172</v>
      </c>
      <c r="L441" s="2">
        <v>352.65</v>
      </c>
      <c r="M441" s="2">
        <v>485.86</v>
      </c>
      <c r="N441" s="2">
        <v>4.1000000000000002E-2</v>
      </c>
      <c r="O441" s="2">
        <v>6</v>
      </c>
    </row>
    <row r="442" spans="1:15" x14ac:dyDescent="0.3">
      <c r="A442" s="2" t="s">
        <v>454</v>
      </c>
      <c r="B442" s="3">
        <v>45063</v>
      </c>
      <c r="C442" s="3">
        <v>45080</v>
      </c>
      <c r="D442" s="2" t="s">
        <v>647</v>
      </c>
      <c r="E442" s="2" t="s">
        <v>659</v>
      </c>
      <c r="F442" s="2" t="s">
        <v>699</v>
      </c>
      <c r="G442" s="2" t="s">
        <v>703</v>
      </c>
      <c r="H442" s="2" t="s">
        <v>710</v>
      </c>
      <c r="I442" s="2" t="s">
        <v>724</v>
      </c>
      <c r="J442" s="2" t="s">
        <v>728</v>
      </c>
      <c r="K442" s="2" t="s">
        <v>1173</v>
      </c>
      <c r="L442" s="2">
        <v>979.59</v>
      </c>
      <c r="M442" s="2">
        <v>2210.94</v>
      </c>
      <c r="N442" s="2">
        <v>0.15</v>
      </c>
      <c r="O442" s="2">
        <v>11</v>
      </c>
    </row>
    <row r="443" spans="1:15" x14ac:dyDescent="0.3">
      <c r="A443" s="2" t="s">
        <v>455</v>
      </c>
      <c r="B443" s="3">
        <v>45374</v>
      </c>
      <c r="C443" s="3">
        <v>45377</v>
      </c>
      <c r="D443" s="2" t="s">
        <v>647</v>
      </c>
      <c r="E443" s="2" t="s">
        <v>654</v>
      </c>
      <c r="F443" s="2" t="s">
        <v>668</v>
      </c>
      <c r="G443" s="2" t="s">
        <v>702</v>
      </c>
      <c r="H443" s="2" t="s">
        <v>711</v>
      </c>
      <c r="I443" s="2" t="s">
        <v>715</v>
      </c>
      <c r="J443" s="2" t="s">
        <v>730</v>
      </c>
      <c r="K443" s="2" t="s">
        <v>1174</v>
      </c>
      <c r="L443" s="2">
        <v>382.21</v>
      </c>
      <c r="M443" s="2">
        <v>571.89</v>
      </c>
      <c r="N443" s="2">
        <v>0.14799999999999999</v>
      </c>
      <c r="O443" s="2">
        <v>26</v>
      </c>
    </row>
    <row r="444" spans="1:15" x14ac:dyDescent="0.3">
      <c r="A444" s="2" t="s">
        <v>456</v>
      </c>
      <c r="B444" s="3">
        <v>45189</v>
      </c>
      <c r="C444" s="3">
        <v>45197</v>
      </c>
      <c r="D444" s="2" t="s">
        <v>647</v>
      </c>
      <c r="E444" s="2" t="s">
        <v>654</v>
      </c>
      <c r="F444" s="2"/>
      <c r="G444" s="2" t="s">
        <v>701</v>
      </c>
      <c r="H444" s="2"/>
      <c r="I444" s="2" t="s">
        <v>717</v>
      </c>
      <c r="J444" s="2" t="s">
        <v>733</v>
      </c>
      <c r="K444" s="2" t="s">
        <v>1175</v>
      </c>
      <c r="L444" s="2">
        <v>1362.06</v>
      </c>
      <c r="M444" s="2">
        <v>3398.37</v>
      </c>
      <c r="N444" s="2">
        <v>0.157</v>
      </c>
      <c r="O444" s="2">
        <v>11</v>
      </c>
    </row>
    <row r="445" spans="1:15" x14ac:dyDescent="0.3">
      <c r="A445" s="2" t="s">
        <v>457</v>
      </c>
      <c r="B445" s="3">
        <v>45526</v>
      </c>
      <c r="C445" s="3">
        <v>45539</v>
      </c>
      <c r="D445" s="2" t="s">
        <v>649</v>
      </c>
      <c r="E445" s="2" t="s">
        <v>656</v>
      </c>
      <c r="F445" s="2" t="s">
        <v>698</v>
      </c>
      <c r="G445" s="2" t="s">
        <v>703</v>
      </c>
      <c r="H445" s="2" t="s">
        <v>707</v>
      </c>
      <c r="I445" s="2" t="s">
        <v>716</v>
      </c>
      <c r="J445" s="2" t="s">
        <v>728</v>
      </c>
      <c r="K445" s="2" t="s">
        <v>1176</v>
      </c>
      <c r="L445" s="2">
        <v>90.04</v>
      </c>
      <c r="M445" s="2">
        <v>194.62</v>
      </c>
      <c r="N445" s="2">
        <v>4.2999999999999997E-2</v>
      </c>
      <c r="O445" s="2">
        <v>32</v>
      </c>
    </row>
    <row r="446" spans="1:15" x14ac:dyDescent="0.3">
      <c r="A446" s="2" t="s">
        <v>458</v>
      </c>
      <c r="B446" s="3">
        <v>45560</v>
      </c>
      <c r="C446" s="3">
        <v>45568</v>
      </c>
      <c r="D446" s="2" t="s">
        <v>648</v>
      </c>
      <c r="E446" s="2" t="s">
        <v>653</v>
      </c>
      <c r="F446" s="2" t="s">
        <v>667</v>
      </c>
      <c r="G446" s="2" t="s">
        <v>704</v>
      </c>
      <c r="H446" s="2" t="s">
        <v>708</v>
      </c>
      <c r="I446" s="2" t="s">
        <v>718</v>
      </c>
      <c r="J446" s="2" t="s">
        <v>728</v>
      </c>
      <c r="K446" s="2" t="s">
        <v>1177</v>
      </c>
      <c r="L446" s="2">
        <v>558.19000000000005</v>
      </c>
      <c r="M446" s="2">
        <v>1031.6400000000001</v>
      </c>
      <c r="N446" s="2">
        <v>0</v>
      </c>
      <c r="O446" s="2">
        <v>21</v>
      </c>
    </row>
    <row r="447" spans="1:15" x14ac:dyDescent="0.3">
      <c r="A447" s="2" t="s">
        <v>459</v>
      </c>
      <c r="B447" s="3">
        <v>45090</v>
      </c>
      <c r="C447" s="3">
        <v>45101</v>
      </c>
      <c r="D447" s="2" t="s">
        <v>648</v>
      </c>
      <c r="E447" s="2" t="s">
        <v>653</v>
      </c>
      <c r="F447" s="2" t="s">
        <v>667</v>
      </c>
      <c r="G447" s="2" t="s">
        <v>701</v>
      </c>
      <c r="H447" s="2" t="s">
        <v>708</v>
      </c>
      <c r="I447" s="2" t="s">
        <v>712</v>
      </c>
      <c r="J447" s="2" t="s">
        <v>728</v>
      </c>
      <c r="K447" s="2" t="s">
        <v>1178</v>
      </c>
      <c r="L447" s="2">
        <v>247.07</v>
      </c>
      <c r="M447" s="2">
        <v>495.19</v>
      </c>
      <c r="N447" s="2">
        <v>2.8000000000000001E-2</v>
      </c>
      <c r="O447" s="2">
        <v>4</v>
      </c>
    </row>
    <row r="448" spans="1:15" x14ac:dyDescent="0.3">
      <c r="A448" s="2" t="s">
        <v>460</v>
      </c>
      <c r="B448" s="3">
        <v>45284</v>
      </c>
      <c r="C448" s="3">
        <v>45304</v>
      </c>
      <c r="D448" s="2" t="s">
        <v>647</v>
      </c>
      <c r="E448" s="2" t="s">
        <v>652</v>
      </c>
      <c r="F448" s="2" t="s">
        <v>694</v>
      </c>
      <c r="G448" s="2" t="s">
        <v>702</v>
      </c>
      <c r="H448" s="2" t="s">
        <v>711</v>
      </c>
      <c r="I448" s="2" t="s">
        <v>717</v>
      </c>
      <c r="J448" s="2" t="s">
        <v>731</v>
      </c>
      <c r="K448" s="2" t="s">
        <v>1179</v>
      </c>
      <c r="L448" s="2">
        <v>625.37</v>
      </c>
      <c r="M448" s="2">
        <v>1319.04</v>
      </c>
      <c r="N448" s="2">
        <v>7.3999999999999996E-2</v>
      </c>
      <c r="O448" s="2">
        <v>8</v>
      </c>
    </row>
    <row r="449" spans="1:15" x14ac:dyDescent="0.3">
      <c r="A449" s="2" t="s">
        <v>461</v>
      </c>
      <c r="B449" s="3">
        <v>45746</v>
      </c>
      <c r="C449" s="3">
        <v>45776</v>
      </c>
      <c r="D449" s="2" t="s">
        <v>646</v>
      </c>
      <c r="E449" s="2" t="s">
        <v>661</v>
      </c>
      <c r="F449" s="2" t="s">
        <v>687</v>
      </c>
      <c r="G449" s="2" t="s">
        <v>704</v>
      </c>
      <c r="H449" s="2" t="s">
        <v>709</v>
      </c>
      <c r="I449" s="2" t="s">
        <v>713</v>
      </c>
      <c r="J449" s="2" t="s">
        <v>732</v>
      </c>
      <c r="K449" s="2" t="s">
        <v>1180</v>
      </c>
      <c r="L449" s="2">
        <v>194.6</v>
      </c>
      <c r="M449" s="2">
        <v>314.87</v>
      </c>
      <c r="N449" s="2">
        <v>0.29299999999999998</v>
      </c>
      <c r="O449" s="2">
        <v>25</v>
      </c>
    </row>
    <row r="450" spans="1:15" x14ac:dyDescent="0.3">
      <c r="A450" s="2" t="s">
        <v>462</v>
      </c>
      <c r="B450" s="3">
        <v>45446</v>
      </c>
      <c r="C450" s="3">
        <v>45467</v>
      </c>
      <c r="D450" s="2" t="s">
        <v>648</v>
      </c>
      <c r="E450" s="2" t="s">
        <v>653</v>
      </c>
      <c r="F450" s="2" t="s">
        <v>667</v>
      </c>
      <c r="G450" s="2" t="s">
        <v>705</v>
      </c>
      <c r="H450" s="2" t="s">
        <v>711</v>
      </c>
      <c r="I450" s="2" t="s">
        <v>715</v>
      </c>
      <c r="J450" s="2" t="s">
        <v>732</v>
      </c>
      <c r="K450" s="2" t="s">
        <v>1181</v>
      </c>
      <c r="L450" s="2">
        <v>1205.5</v>
      </c>
      <c r="M450" s="2">
        <v>2210.17</v>
      </c>
      <c r="N450" s="2">
        <v>0.104</v>
      </c>
      <c r="O450" s="2">
        <v>23</v>
      </c>
    </row>
    <row r="451" spans="1:15" x14ac:dyDescent="0.3">
      <c r="A451" s="2" t="s">
        <v>463</v>
      </c>
      <c r="B451" s="3">
        <v>45454</v>
      </c>
      <c r="C451" s="3">
        <v>45482</v>
      </c>
      <c r="D451" s="2" t="s">
        <v>646</v>
      </c>
      <c r="E451" s="2" t="s">
        <v>651</v>
      </c>
      <c r="F451" s="2" t="s">
        <v>663</v>
      </c>
      <c r="G451" s="2" t="s">
        <v>701</v>
      </c>
      <c r="H451" s="2" t="s">
        <v>709</v>
      </c>
      <c r="I451" s="2" t="s">
        <v>714</v>
      </c>
      <c r="J451" s="2" t="s">
        <v>730</v>
      </c>
      <c r="K451" s="2" t="s">
        <v>1182</v>
      </c>
      <c r="L451" s="2">
        <v>895.54</v>
      </c>
      <c r="M451" s="2">
        <v>1045</v>
      </c>
      <c r="N451" s="2">
        <v>0.216</v>
      </c>
      <c r="O451" s="2">
        <v>15</v>
      </c>
    </row>
    <row r="452" spans="1:15" x14ac:dyDescent="0.3">
      <c r="A452" s="2" t="s">
        <v>464</v>
      </c>
      <c r="B452" s="3">
        <v>45129</v>
      </c>
      <c r="C452" s="3">
        <v>45128</v>
      </c>
      <c r="D452" s="2" t="s">
        <v>647</v>
      </c>
      <c r="E452" s="2" t="s">
        <v>654</v>
      </c>
      <c r="F452" s="2" t="s">
        <v>680</v>
      </c>
      <c r="G452" s="2" t="s">
        <v>705</v>
      </c>
      <c r="H452" s="2" t="s">
        <v>710</v>
      </c>
      <c r="I452" s="2" t="s">
        <v>718</v>
      </c>
      <c r="J452" s="2" t="s">
        <v>728</v>
      </c>
      <c r="K452" s="2" t="s">
        <v>1183</v>
      </c>
      <c r="L452" s="2">
        <v>946.99</v>
      </c>
      <c r="M452" s="2">
        <v>2132.19</v>
      </c>
      <c r="N452" s="2">
        <v>0.16500000000000001</v>
      </c>
      <c r="O452" s="2">
        <v>7</v>
      </c>
    </row>
    <row r="453" spans="1:15" x14ac:dyDescent="0.3">
      <c r="A453" s="2" t="s">
        <v>465</v>
      </c>
      <c r="B453" s="3">
        <v>44945</v>
      </c>
      <c r="C453" s="3">
        <v>44960</v>
      </c>
      <c r="D453" s="2" t="s">
        <v>649</v>
      </c>
      <c r="E453" s="2" t="s">
        <v>658</v>
      </c>
      <c r="F453" s="2" t="s">
        <v>683</v>
      </c>
      <c r="G453" s="2" t="s">
        <v>706</v>
      </c>
      <c r="H453" s="2" t="s">
        <v>710</v>
      </c>
      <c r="I453" s="2" t="s">
        <v>715</v>
      </c>
      <c r="J453" s="2" t="s">
        <v>733</v>
      </c>
      <c r="K453" s="2" t="s">
        <v>1184</v>
      </c>
      <c r="L453" s="2">
        <v>873.06</v>
      </c>
      <c r="M453" s="2">
        <v>2101.5500000000002</v>
      </c>
      <c r="N453" s="2">
        <v>6.6000000000000003E-2</v>
      </c>
      <c r="O453" s="2">
        <v>10</v>
      </c>
    </row>
    <row r="454" spans="1:15" x14ac:dyDescent="0.3">
      <c r="A454" s="2" t="s">
        <v>466</v>
      </c>
      <c r="B454" s="3">
        <v>45413</v>
      </c>
      <c r="C454" s="3">
        <v>45428</v>
      </c>
      <c r="D454" s="2" t="s">
        <v>647</v>
      </c>
      <c r="E454" s="2" t="s">
        <v>654</v>
      </c>
      <c r="F454" s="2" t="s">
        <v>668</v>
      </c>
      <c r="G454" s="2" t="s">
        <v>705</v>
      </c>
      <c r="H454" s="2" t="s">
        <v>707</v>
      </c>
      <c r="I454" s="2" t="s">
        <v>716</v>
      </c>
      <c r="J454" s="2" t="s">
        <v>727</v>
      </c>
      <c r="K454" s="2" t="s">
        <v>1185</v>
      </c>
      <c r="L454" s="2">
        <v>901.19</v>
      </c>
      <c r="M454" s="2">
        <v>2125.44</v>
      </c>
      <c r="N454" s="2">
        <v>7.0999999999999994E-2</v>
      </c>
      <c r="O454" s="2">
        <v>12</v>
      </c>
    </row>
    <row r="455" spans="1:15" x14ac:dyDescent="0.3">
      <c r="A455" s="2" t="s">
        <v>467</v>
      </c>
      <c r="B455" s="3">
        <v>45817</v>
      </c>
      <c r="C455" s="3">
        <v>45832</v>
      </c>
      <c r="D455" s="2" t="s">
        <v>647</v>
      </c>
      <c r="E455" s="2" t="s">
        <v>652</v>
      </c>
      <c r="F455" s="2" t="s">
        <v>694</v>
      </c>
      <c r="G455" s="2" t="s">
        <v>701</v>
      </c>
      <c r="H455" s="2" t="s">
        <v>711</v>
      </c>
      <c r="I455" s="2" t="s">
        <v>717</v>
      </c>
      <c r="J455" s="2" t="s">
        <v>730</v>
      </c>
      <c r="K455" s="2" t="s">
        <v>1186</v>
      </c>
      <c r="L455" s="2">
        <v>400.39</v>
      </c>
      <c r="M455" s="2">
        <v>712.75</v>
      </c>
      <c r="N455" s="2">
        <v>0.115</v>
      </c>
      <c r="O455" s="2">
        <v>19</v>
      </c>
    </row>
    <row r="456" spans="1:15" x14ac:dyDescent="0.3">
      <c r="A456" s="2" t="s">
        <v>468</v>
      </c>
      <c r="B456" s="3">
        <v>45070</v>
      </c>
      <c r="C456" s="3">
        <v>45098</v>
      </c>
      <c r="D456" s="2" t="s">
        <v>648</v>
      </c>
      <c r="E456" s="2" t="s">
        <v>660</v>
      </c>
      <c r="F456" s="2" t="s">
        <v>697</v>
      </c>
      <c r="G456" s="2" t="s">
        <v>705</v>
      </c>
      <c r="H456" s="2" t="s">
        <v>709</v>
      </c>
      <c r="I456" s="2" t="s">
        <v>715</v>
      </c>
      <c r="J456" s="2" t="s">
        <v>732</v>
      </c>
      <c r="K456" s="2" t="s">
        <v>1187</v>
      </c>
      <c r="L456" s="2">
        <v>813.97</v>
      </c>
      <c r="M456" s="2">
        <v>1568.83</v>
      </c>
      <c r="N456" s="2">
        <v>1.7000000000000001E-2</v>
      </c>
      <c r="O456" s="2">
        <v>15</v>
      </c>
    </row>
    <row r="457" spans="1:15" x14ac:dyDescent="0.3">
      <c r="A457" s="2" t="s">
        <v>469</v>
      </c>
      <c r="B457" s="3">
        <v>45653</v>
      </c>
      <c r="C457" s="3">
        <v>45655</v>
      </c>
      <c r="D457" s="2" t="s">
        <v>648</v>
      </c>
      <c r="E457" s="2" t="s">
        <v>653</v>
      </c>
      <c r="F457" s="2" t="s">
        <v>688</v>
      </c>
      <c r="G457" s="2" t="s">
        <v>706</v>
      </c>
      <c r="H457" s="2" t="s">
        <v>709</v>
      </c>
      <c r="I457" s="2" t="s">
        <v>712</v>
      </c>
      <c r="J457" s="2" t="s">
        <v>733</v>
      </c>
      <c r="K457" s="2" t="s">
        <v>1188</v>
      </c>
      <c r="L457" s="2">
        <v>1146.72</v>
      </c>
      <c r="M457" s="2">
        <v>2074.34</v>
      </c>
      <c r="N457" s="2">
        <v>0.111</v>
      </c>
      <c r="O457" s="2">
        <v>8</v>
      </c>
    </row>
    <row r="458" spans="1:15" x14ac:dyDescent="0.3">
      <c r="A458" s="2" t="s">
        <v>470</v>
      </c>
      <c r="B458" s="3">
        <v>45265</v>
      </c>
      <c r="C458" s="3">
        <v>45272</v>
      </c>
      <c r="D458" s="2" t="s">
        <v>648</v>
      </c>
      <c r="E458" s="2" t="s">
        <v>655</v>
      </c>
      <c r="F458" s="2" t="s">
        <v>672</v>
      </c>
      <c r="G458" s="2" t="s">
        <v>701</v>
      </c>
      <c r="H458" s="2" t="s">
        <v>711</v>
      </c>
      <c r="I458" s="2" t="s">
        <v>721</v>
      </c>
      <c r="J458" s="2" t="s">
        <v>730</v>
      </c>
      <c r="K458" s="2" t="s">
        <v>1189</v>
      </c>
      <c r="L458" s="2">
        <v>307.43</v>
      </c>
      <c r="M458" s="2">
        <v>495.19</v>
      </c>
      <c r="N458" s="2">
        <v>0</v>
      </c>
      <c r="O458" s="2">
        <v>42</v>
      </c>
    </row>
    <row r="459" spans="1:15" x14ac:dyDescent="0.3">
      <c r="A459" s="2" t="s">
        <v>471</v>
      </c>
      <c r="B459" s="3">
        <v>45048</v>
      </c>
      <c r="C459" s="3">
        <v>45065</v>
      </c>
      <c r="D459" s="2" t="s">
        <v>647</v>
      </c>
      <c r="E459" s="2" t="s">
        <v>659</v>
      </c>
      <c r="F459" s="2" t="s">
        <v>685</v>
      </c>
      <c r="G459" s="2" t="s">
        <v>703</v>
      </c>
      <c r="H459" s="2" t="s">
        <v>711</v>
      </c>
      <c r="I459" s="2" t="s">
        <v>713</v>
      </c>
      <c r="J459" s="2" t="s">
        <v>732</v>
      </c>
      <c r="K459" s="2" t="s">
        <v>1190</v>
      </c>
      <c r="L459" s="2">
        <v>714.28</v>
      </c>
      <c r="M459" s="2">
        <v>757.59</v>
      </c>
      <c r="N459" s="2">
        <v>0.13600000000000001</v>
      </c>
      <c r="O459" s="2">
        <v>12</v>
      </c>
    </row>
    <row r="460" spans="1:15" x14ac:dyDescent="0.3">
      <c r="A460" s="2" t="s">
        <v>472</v>
      </c>
      <c r="B460" s="3">
        <v>45260</v>
      </c>
      <c r="C460" s="3">
        <v>45270</v>
      </c>
      <c r="D460" s="2" t="s">
        <v>649</v>
      </c>
      <c r="E460" s="2" t="s">
        <v>656</v>
      </c>
      <c r="F460" s="2" t="s">
        <v>684</v>
      </c>
      <c r="G460" s="2" t="s">
        <v>705</v>
      </c>
      <c r="H460" s="2" t="s">
        <v>711</v>
      </c>
      <c r="I460" s="2" t="s">
        <v>721</v>
      </c>
      <c r="J460" s="2" t="s">
        <v>731</v>
      </c>
      <c r="K460" s="2" t="s">
        <v>1191</v>
      </c>
      <c r="L460" s="2">
        <v>174.74</v>
      </c>
      <c r="M460" s="2">
        <v>415.96</v>
      </c>
      <c r="N460" s="2">
        <v>0.125</v>
      </c>
      <c r="O460" s="2">
        <v>21</v>
      </c>
    </row>
    <row r="461" spans="1:15" x14ac:dyDescent="0.3">
      <c r="A461" s="2" t="s">
        <v>473</v>
      </c>
      <c r="B461" s="3">
        <v>45417</v>
      </c>
      <c r="C461" s="3">
        <v>45430</v>
      </c>
      <c r="D461" s="2" t="s">
        <v>649</v>
      </c>
      <c r="E461" s="2" t="s">
        <v>657</v>
      </c>
      <c r="F461" s="2" t="s">
        <v>673</v>
      </c>
      <c r="G461" s="2" t="s">
        <v>701</v>
      </c>
      <c r="H461" s="2" t="s">
        <v>709</v>
      </c>
      <c r="I461" s="2" t="s">
        <v>720</v>
      </c>
      <c r="J461" s="2" t="s">
        <v>727</v>
      </c>
      <c r="K461" s="2" t="s">
        <v>1192</v>
      </c>
      <c r="L461" s="2">
        <v>1264.04</v>
      </c>
      <c r="M461" s="2">
        <v>1870.89</v>
      </c>
      <c r="N461" s="2">
        <v>0</v>
      </c>
      <c r="O461" s="2">
        <v>13</v>
      </c>
    </row>
    <row r="462" spans="1:15" x14ac:dyDescent="0.3">
      <c r="A462" s="2" t="s">
        <v>474</v>
      </c>
      <c r="B462" s="3">
        <v>45116</v>
      </c>
      <c r="C462" s="3">
        <v>45126</v>
      </c>
      <c r="D462" s="2" t="s">
        <v>647</v>
      </c>
      <c r="E462" s="2" t="s">
        <v>652</v>
      </c>
      <c r="F462" s="2" t="s">
        <v>689</v>
      </c>
      <c r="G462" s="2" t="s">
        <v>706</v>
      </c>
      <c r="H462" s="2" t="s">
        <v>710</v>
      </c>
      <c r="I462" s="2" t="s">
        <v>725</v>
      </c>
      <c r="J462" s="2" t="s">
        <v>727</v>
      </c>
      <c r="K462" s="2" t="s">
        <v>1193</v>
      </c>
      <c r="L462" s="2">
        <v>141.26</v>
      </c>
      <c r="M462" s="2">
        <v>206.88</v>
      </c>
      <c r="N462" s="2">
        <v>0.107</v>
      </c>
      <c r="O462" s="2">
        <v>9</v>
      </c>
    </row>
    <row r="463" spans="1:15" x14ac:dyDescent="0.3">
      <c r="A463" s="2" t="s">
        <v>475</v>
      </c>
      <c r="B463" s="3">
        <v>45063</v>
      </c>
      <c r="C463" s="3">
        <v>45092</v>
      </c>
      <c r="D463" s="2" t="s">
        <v>646</v>
      </c>
      <c r="E463" s="2" t="s">
        <v>661</v>
      </c>
      <c r="F463" s="2" t="s">
        <v>687</v>
      </c>
      <c r="G463" s="2" t="s">
        <v>706</v>
      </c>
      <c r="H463" s="2" t="s">
        <v>707</v>
      </c>
      <c r="I463" s="2" t="s">
        <v>723</v>
      </c>
      <c r="J463" s="2" t="s">
        <v>733</v>
      </c>
      <c r="K463" s="2" t="s">
        <v>1194</v>
      </c>
      <c r="L463" s="2">
        <v>40.89</v>
      </c>
      <c r="M463" s="2">
        <v>62.82</v>
      </c>
      <c r="N463" s="2">
        <v>0.129</v>
      </c>
      <c r="O463" s="2">
        <v>17</v>
      </c>
    </row>
    <row r="464" spans="1:15" x14ac:dyDescent="0.3">
      <c r="A464" s="2" t="s">
        <v>476</v>
      </c>
      <c r="B464" s="3">
        <v>45358</v>
      </c>
      <c r="C464" s="3">
        <v>45385</v>
      </c>
      <c r="D464" s="2" t="s">
        <v>649</v>
      </c>
      <c r="E464" s="2" t="s">
        <v>656</v>
      </c>
      <c r="F464" s="2" t="s">
        <v>698</v>
      </c>
      <c r="G464" s="2" t="s">
        <v>701</v>
      </c>
      <c r="H464" s="2" t="s">
        <v>711</v>
      </c>
      <c r="I464" s="2" t="s">
        <v>724</v>
      </c>
      <c r="J464" s="2" t="s">
        <v>728</v>
      </c>
      <c r="K464" s="2" t="s">
        <v>1195</v>
      </c>
      <c r="L464" s="2">
        <v>738.16</v>
      </c>
      <c r="M464" s="2">
        <v>956.49</v>
      </c>
      <c r="N464" s="2">
        <v>0.152</v>
      </c>
      <c r="O464" s="2">
        <v>5</v>
      </c>
    </row>
    <row r="465" spans="1:15" x14ac:dyDescent="0.3">
      <c r="A465" s="2" t="s">
        <v>477</v>
      </c>
      <c r="B465" s="3">
        <v>45757</v>
      </c>
      <c r="C465" s="3">
        <v>45766</v>
      </c>
      <c r="D465" s="2" t="s">
        <v>646</v>
      </c>
      <c r="E465" s="2" t="s">
        <v>661</v>
      </c>
      <c r="F465" s="2" t="s">
        <v>687</v>
      </c>
      <c r="G465" s="2" t="s">
        <v>706</v>
      </c>
      <c r="H465" s="2"/>
      <c r="I465" s="2" t="s">
        <v>715</v>
      </c>
      <c r="J465" s="2" t="s">
        <v>729</v>
      </c>
      <c r="K465" s="2" t="s">
        <v>1196</v>
      </c>
      <c r="L465" s="2">
        <v>113.74</v>
      </c>
      <c r="M465" s="2">
        <v>165.7</v>
      </c>
      <c r="N465" s="2">
        <v>0.124</v>
      </c>
      <c r="O465" s="2">
        <v>13</v>
      </c>
    </row>
    <row r="466" spans="1:15" x14ac:dyDescent="0.3">
      <c r="A466" s="2" t="s">
        <v>478</v>
      </c>
      <c r="B466" s="3">
        <v>45865</v>
      </c>
      <c r="C466" s="3">
        <v>45884</v>
      </c>
      <c r="D466" s="2" t="s">
        <v>647</v>
      </c>
      <c r="E466" s="2" t="s">
        <v>652</v>
      </c>
      <c r="F466" s="2" t="s">
        <v>689</v>
      </c>
      <c r="G466" s="2" t="s">
        <v>705</v>
      </c>
      <c r="H466" s="2" t="s">
        <v>709</v>
      </c>
      <c r="I466" s="2" t="s">
        <v>713</v>
      </c>
      <c r="J466" s="2" t="s">
        <v>727</v>
      </c>
      <c r="K466" s="2" t="s">
        <v>1197</v>
      </c>
      <c r="L466" s="2">
        <v>275.43</v>
      </c>
      <c r="M466" s="2">
        <v>608.36</v>
      </c>
      <c r="N466" s="2">
        <v>0.25700000000000001</v>
      </c>
      <c r="O466" s="2">
        <v>4</v>
      </c>
    </row>
    <row r="467" spans="1:15" x14ac:dyDescent="0.3">
      <c r="A467" s="2" t="s">
        <v>479</v>
      </c>
      <c r="B467" s="3">
        <v>45618</v>
      </c>
      <c r="C467" s="3">
        <v>45641</v>
      </c>
      <c r="D467" s="2" t="s">
        <v>646</v>
      </c>
      <c r="E467" s="2" t="s">
        <v>650</v>
      </c>
      <c r="F467" s="2" t="s">
        <v>675</v>
      </c>
      <c r="G467" s="2" t="s">
        <v>703</v>
      </c>
      <c r="H467" s="2" t="s">
        <v>710</v>
      </c>
      <c r="I467" s="2" t="s">
        <v>712</v>
      </c>
      <c r="J467" s="2" t="s">
        <v>727</v>
      </c>
      <c r="K467" s="2" t="s">
        <v>1198</v>
      </c>
      <c r="L467" s="2">
        <v>1335.76</v>
      </c>
      <c r="M467" s="2">
        <v>2665.91</v>
      </c>
      <c r="N467" s="2">
        <v>0.21099999999999999</v>
      </c>
      <c r="O467" s="2">
        <v>40</v>
      </c>
    </row>
    <row r="468" spans="1:15" x14ac:dyDescent="0.3">
      <c r="A468" s="2" t="s">
        <v>480</v>
      </c>
      <c r="B468" s="3">
        <v>45466</v>
      </c>
      <c r="C468" s="3">
        <v>45471</v>
      </c>
      <c r="D468" s="2" t="s">
        <v>646</v>
      </c>
      <c r="E468" s="2" t="s">
        <v>651</v>
      </c>
      <c r="F468" s="2" t="s">
        <v>663</v>
      </c>
      <c r="G468" s="2" t="s">
        <v>703</v>
      </c>
      <c r="H468" s="2" t="s">
        <v>711</v>
      </c>
      <c r="I468" s="2" t="s">
        <v>724</v>
      </c>
      <c r="J468" s="2" t="s">
        <v>733</v>
      </c>
      <c r="K468" s="2" t="s">
        <v>1199</v>
      </c>
      <c r="L468" s="2">
        <v>242.31</v>
      </c>
      <c r="M468" s="2">
        <v>587.95000000000005</v>
      </c>
      <c r="N468" s="2">
        <v>0.22900000000000001</v>
      </c>
      <c r="O468" s="2">
        <v>6</v>
      </c>
    </row>
    <row r="469" spans="1:15" x14ac:dyDescent="0.3">
      <c r="A469" s="2" t="s">
        <v>481</v>
      </c>
      <c r="B469" s="3">
        <v>45278</v>
      </c>
      <c r="C469" s="3">
        <v>45305</v>
      </c>
      <c r="D469" s="2" t="s">
        <v>647</v>
      </c>
      <c r="E469" s="2" t="s">
        <v>654</v>
      </c>
      <c r="F469" s="2" t="s">
        <v>691</v>
      </c>
      <c r="G469" s="2" t="s">
        <v>704</v>
      </c>
      <c r="H469" s="2" t="s">
        <v>710</v>
      </c>
      <c r="I469" s="2" t="s">
        <v>726</v>
      </c>
      <c r="J469" s="2" t="s">
        <v>729</v>
      </c>
      <c r="K469" s="2" t="s">
        <v>1200</v>
      </c>
      <c r="L469" s="2">
        <v>1408.3</v>
      </c>
      <c r="M469" s="2">
        <v>2193.13</v>
      </c>
      <c r="N469" s="2">
        <v>7.0999999999999994E-2</v>
      </c>
      <c r="O469" s="2">
        <v>7</v>
      </c>
    </row>
    <row r="470" spans="1:15" x14ac:dyDescent="0.3">
      <c r="A470" s="2" t="s">
        <v>482</v>
      </c>
      <c r="B470" s="3">
        <v>45809</v>
      </c>
      <c r="C470" s="3">
        <v>45813</v>
      </c>
      <c r="D470" s="2" t="s">
        <v>649</v>
      </c>
      <c r="E470" s="2" t="s">
        <v>656</v>
      </c>
      <c r="F470" s="2" t="s">
        <v>684</v>
      </c>
      <c r="G470" s="2" t="s">
        <v>706</v>
      </c>
      <c r="H470" s="2" t="s">
        <v>711</v>
      </c>
      <c r="I470" s="2" t="s">
        <v>724</v>
      </c>
      <c r="J470" s="2" t="s">
        <v>727</v>
      </c>
      <c r="K470" s="2" t="s">
        <v>1201</v>
      </c>
      <c r="L470" s="2">
        <v>1171.42</v>
      </c>
      <c r="M470" s="2">
        <v>2187.8000000000002</v>
      </c>
      <c r="N470" s="2">
        <v>0.23</v>
      </c>
      <c r="O470" s="2">
        <v>15</v>
      </c>
    </row>
    <row r="471" spans="1:15" x14ac:dyDescent="0.3">
      <c r="A471" s="2" t="s">
        <v>483</v>
      </c>
      <c r="B471" s="3">
        <v>45739</v>
      </c>
      <c r="C471" s="3">
        <v>45749</v>
      </c>
      <c r="D471" s="2" t="s">
        <v>649</v>
      </c>
      <c r="E471" s="2" t="s">
        <v>656</v>
      </c>
      <c r="F471" s="2" t="s">
        <v>671</v>
      </c>
      <c r="G471" s="2" t="s">
        <v>706</v>
      </c>
      <c r="H471" s="2" t="s">
        <v>708</v>
      </c>
      <c r="I471" s="2" t="s">
        <v>718</v>
      </c>
      <c r="J471" s="2" t="s">
        <v>728</v>
      </c>
      <c r="K471" s="2" t="s">
        <v>1202</v>
      </c>
      <c r="L471" s="2">
        <v>663.61</v>
      </c>
      <c r="M471" s="2">
        <v>1002.11</v>
      </c>
      <c r="N471" s="2">
        <v>4.5999999999999999E-2</v>
      </c>
      <c r="O471" s="2">
        <v>17</v>
      </c>
    </row>
    <row r="472" spans="1:15" x14ac:dyDescent="0.3">
      <c r="A472" s="2" t="s">
        <v>484</v>
      </c>
      <c r="B472" s="3">
        <v>45060</v>
      </c>
      <c r="C472" s="3">
        <v>45068</v>
      </c>
      <c r="D472" s="2" t="s">
        <v>646</v>
      </c>
      <c r="E472" s="2" t="s">
        <v>650</v>
      </c>
      <c r="F472" s="2" t="s">
        <v>675</v>
      </c>
      <c r="G472" s="2" t="s">
        <v>705</v>
      </c>
      <c r="H472" s="2" t="s">
        <v>710</v>
      </c>
      <c r="I472" s="2" t="s">
        <v>721</v>
      </c>
      <c r="J472" s="2" t="s">
        <v>728</v>
      </c>
      <c r="K472" s="2" t="s">
        <v>1203</v>
      </c>
      <c r="L472" s="2">
        <v>432.01</v>
      </c>
      <c r="M472" s="2">
        <v>913.78</v>
      </c>
      <c r="N472" s="2">
        <v>4.9000000000000002E-2</v>
      </c>
      <c r="O472" s="2">
        <v>12</v>
      </c>
    </row>
    <row r="473" spans="1:15" x14ac:dyDescent="0.3">
      <c r="A473" s="2" t="s">
        <v>485</v>
      </c>
      <c r="B473" s="3">
        <v>45167</v>
      </c>
      <c r="C473" s="3">
        <v>45188</v>
      </c>
      <c r="D473" s="2" t="s">
        <v>649</v>
      </c>
      <c r="E473" s="2" t="s">
        <v>657</v>
      </c>
      <c r="F473" s="2" t="s">
        <v>679</v>
      </c>
      <c r="G473" s="2" t="s">
        <v>705</v>
      </c>
      <c r="H473" s="2" t="s">
        <v>711</v>
      </c>
      <c r="I473" s="2" t="s">
        <v>717</v>
      </c>
      <c r="J473" s="2" t="s">
        <v>728</v>
      </c>
      <c r="K473" s="2" t="s">
        <v>1204</v>
      </c>
      <c r="L473" s="2">
        <v>784.46</v>
      </c>
      <c r="M473" s="2">
        <v>1843.51</v>
      </c>
      <c r="N473" s="2">
        <v>0.13800000000000001</v>
      </c>
      <c r="O473" s="2">
        <v>23</v>
      </c>
    </row>
    <row r="474" spans="1:15" x14ac:dyDescent="0.3">
      <c r="A474" s="2" t="s">
        <v>486</v>
      </c>
      <c r="B474" s="3">
        <v>45841</v>
      </c>
      <c r="C474" s="3">
        <v>45861</v>
      </c>
      <c r="D474" s="2" t="s">
        <v>647</v>
      </c>
      <c r="E474" s="2" t="s">
        <v>659</v>
      </c>
      <c r="F474" s="2" t="s">
        <v>699</v>
      </c>
      <c r="G474" s="2" t="s">
        <v>705</v>
      </c>
      <c r="H474" s="2" t="s">
        <v>708</v>
      </c>
      <c r="I474" s="2" t="s">
        <v>724</v>
      </c>
      <c r="J474" s="2" t="s">
        <v>727</v>
      </c>
      <c r="K474" s="2" t="s">
        <v>1205</v>
      </c>
      <c r="L474" s="2">
        <v>647.36</v>
      </c>
      <c r="M474" s="2">
        <v>1383.6</v>
      </c>
      <c r="N474" s="2">
        <v>7.3999999999999996E-2</v>
      </c>
      <c r="O474" s="2">
        <v>12</v>
      </c>
    </row>
    <row r="475" spans="1:15" x14ac:dyDescent="0.3">
      <c r="A475" s="2" t="s">
        <v>487</v>
      </c>
      <c r="B475" s="3">
        <v>45328</v>
      </c>
      <c r="C475" s="3">
        <v>45350</v>
      </c>
      <c r="D475" s="2" t="s">
        <v>646</v>
      </c>
      <c r="E475" s="2" t="s">
        <v>650</v>
      </c>
      <c r="F475" s="2" t="s">
        <v>662</v>
      </c>
      <c r="G475" s="2" t="s">
        <v>703</v>
      </c>
      <c r="H475" s="2" t="s">
        <v>708</v>
      </c>
      <c r="I475" s="2" t="s">
        <v>723</v>
      </c>
      <c r="J475" s="2" t="s">
        <v>732</v>
      </c>
      <c r="K475" s="2" t="s">
        <v>1206</v>
      </c>
      <c r="L475" s="2">
        <v>834.93</v>
      </c>
      <c r="M475" s="2">
        <v>1588.53</v>
      </c>
      <c r="N475" s="2">
        <v>0.126</v>
      </c>
      <c r="O475" s="2">
        <v>6</v>
      </c>
    </row>
    <row r="476" spans="1:15" x14ac:dyDescent="0.3">
      <c r="A476" s="2" t="s">
        <v>488</v>
      </c>
      <c r="B476" s="3">
        <v>45882</v>
      </c>
      <c r="C476" s="3">
        <v>45903</v>
      </c>
      <c r="D476" s="2" t="s">
        <v>649</v>
      </c>
      <c r="E476" s="2" t="s">
        <v>657</v>
      </c>
      <c r="F476" s="2" t="s">
        <v>690</v>
      </c>
      <c r="G476" s="2" t="s">
        <v>702</v>
      </c>
      <c r="H476" s="2" t="s">
        <v>707</v>
      </c>
      <c r="I476" s="2" t="s">
        <v>714</v>
      </c>
      <c r="J476" s="2" t="s">
        <v>730</v>
      </c>
      <c r="K476" s="2" t="s">
        <v>1207</v>
      </c>
      <c r="L476" s="2">
        <v>603.47</v>
      </c>
      <c r="M476" s="2">
        <v>1344.05</v>
      </c>
      <c r="N476" s="2">
        <v>0.20499999999999999</v>
      </c>
      <c r="O476" s="2">
        <v>18</v>
      </c>
    </row>
    <row r="477" spans="1:15" x14ac:dyDescent="0.3">
      <c r="A477" s="2" t="s">
        <v>489</v>
      </c>
      <c r="B477" s="3">
        <v>45069</v>
      </c>
      <c r="C477" s="3">
        <v>45071</v>
      </c>
      <c r="D477" s="2" t="s">
        <v>648</v>
      </c>
      <c r="E477" s="2" t="s">
        <v>655</v>
      </c>
      <c r="F477" s="2" t="s">
        <v>692</v>
      </c>
      <c r="G477" s="2" t="s">
        <v>706</v>
      </c>
      <c r="H477" s="2" t="s">
        <v>707</v>
      </c>
      <c r="I477" s="2" t="s">
        <v>724</v>
      </c>
      <c r="J477" s="2" t="s">
        <v>728</v>
      </c>
      <c r="K477" s="2" t="s">
        <v>1208</v>
      </c>
      <c r="L477" s="2">
        <v>690.49</v>
      </c>
      <c r="M477" s="2">
        <v>1290.29</v>
      </c>
      <c r="N477" s="2">
        <v>4.2000000000000003E-2</v>
      </c>
      <c r="O477" s="2">
        <v>22</v>
      </c>
    </row>
    <row r="478" spans="1:15" x14ac:dyDescent="0.3">
      <c r="A478" s="2" t="s">
        <v>490</v>
      </c>
      <c r="B478" s="3">
        <v>45422</v>
      </c>
      <c r="C478" s="3">
        <v>45428</v>
      </c>
      <c r="D478" s="2" t="s">
        <v>649</v>
      </c>
      <c r="E478" s="2" t="s">
        <v>658</v>
      </c>
      <c r="F478" s="2" t="s">
        <v>674</v>
      </c>
      <c r="G478" s="2" t="s">
        <v>703</v>
      </c>
      <c r="H478" s="2" t="s">
        <v>711</v>
      </c>
      <c r="I478" s="2" t="s">
        <v>715</v>
      </c>
      <c r="J478" s="2" t="s">
        <v>731</v>
      </c>
      <c r="K478" s="2" t="s">
        <v>1209</v>
      </c>
      <c r="L478" s="2">
        <v>210.76</v>
      </c>
      <c r="M478" s="2">
        <v>221.58</v>
      </c>
      <c r="N478" s="2">
        <v>8.8999999999999996E-2</v>
      </c>
      <c r="O478" s="2">
        <v>5</v>
      </c>
    </row>
    <row r="479" spans="1:15" x14ac:dyDescent="0.3">
      <c r="A479" s="2" t="s">
        <v>491</v>
      </c>
      <c r="B479" s="3">
        <v>44999</v>
      </c>
      <c r="C479" s="3">
        <v>45003</v>
      </c>
      <c r="D479" s="2" t="s">
        <v>649</v>
      </c>
      <c r="E479" s="2" t="s">
        <v>656</v>
      </c>
      <c r="F479" s="2" t="s">
        <v>698</v>
      </c>
      <c r="G479" s="2" t="s">
        <v>706</v>
      </c>
      <c r="H479" s="2" t="s">
        <v>711</v>
      </c>
      <c r="I479" s="2" t="s">
        <v>720</v>
      </c>
      <c r="J479" s="2" t="s">
        <v>727</v>
      </c>
      <c r="K479" s="2" t="s">
        <v>1210</v>
      </c>
      <c r="L479" s="2">
        <v>472.33</v>
      </c>
      <c r="M479" s="2">
        <v>360.34</v>
      </c>
      <c r="N479" s="2">
        <v>0.16500000000000001</v>
      </c>
      <c r="O479" s="2">
        <v>14</v>
      </c>
    </row>
    <row r="480" spans="1:15" x14ac:dyDescent="0.3">
      <c r="A480" s="2" t="s">
        <v>492</v>
      </c>
      <c r="B480" s="3">
        <v>45123</v>
      </c>
      <c r="C480" s="3">
        <v>45151</v>
      </c>
      <c r="D480" s="2" t="s">
        <v>649</v>
      </c>
      <c r="E480" s="2" t="s">
        <v>658</v>
      </c>
      <c r="F480" s="2" t="s">
        <v>693</v>
      </c>
      <c r="G480" s="2" t="s">
        <v>703</v>
      </c>
      <c r="H480" s="2" t="s">
        <v>708</v>
      </c>
      <c r="I480" s="2" t="s">
        <v>713</v>
      </c>
      <c r="J480" s="2" t="s">
        <v>731</v>
      </c>
      <c r="K480" s="2" t="s">
        <v>1211</v>
      </c>
      <c r="L480" s="2">
        <v>1039.03</v>
      </c>
      <c r="M480" s="2">
        <v>2545.81</v>
      </c>
      <c r="N480" s="2">
        <v>0.216</v>
      </c>
      <c r="O480" s="2">
        <v>21</v>
      </c>
    </row>
    <row r="481" spans="1:15" x14ac:dyDescent="0.3">
      <c r="A481" s="2" t="s">
        <v>493</v>
      </c>
      <c r="B481" s="3">
        <v>45032</v>
      </c>
      <c r="C481" s="3">
        <v>45035</v>
      </c>
      <c r="D481" s="2" t="s">
        <v>649</v>
      </c>
      <c r="E481" s="2" t="s">
        <v>656</v>
      </c>
      <c r="F481" s="2" t="s">
        <v>684</v>
      </c>
      <c r="G481" s="2" t="s">
        <v>701</v>
      </c>
      <c r="H481" s="2" t="s">
        <v>711</v>
      </c>
      <c r="I481" s="2" t="s">
        <v>717</v>
      </c>
      <c r="J481" s="2" t="s">
        <v>733</v>
      </c>
      <c r="K481" s="2" t="s">
        <v>1212</v>
      </c>
      <c r="L481" s="2">
        <v>553.61</v>
      </c>
      <c r="M481" s="2">
        <v>699.47</v>
      </c>
      <c r="N481" s="2">
        <v>0.02</v>
      </c>
      <c r="O481" s="2">
        <v>33</v>
      </c>
    </row>
    <row r="482" spans="1:15" x14ac:dyDescent="0.3">
      <c r="A482" s="2" t="s">
        <v>494</v>
      </c>
      <c r="B482" s="3">
        <v>45293</v>
      </c>
      <c r="C482" s="3">
        <v>45306</v>
      </c>
      <c r="D482" s="2" t="s">
        <v>647</v>
      </c>
      <c r="E482" s="2" t="s">
        <v>652</v>
      </c>
      <c r="F482" s="2" t="s">
        <v>694</v>
      </c>
      <c r="G482" s="2" t="s">
        <v>705</v>
      </c>
      <c r="H482" s="2" t="s">
        <v>709</v>
      </c>
      <c r="I482" s="2" t="s">
        <v>715</v>
      </c>
      <c r="J482" s="2" t="s">
        <v>729</v>
      </c>
      <c r="K482" s="2" t="s">
        <v>1213</v>
      </c>
      <c r="L482" s="2">
        <v>1219.06</v>
      </c>
      <c r="M482" s="2">
        <v>2738.69</v>
      </c>
      <c r="N482" s="2">
        <v>7.5999999999999998E-2</v>
      </c>
      <c r="O482" s="2">
        <v>16</v>
      </c>
    </row>
    <row r="483" spans="1:15" x14ac:dyDescent="0.3">
      <c r="A483" s="2" t="s">
        <v>495</v>
      </c>
      <c r="B483" s="3">
        <v>45538</v>
      </c>
      <c r="C483" s="3">
        <v>45542</v>
      </c>
      <c r="D483" s="2" t="s">
        <v>647</v>
      </c>
      <c r="E483" s="2" t="s">
        <v>652</v>
      </c>
      <c r="F483" s="2" t="s">
        <v>689</v>
      </c>
      <c r="G483" s="2" t="s">
        <v>705</v>
      </c>
      <c r="H483" s="2" t="s">
        <v>710</v>
      </c>
      <c r="I483" s="2" t="s">
        <v>725</v>
      </c>
      <c r="J483" s="2" t="s">
        <v>728</v>
      </c>
      <c r="K483" s="2" t="s">
        <v>1214</v>
      </c>
      <c r="L483" s="2">
        <v>43.23</v>
      </c>
      <c r="M483" s="2">
        <v>94.78</v>
      </c>
      <c r="N483" s="2">
        <v>9.0999999999999998E-2</v>
      </c>
      <c r="O483" s="2">
        <v>55</v>
      </c>
    </row>
    <row r="484" spans="1:15" x14ac:dyDescent="0.3">
      <c r="A484" s="2" t="s">
        <v>496</v>
      </c>
      <c r="B484" s="3">
        <v>45899</v>
      </c>
      <c r="C484" s="3">
        <v>45903</v>
      </c>
      <c r="D484" s="2" t="s">
        <v>649</v>
      </c>
      <c r="E484" s="2" t="s">
        <v>657</v>
      </c>
      <c r="F484" s="2" t="s">
        <v>673</v>
      </c>
      <c r="G484" s="2" t="s">
        <v>705</v>
      </c>
      <c r="H484" s="2" t="s">
        <v>709</v>
      </c>
      <c r="I484" s="2" t="s">
        <v>713</v>
      </c>
      <c r="J484" s="2" t="s">
        <v>731</v>
      </c>
      <c r="K484" s="2" t="s">
        <v>1215</v>
      </c>
      <c r="L484" s="2">
        <v>1286.56</v>
      </c>
      <c r="M484" s="2">
        <v>2777.35</v>
      </c>
      <c r="N484" s="2">
        <v>0.13200000000000001</v>
      </c>
      <c r="O484" s="2">
        <v>15</v>
      </c>
    </row>
    <row r="485" spans="1:15" x14ac:dyDescent="0.3">
      <c r="A485" s="2" t="s">
        <v>497</v>
      </c>
      <c r="B485" s="3">
        <v>45775</v>
      </c>
      <c r="C485" s="3">
        <v>45796</v>
      </c>
      <c r="D485" s="2" t="s">
        <v>649</v>
      </c>
      <c r="E485" s="2" t="s">
        <v>656</v>
      </c>
      <c r="F485" s="2" t="s">
        <v>671</v>
      </c>
      <c r="G485" s="2" t="s">
        <v>701</v>
      </c>
      <c r="H485" s="2" t="s">
        <v>710</v>
      </c>
      <c r="I485" s="2" t="s">
        <v>717</v>
      </c>
      <c r="J485" s="2" t="s">
        <v>730</v>
      </c>
      <c r="K485" s="2" t="s">
        <v>1216</v>
      </c>
      <c r="L485" s="2">
        <v>350.76</v>
      </c>
      <c r="M485" s="2">
        <v>492.18</v>
      </c>
      <c r="N485" s="2">
        <v>5.2999999999999999E-2</v>
      </c>
      <c r="O485" s="2">
        <v>11</v>
      </c>
    </row>
    <row r="486" spans="1:15" x14ac:dyDescent="0.3">
      <c r="A486" s="2" t="s">
        <v>498</v>
      </c>
      <c r="B486" s="3">
        <v>45148</v>
      </c>
      <c r="C486" s="3">
        <v>45153</v>
      </c>
      <c r="D486" s="2" t="s">
        <v>648</v>
      </c>
      <c r="E486" s="2" t="s">
        <v>655</v>
      </c>
      <c r="F486" s="2" t="s">
        <v>670</v>
      </c>
      <c r="G486" s="2" t="s">
        <v>702</v>
      </c>
      <c r="H486" s="2" t="s">
        <v>711</v>
      </c>
      <c r="I486" s="2" t="s">
        <v>715</v>
      </c>
      <c r="J486" s="2" t="s">
        <v>729</v>
      </c>
      <c r="K486" s="2" t="s">
        <v>1217</v>
      </c>
      <c r="L486" s="2">
        <v>1307.52</v>
      </c>
      <c r="M486" s="2">
        <v>1921.65</v>
      </c>
      <c r="N486" s="2">
        <v>0.123</v>
      </c>
      <c r="O486" s="2">
        <v>13</v>
      </c>
    </row>
    <row r="487" spans="1:15" x14ac:dyDescent="0.3">
      <c r="A487" s="2" t="s">
        <v>499</v>
      </c>
      <c r="B487" s="3">
        <v>45634</v>
      </c>
      <c r="C487" s="3">
        <v>45634</v>
      </c>
      <c r="D487" s="2" t="s">
        <v>649</v>
      </c>
      <c r="E487" s="2" t="s">
        <v>657</v>
      </c>
      <c r="F487" s="2" t="s">
        <v>679</v>
      </c>
      <c r="G487" s="2" t="s">
        <v>706</v>
      </c>
      <c r="H487" s="2" t="s">
        <v>707</v>
      </c>
      <c r="I487" s="2" t="s">
        <v>722</v>
      </c>
      <c r="J487" s="2" t="s">
        <v>727</v>
      </c>
      <c r="K487" s="2" t="s">
        <v>1218</v>
      </c>
      <c r="L487" s="2">
        <v>257.44</v>
      </c>
      <c r="M487" s="2">
        <v>290.33</v>
      </c>
      <c r="N487" s="2">
        <v>9.1999999999999998E-2</v>
      </c>
      <c r="O487" s="2">
        <v>23</v>
      </c>
    </row>
    <row r="488" spans="1:15" x14ac:dyDescent="0.3">
      <c r="A488" s="2" t="s">
        <v>500</v>
      </c>
      <c r="B488" s="3">
        <v>45224</v>
      </c>
      <c r="C488" s="3">
        <v>45254</v>
      </c>
      <c r="D488" s="2" t="s">
        <v>649</v>
      </c>
      <c r="E488" s="2" t="s">
        <v>657</v>
      </c>
      <c r="F488" s="2" t="s">
        <v>690</v>
      </c>
      <c r="G488" s="2" t="s">
        <v>706</v>
      </c>
      <c r="H488" s="2" t="s">
        <v>710</v>
      </c>
      <c r="I488" s="2" t="s">
        <v>712</v>
      </c>
      <c r="J488" s="2" t="s">
        <v>730</v>
      </c>
      <c r="K488" s="2" t="s">
        <v>1219</v>
      </c>
      <c r="L488" s="2">
        <v>287.85000000000002</v>
      </c>
      <c r="M488" s="2">
        <v>602.91999999999996</v>
      </c>
      <c r="N488" s="2">
        <v>0.222</v>
      </c>
      <c r="O488" s="2">
        <v>11</v>
      </c>
    </row>
    <row r="489" spans="1:15" x14ac:dyDescent="0.3">
      <c r="A489" s="2" t="s">
        <v>501</v>
      </c>
      <c r="B489" s="3">
        <v>45613</v>
      </c>
      <c r="C489" s="3">
        <v>45624</v>
      </c>
      <c r="D489" s="2" t="s">
        <v>648</v>
      </c>
      <c r="E489" s="2" t="s">
        <v>653</v>
      </c>
      <c r="F489" s="2"/>
      <c r="G489" s="2" t="s">
        <v>704</v>
      </c>
      <c r="H489" s="2" t="s">
        <v>710</v>
      </c>
      <c r="I489" s="2" t="s">
        <v>720</v>
      </c>
      <c r="J489" s="2" t="s">
        <v>728</v>
      </c>
      <c r="K489" s="2" t="s">
        <v>1220</v>
      </c>
      <c r="L489" s="2">
        <v>1008.16</v>
      </c>
      <c r="M489" s="2">
        <v>2077.5</v>
      </c>
      <c r="N489" s="2">
        <v>7.3999999999999996E-2</v>
      </c>
      <c r="O489" s="2">
        <v>15</v>
      </c>
    </row>
    <row r="490" spans="1:15" x14ac:dyDescent="0.3">
      <c r="A490" s="2" t="s">
        <v>502</v>
      </c>
      <c r="B490" s="3">
        <v>45424</v>
      </c>
      <c r="C490" s="3">
        <v>45436</v>
      </c>
      <c r="D490" s="2" t="s">
        <v>649</v>
      </c>
      <c r="E490" s="2" t="s">
        <v>658</v>
      </c>
      <c r="F490" s="2" t="s">
        <v>693</v>
      </c>
      <c r="G490" s="2" t="s">
        <v>702</v>
      </c>
      <c r="H490" s="2" t="s">
        <v>709</v>
      </c>
      <c r="I490" s="2" t="s">
        <v>723</v>
      </c>
      <c r="J490" s="2" t="s">
        <v>728</v>
      </c>
      <c r="K490" s="2" t="s">
        <v>1221</v>
      </c>
      <c r="L490" s="2">
        <v>111.02</v>
      </c>
      <c r="M490" s="2">
        <v>172.88</v>
      </c>
      <c r="N490" s="2">
        <v>0.19700000000000001</v>
      </c>
      <c r="O490" s="2">
        <v>29</v>
      </c>
    </row>
    <row r="491" spans="1:15" x14ac:dyDescent="0.3">
      <c r="A491" s="2" t="s">
        <v>503</v>
      </c>
      <c r="B491" s="3">
        <v>45792</v>
      </c>
      <c r="C491" s="3">
        <v>45813</v>
      </c>
      <c r="D491" s="2" t="s">
        <v>647</v>
      </c>
      <c r="E491" s="2" t="s">
        <v>652</v>
      </c>
      <c r="F491" s="2" t="s">
        <v>666</v>
      </c>
      <c r="G491" s="2" t="s">
        <v>706</v>
      </c>
      <c r="H491" s="2" t="s">
        <v>711</v>
      </c>
      <c r="I491" s="2" t="s">
        <v>722</v>
      </c>
      <c r="J491" s="2" t="s">
        <v>730</v>
      </c>
      <c r="K491" s="2" t="s">
        <v>1222</v>
      </c>
      <c r="L491" s="2">
        <v>1466.5</v>
      </c>
      <c r="M491" s="2">
        <v>2778.74</v>
      </c>
      <c r="N491" s="2">
        <v>0.13500000000000001</v>
      </c>
      <c r="O491" s="2">
        <v>4</v>
      </c>
    </row>
    <row r="492" spans="1:15" x14ac:dyDescent="0.3">
      <c r="A492" s="2" t="s">
        <v>504</v>
      </c>
      <c r="B492" s="3">
        <v>45403</v>
      </c>
      <c r="C492" s="3">
        <v>45431</v>
      </c>
      <c r="D492" s="2" t="s">
        <v>646</v>
      </c>
      <c r="E492" s="2" t="s">
        <v>651</v>
      </c>
      <c r="F492" s="2" t="s">
        <v>665</v>
      </c>
      <c r="G492" s="2" t="s">
        <v>701</v>
      </c>
      <c r="H492" s="2" t="s">
        <v>710</v>
      </c>
      <c r="I492" s="2" t="s">
        <v>720</v>
      </c>
      <c r="J492" s="2" t="s">
        <v>733</v>
      </c>
      <c r="K492" s="2" t="s">
        <v>1223</v>
      </c>
      <c r="L492" s="2">
        <v>187.22</v>
      </c>
      <c r="M492" s="2">
        <v>309.47000000000003</v>
      </c>
      <c r="N492" s="2">
        <v>0</v>
      </c>
      <c r="O492" s="2">
        <v>5</v>
      </c>
    </row>
    <row r="493" spans="1:15" x14ac:dyDescent="0.3">
      <c r="A493" s="2" t="s">
        <v>505</v>
      </c>
      <c r="B493" s="3">
        <v>45523</v>
      </c>
      <c r="C493" s="3">
        <v>45542</v>
      </c>
      <c r="D493" s="2" t="s">
        <v>649</v>
      </c>
      <c r="E493" s="2" t="s">
        <v>657</v>
      </c>
      <c r="F493" s="2" t="s">
        <v>679</v>
      </c>
      <c r="G493" s="2" t="s">
        <v>701</v>
      </c>
      <c r="H493" s="2" t="s">
        <v>711</v>
      </c>
      <c r="I493" s="2" t="s">
        <v>713</v>
      </c>
      <c r="J493" s="2" t="s">
        <v>727</v>
      </c>
      <c r="K493" s="2" t="s">
        <v>1224</v>
      </c>
      <c r="L493" s="2">
        <v>297.58999999999997</v>
      </c>
      <c r="M493" s="2">
        <v>666.41</v>
      </c>
      <c r="N493" s="2">
        <v>0</v>
      </c>
      <c r="O493" s="2">
        <v>10</v>
      </c>
    </row>
    <row r="494" spans="1:15" x14ac:dyDescent="0.3">
      <c r="A494" s="2" t="s">
        <v>506</v>
      </c>
      <c r="B494" s="3">
        <v>45861</v>
      </c>
      <c r="C494" s="3">
        <v>45888</v>
      </c>
      <c r="D494" s="2" t="s">
        <v>647</v>
      </c>
      <c r="E494" s="2" t="s">
        <v>652</v>
      </c>
      <c r="F494" s="2" t="s">
        <v>694</v>
      </c>
      <c r="G494" s="2" t="s">
        <v>704</v>
      </c>
      <c r="H494" s="2" t="s">
        <v>709</v>
      </c>
      <c r="I494" s="2" t="s">
        <v>717</v>
      </c>
      <c r="J494" s="2" t="s">
        <v>733</v>
      </c>
      <c r="K494" s="2" t="s">
        <v>1225</v>
      </c>
      <c r="L494" s="2">
        <v>896.09</v>
      </c>
      <c r="M494" s="2">
        <v>744.27</v>
      </c>
      <c r="N494" s="2">
        <v>8.3000000000000004E-2</v>
      </c>
      <c r="O494" s="2">
        <v>11</v>
      </c>
    </row>
    <row r="495" spans="1:15" x14ac:dyDescent="0.3">
      <c r="A495" s="2" t="s">
        <v>507</v>
      </c>
      <c r="B495" s="3">
        <v>45352</v>
      </c>
      <c r="C495" s="3">
        <v>45351</v>
      </c>
      <c r="D495" s="2" t="s">
        <v>648</v>
      </c>
      <c r="E495" s="2" t="s">
        <v>655</v>
      </c>
      <c r="F495" s="2" t="s">
        <v>670</v>
      </c>
      <c r="G495" s="2" t="s">
        <v>703</v>
      </c>
      <c r="H495" s="2" t="s">
        <v>711</v>
      </c>
      <c r="I495" s="2" t="s">
        <v>714</v>
      </c>
      <c r="J495" s="2" t="s">
        <v>730</v>
      </c>
      <c r="K495" s="2" t="s">
        <v>1226</v>
      </c>
      <c r="L495" s="2">
        <v>5.34</v>
      </c>
      <c r="M495" s="2">
        <v>12.69</v>
      </c>
      <c r="N495" s="2">
        <v>0.13200000000000001</v>
      </c>
      <c r="O495" s="2">
        <v>10</v>
      </c>
    </row>
    <row r="496" spans="1:15" x14ac:dyDescent="0.3">
      <c r="A496" s="2" t="s">
        <v>508</v>
      </c>
      <c r="B496" s="3">
        <v>45439</v>
      </c>
      <c r="C496" s="3">
        <v>45460</v>
      </c>
      <c r="D496" s="2" t="s">
        <v>647</v>
      </c>
      <c r="E496" s="2" t="s">
        <v>654</v>
      </c>
      <c r="F496" s="2" t="s">
        <v>680</v>
      </c>
      <c r="G496" s="2" t="s">
        <v>705</v>
      </c>
      <c r="H496" s="2" t="s">
        <v>708</v>
      </c>
      <c r="I496" s="2" t="s">
        <v>722</v>
      </c>
      <c r="J496" s="2" t="s">
        <v>733</v>
      </c>
      <c r="K496" s="2" t="s">
        <v>1227</v>
      </c>
      <c r="L496" s="2">
        <v>465.02</v>
      </c>
      <c r="M496" s="2">
        <v>651.55999999999995</v>
      </c>
      <c r="N496" s="2">
        <v>4.2000000000000003E-2</v>
      </c>
      <c r="O496" s="2">
        <v>19</v>
      </c>
    </row>
    <row r="497" spans="1:15" x14ac:dyDescent="0.3">
      <c r="A497" s="2" t="s">
        <v>509</v>
      </c>
      <c r="B497" s="3">
        <v>45508</v>
      </c>
      <c r="C497" s="3">
        <v>45521</v>
      </c>
      <c r="D497" s="2" t="s">
        <v>648</v>
      </c>
      <c r="E497" s="2" t="s">
        <v>660</v>
      </c>
      <c r="F497" s="2" t="s">
        <v>697</v>
      </c>
      <c r="G497" s="2" t="s">
        <v>704</v>
      </c>
      <c r="H497" s="2" t="s">
        <v>707</v>
      </c>
      <c r="I497" s="2" t="s">
        <v>726</v>
      </c>
      <c r="J497" s="2" t="s">
        <v>732</v>
      </c>
      <c r="K497" s="2" t="s">
        <v>1228</v>
      </c>
      <c r="L497" s="2">
        <v>352.79</v>
      </c>
      <c r="M497" s="2">
        <v>754.22</v>
      </c>
      <c r="N497" s="2">
        <v>0.113</v>
      </c>
      <c r="O497" s="2">
        <v>7</v>
      </c>
    </row>
    <row r="498" spans="1:15" x14ac:dyDescent="0.3">
      <c r="A498" s="2" t="s">
        <v>510</v>
      </c>
      <c r="B498" s="3">
        <v>45097</v>
      </c>
      <c r="C498" s="3">
        <v>45111</v>
      </c>
      <c r="D498" s="2" t="s">
        <v>648</v>
      </c>
      <c r="E498" s="2" t="s">
        <v>655</v>
      </c>
      <c r="F498" s="2" t="s">
        <v>672</v>
      </c>
      <c r="G498" s="2" t="s">
        <v>703</v>
      </c>
      <c r="H498" s="2" t="s">
        <v>711</v>
      </c>
      <c r="I498" s="2" t="s">
        <v>712</v>
      </c>
      <c r="J498" s="2" t="s">
        <v>729</v>
      </c>
      <c r="K498" s="2" t="s">
        <v>1229</v>
      </c>
      <c r="L498" s="2">
        <v>1292.8599999999999</v>
      </c>
      <c r="M498" s="2">
        <v>2981.01</v>
      </c>
      <c r="N498" s="2">
        <v>0.14199999999999999</v>
      </c>
      <c r="O498" s="2">
        <v>12</v>
      </c>
    </row>
    <row r="499" spans="1:15" x14ac:dyDescent="0.3">
      <c r="A499" s="2" t="s">
        <v>511</v>
      </c>
      <c r="B499" s="3">
        <v>45544</v>
      </c>
      <c r="C499" s="3">
        <v>45548</v>
      </c>
      <c r="D499" s="2" t="s">
        <v>649</v>
      </c>
      <c r="E499" s="2" t="s">
        <v>658</v>
      </c>
      <c r="F499" s="2" t="s">
        <v>683</v>
      </c>
      <c r="G499" s="2" t="s">
        <v>704</v>
      </c>
      <c r="H499" s="2" t="s">
        <v>709</v>
      </c>
      <c r="I499" s="2" t="s">
        <v>721</v>
      </c>
      <c r="J499" s="2" t="s">
        <v>729</v>
      </c>
      <c r="K499" s="2" t="s">
        <v>1230</v>
      </c>
      <c r="L499" s="2">
        <v>1133.08</v>
      </c>
      <c r="M499" s="2">
        <v>976.17</v>
      </c>
      <c r="N499" s="2">
        <v>4.2000000000000003E-2</v>
      </c>
      <c r="O499" s="2">
        <v>27</v>
      </c>
    </row>
    <row r="500" spans="1:15" x14ac:dyDescent="0.3">
      <c r="A500" s="2" t="s">
        <v>512</v>
      </c>
      <c r="B500" s="3">
        <v>45224</v>
      </c>
      <c r="C500" s="3">
        <v>45227</v>
      </c>
      <c r="D500" s="2" t="s">
        <v>648</v>
      </c>
      <c r="E500" s="2" t="s">
        <v>655</v>
      </c>
      <c r="F500" s="2" t="s">
        <v>672</v>
      </c>
      <c r="G500" s="2" t="s">
        <v>701</v>
      </c>
      <c r="H500" s="2" t="s">
        <v>710</v>
      </c>
      <c r="I500" s="2" t="s">
        <v>716</v>
      </c>
      <c r="J500" s="2" t="s">
        <v>733</v>
      </c>
      <c r="K500" s="2" t="s">
        <v>1231</v>
      </c>
      <c r="L500" s="2">
        <v>509.31</v>
      </c>
      <c r="M500" s="2">
        <v>1145.9000000000001</v>
      </c>
      <c r="N500" s="2">
        <v>5.7000000000000002E-2</v>
      </c>
      <c r="O500" s="2">
        <v>8</v>
      </c>
    </row>
    <row r="501" spans="1:15" x14ac:dyDescent="0.3">
      <c r="A501" s="2" t="s">
        <v>513</v>
      </c>
      <c r="B501" s="3">
        <v>45908</v>
      </c>
      <c r="C501" s="3">
        <v>45935</v>
      </c>
      <c r="D501" s="2" t="s">
        <v>648</v>
      </c>
      <c r="E501" s="2" t="s">
        <v>655</v>
      </c>
      <c r="F501" s="2" t="s">
        <v>692</v>
      </c>
      <c r="G501" s="2" t="s">
        <v>702</v>
      </c>
      <c r="H501" s="2" t="s">
        <v>708</v>
      </c>
      <c r="I501" s="2" t="s">
        <v>712</v>
      </c>
      <c r="J501" s="2" t="s">
        <v>732</v>
      </c>
      <c r="K501" s="2" t="s">
        <v>1232</v>
      </c>
      <c r="L501" s="2">
        <v>660.78</v>
      </c>
      <c r="M501" s="2">
        <v>1630.39</v>
      </c>
      <c r="N501" s="2">
        <v>0.218</v>
      </c>
      <c r="O501" s="2">
        <v>13</v>
      </c>
    </row>
    <row r="502" spans="1:15" x14ac:dyDescent="0.3">
      <c r="A502" s="2" t="s">
        <v>514</v>
      </c>
      <c r="B502" s="3">
        <v>45048</v>
      </c>
      <c r="C502" s="3">
        <v>45062</v>
      </c>
      <c r="D502" s="2" t="s">
        <v>647</v>
      </c>
      <c r="E502" s="2" t="s">
        <v>654</v>
      </c>
      <c r="F502" s="2" t="s">
        <v>668</v>
      </c>
      <c r="G502" s="2" t="s">
        <v>703</v>
      </c>
      <c r="H502" s="2" t="s">
        <v>707</v>
      </c>
      <c r="I502" s="2" t="s">
        <v>716</v>
      </c>
      <c r="J502" s="2" t="s">
        <v>732</v>
      </c>
      <c r="K502" s="2" t="s">
        <v>1233</v>
      </c>
      <c r="L502" s="2">
        <v>475.37</v>
      </c>
      <c r="M502" s="2">
        <v>963.73</v>
      </c>
      <c r="N502" s="2">
        <v>4.1000000000000002E-2</v>
      </c>
      <c r="O502" s="2">
        <v>22</v>
      </c>
    </row>
    <row r="503" spans="1:15" x14ac:dyDescent="0.3">
      <c r="A503" s="2" t="s">
        <v>515</v>
      </c>
      <c r="B503" s="3">
        <v>45408</v>
      </c>
      <c r="C503" s="3">
        <v>45406</v>
      </c>
      <c r="D503" s="2" t="s">
        <v>649</v>
      </c>
      <c r="E503" s="2" t="s">
        <v>658</v>
      </c>
      <c r="F503" s="2" t="s">
        <v>683</v>
      </c>
      <c r="G503" s="2" t="s">
        <v>703</v>
      </c>
      <c r="H503" s="2" t="s">
        <v>710</v>
      </c>
      <c r="I503" s="2" t="s">
        <v>725</v>
      </c>
      <c r="J503" s="2" t="s">
        <v>730</v>
      </c>
      <c r="K503" s="2" t="s">
        <v>1234</v>
      </c>
      <c r="L503" s="2">
        <v>1232.77</v>
      </c>
      <c r="M503" s="2">
        <v>891.73</v>
      </c>
      <c r="N503" s="2">
        <v>0.16700000000000001</v>
      </c>
      <c r="O503" s="2">
        <v>10</v>
      </c>
    </row>
    <row r="504" spans="1:15" x14ac:dyDescent="0.3">
      <c r="A504" s="2" t="s">
        <v>516</v>
      </c>
      <c r="B504" s="3">
        <v>44980</v>
      </c>
      <c r="C504" s="3">
        <v>45003</v>
      </c>
      <c r="D504" s="2" t="s">
        <v>647</v>
      </c>
      <c r="E504" s="2" t="s">
        <v>659</v>
      </c>
      <c r="F504" s="2" t="s">
        <v>699</v>
      </c>
      <c r="G504" s="2" t="s">
        <v>702</v>
      </c>
      <c r="H504" s="2" t="s">
        <v>710</v>
      </c>
      <c r="I504" s="2" t="s">
        <v>723</v>
      </c>
      <c r="J504" s="2" t="s">
        <v>728</v>
      </c>
      <c r="K504" s="2" t="s">
        <v>1235</v>
      </c>
      <c r="L504" s="2">
        <v>770.11</v>
      </c>
      <c r="M504" s="2">
        <v>1667.82</v>
      </c>
      <c r="N504" s="2">
        <v>6.9000000000000006E-2</v>
      </c>
      <c r="O504" s="2">
        <v>7</v>
      </c>
    </row>
    <row r="505" spans="1:15" x14ac:dyDescent="0.3">
      <c r="A505" s="2" t="s">
        <v>517</v>
      </c>
      <c r="B505" s="3">
        <v>45740</v>
      </c>
      <c r="C505" s="3">
        <v>45741</v>
      </c>
      <c r="D505" s="2" t="s">
        <v>647</v>
      </c>
      <c r="E505" s="2" t="s">
        <v>659</v>
      </c>
      <c r="F505" s="2" t="s">
        <v>699</v>
      </c>
      <c r="G505" s="2" t="s">
        <v>703</v>
      </c>
      <c r="H505" s="2" t="s">
        <v>708</v>
      </c>
      <c r="I505" s="2" t="s">
        <v>715</v>
      </c>
      <c r="J505" s="2" t="s">
        <v>729</v>
      </c>
      <c r="K505" s="2" t="s">
        <v>1236</v>
      </c>
      <c r="L505" s="2">
        <v>1133.03</v>
      </c>
      <c r="M505" s="2">
        <v>1921.51</v>
      </c>
      <c r="N505" s="2">
        <v>0.10100000000000001</v>
      </c>
      <c r="O505" s="2">
        <v>5</v>
      </c>
    </row>
    <row r="506" spans="1:15" x14ac:dyDescent="0.3">
      <c r="A506" s="2" t="s">
        <v>518</v>
      </c>
      <c r="B506" s="3">
        <v>45726</v>
      </c>
      <c r="C506" s="3">
        <v>45743</v>
      </c>
      <c r="D506" s="2" t="s">
        <v>648</v>
      </c>
      <c r="E506" s="2" t="s">
        <v>655</v>
      </c>
      <c r="F506" s="2" t="s">
        <v>692</v>
      </c>
      <c r="G506" s="2" t="s">
        <v>706</v>
      </c>
      <c r="H506" s="2" t="s">
        <v>711</v>
      </c>
      <c r="I506" s="2" t="s">
        <v>721</v>
      </c>
      <c r="J506" s="2" t="s">
        <v>729</v>
      </c>
      <c r="K506" s="2" t="s">
        <v>1237</v>
      </c>
      <c r="L506" s="2">
        <v>996.73</v>
      </c>
      <c r="M506" s="2">
        <v>1217.43</v>
      </c>
      <c r="N506" s="2">
        <v>7.0000000000000007E-2</v>
      </c>
      <c r="O506" s="2">
        <v>9</v>
      </c>
    </row>
    <row r="507" spans="1:15" x14ac:dyDescent="0.3">
      <c r="A507" s="2" t="s">
        <v>519</v>
      </c>
      <c r="B507" s="3">
        <v>45387</v>
      </c>
      <c r="C507" s="3">
        <v>45391</v>
      </c>
      <c r="D507" s="2" t="s">
        <v>646</v>
      </c>
      <c r="E507" s="2" t="s">
        <v>651</v>
      </c>
      <c r="F507" s="2" t="s">
        <v>665</v>
      </c>
      <c r="G507" s="2" t="s">
        <v>703</v>
      </c>
      <c r="H507" s="2" t="s">
        <v>711</v>
      </c>
      <c r="I507" s="2" t="s">
        <v>723</v>
      </c>
      <c r="J507" s="2" t="s">
        <v>727</v>
      </c>
      <c r="K507" s="2" t="s">
        <v>1238</v>
      </c>
      <c r="L507" s="2">
        <v>395.07</v>
      </c>
      <c r="M507" s="2">
        <v>970.27</v>
      </c>
      <c r="N507" s="2">
        <v>0.123</v>
      </c>
      <c r="O507" s="2">
        <v>38</v>
      </c>
    </row>
    <row r="508" spans="1:15" x14ac:dyDescent="0.3">
      <c r="A508" s="2" t="s">
        <v>520</v>
      </c>
      <c r="B508" s="3">
        <v>45774</v>
      </c>
      <c r="C508" s="3">
        <v>45794</v>
      </c>
      <c r="D508" s="2" t="s">
        <v>648</v>
      </c>
      <c r="E508" s="2" t="s">
        <v>660</v>
      </c>
      <c r="F508" s="2" t="s">
        <v>697</v>
      </c>
      <c r="G508" s="2" t="s">
        <v>701</v>
      </c>
      <c r="H508" s="2" t="s">
        <v>711</v>
      </c>
      <c r="I508" s="2" t="s">
        <v>725</v>
      </c>
      <c r="J508" s="2" t="s">
        <v>730</v>
      </c>
      <c r="K508" s="2" t="s">
        <v>1239</v>
      </c>
      <c r="L508" s="2">
        <v>932.26</v>
      </c>
      <c r="M508" s="2">
        <v>1624.67</v>
      </c>
      <c r="N508" s="2">
        <v>0.23499999999999999</v>
      </c>
      <c r="O508" s="2">
        <v>28</v>
      </c>
    </row>
    <row r="509" spans="1:15" x14ac:dyDescent="0.3">
      <c r="A509" s="2" t="s">
        <v>521</v>
      </c>
      <c r="B509" s="3">
        <v>45589</v>
      </c>
      <c r="C509" s="3">
        <v>45593</v>
      </c>
      <c r="D509" s="2" t="s">
        <v>647</v>
      </c>
      <c r="E509" s="2" t="s">
        <v>659</v>
      </c>
      <c r="F509" s="2" t="s">
        <v>685</v>
      </c>
      <c r="G509" s="2" t="s">
        <v>705</v>
      </c>
      <c r="H509" s="2" t="s">
        <v>710</v>
      </c>
      <c r="I509" s="2" t="s">
        <v>714</v>
      </c>
      <c r="J509" s="2" t="s">
        <v>729</v>
      </c>
      <c r="K509" s="2" t="s">
        <v>1240</v>
      </c>
      <c r="L509" s="2">
        <v>1331.77</v>
      </c>
      <c r="M509" s="2">
        <v>2606.11</v>
      </c>
      <c r="N509" s="2">
        <v>0.02</v>
      </c>
      <c r="O509" s="2">
        <v>6</v>
      </c>
    </row>
    <row r="510" spans="1:15" x14ac:dyDescent="0.3">
      <c r="A510" s="2" t="s">
        <v>522</v>
      </c>
      <c r="B510" s="3">
        <v>45029</v>
      </c>
      <c r="C510" s="3">
        <v>45036</v>
      </c>
      <c r="D510" s="2" t="s">
        <v>649</v>
      </c>
      <c r="E510" s="2" t="s">
        <v>657</v>
      </c>
      <c r="F510" s="2" t="s">
        <v>679</v>
      </c>
      <c r="G510" s="2" t="s">
        <v>705</v>
      </c>
      <c r="H510" s="2" t="s">
        <v>708</v>
      </c>
      <c r="I510" s="2" t="s">
        <v>720</v>
      </c>
      <c r="J510" s="2" t="s">
        <v>731</v>
      </c>
      <c r="K510" s="2" t="s">
        <v>1241</v>
      </c>
      <c r="L510" s="2">
        <v>227.02</v>
      </c>
      <c r="M510" s="2">
        <v>434.72</v>
      </c>
      <c r="N510" s="2">
        <v>9.8000000000000004E-2</v>
      </c>
      <c r="O510" s="2">
        <v>10</v>
      </c>
    </row>
    <row r="511" spans="1:15" x14ac:dyDescent="0.3">
      <c r="A511" s="2" t="s">
        <v>523</v>
      </c>
      <c r="B511" s="3">
        <v>45608</v>
      </c>
      <c r="C511" s="3">
        <v>45617</v>
      </c>
      <c r="D511" s="2" t="s">
        <v>647</v>
      </c>
      <c r="E511" s="2" t="s">
        <v>654</v>
      </c>
      <c r="F511" s="2" t="s">
        <v>691</v>
      </c>
      <c r="G511" s="2" t="s">
        <v>701</v>
      </c>
      <c r="H511" s="2" t="s">
        <v>711</v>
      </c>
      <c r="I511" s="2" t="s">
        <v>722</v>
      </c>
      <c r="J511" s="2" t="s">
        <v>731</v>
      </c>
      <c r="K511" s="2" t="s">
        <v>1242</v>
      </c>
      <c r="L511" s="2">
        <v>903.41</v>
      </c>
      <c r="M511" s="2">
        <v>1860.41</v>
      </c>
      <c r="N511" s="2">
        <v>0.108</v>
      </c>
      <c r="O511" s="2">
        <v>5</v>
      </c>
    </row>
    <row r="512" spans="1:15" x14ac:dyDescent="0.3">
      <c r="A512" s="2" t="s">
        <v>524</v>
      </c>
      <c r="B512" s="3">
        <v>45056</v>
      </c>
      <c r="C512" s="3">
        <v>45060</v>
      </c>
      <c r="D512" s="2" t="s">
        <v>647</v>
      </c>
      <c r="E512" s="2" t="s">
        <v>654</v>
      </c>
      <c r="F512" s="2" t="s">
        <v>680</v>
      </c>
      <c r="G512" s="2" t="s">
        <v>703</v>
      </c>
      <c r="H512" s="2" t="s">
        <v>710</v>
      </c>
      <c r="I512" s="2" t="s">
        <v>712</v>
      </c>
      <c r="J512" s="2" t="s">
        <v>732</v>
      </c>
      <c r="K512" s="2" t="s">
        <v>1243</v>
      </c>
      <c r="L512" s="2">
        <v>622.6</v>
      </c>
      <c r="M512" s="2">
        <v>833.69</v>
      </c>
      <c r="N512" s="2">
        <v>0.20899999999999999</v>
      </c>
      <c r="O512" s="2">
        <v>14</v>
      </c>
    </row>
    <row r="513" spans="1:15" x14ac:dyDescent="0.3">
      <c r="A513" s="2" t="s">
        <v>525</v>
      </c>
      <c r="B513" s="3">
        <v>45353</v>
      </c>
      <c r="C513" s="3">
        <v>45374</v>
      </c>
      <c r="D513" s="2" t="s">
        <v>648</v>
      </c>
      <c r="E513" s="2" t="s">
        <v>660</v>
      </c>
      <c r="F513" s="2" t="s">
        <v>677</v>
      </c>
      <c r="G513" s="2" t="s">
        <v>705</v>
      </c>
      <c r="H513" s="2" t="s">
        <v>708</v>
      </c>
      <c r="I513" s="2" t="s">
        <v>721</v>
      </c>
      <c r="J513" s="2" t="s">
        <v>727</v>
      </c>
      <c r="K513" s="2" t="s">
        <v>1244</v>
      </c>
      <c r="L513" s="2">
        <v>225.01</v>
      </c>
      <c r="M513" s="2">
        <v>333.48</v>
      </c>
      <c r="N513" s="2">
        <v>0.11899999999999999</v>
      </c>
      <c r="O513" s="2">
        <v>12</v>
      </c>
    </row>
    <row r="514" spans="1:15" x14ac:dyDescent="0.3">
      <c r="A514" s="2" t="s">
        <v>526</v>
      </c>
      <c r="B514" s="3">
        <v>45575</v>
      </c>
      <c r="C514" s="3">
        <v>45576</v>
      </c>
      <c r="D514" s="2" t="s">
        <v>649</v>
      </c>
      <c r="E514" s="2" t="s">
        <v>658</v>
      </c>
      <c r="F514" s="2" t="s">
        <v>693</v>
      </c>
      <c r="G514" s="2" t="s">
        <v>703</v>
      </c>
      <c r="H514" s="2" t="s">
        <v>710</v>
      </c>
      <c r="I514" s="2" t="s">
        <v>716</v>
      </c>
      <c r="J514" s="2" t="s">
        <v>727</v>
      </c>
      <c r="K514" s="2" t="s">
        <v>1245</v>
      </c>
      <c r="L514" s="2">
        <v>1389.46</v>
      </c>
      <c r="M514" s="2">
        <v>1784.7</v>
      </c>
      <c r="N514" s="2">
        <v>0.14599999999999999</v>
      </c>
      <c r="O514" s="2">
        <v>33</v>
      </c>
    </row>
    <row r="515" spans="1:15" x14ac:dyDescent="0.3">
      <c r="A515" s="2" t="s">
        <v>527</v>
      </c>
      <c r="B515" s="3">
        <v>45078</v>
      </c>
      <c r="C515" s="3">
        <v>45085</v>
      </c>
      <c r="D515" s="2" t="s">
        <v>649</v>
      </c>
      <c r="E515" s="2" t="s">
        <v>656</v>
      </c>
      <c r="F515" s="2" t="s">
        <v>698</v>
      </c>
      <c r="G515" s="2" t="s">
        <v>704</v>
      </c>
      <c r="H515" s="2" t="s">
        <v>708</v>
      </c>
      <c r="I515" s="2" t="s">
        <v>720</v>
      </c>
      <c r="J515" s="2" t="s">
        <v>730</v>
      </c>
      <c r="K515" s="2" t="s">
        <v>1246</v>
      </c>
      <c r="L515" s="2">
        <v>804.17</v>
      </c>
      <c r="M515" s="2">
        <v>1072.29</v>
      </c>
      <c r="N515" s="2">
        <v>3.2000000000000001E-2</v>
      </c>
      <c r="O515" s="2">
        <v>5</v>
      </c>
    </row>
    <row r="516" spans="1:15" x14ac:dyDescent="0.3">
      <c r="A516" s="2" t="s">
        <v>528</v>
      </c>
      <c r="B516" s="3">
        <v>45661</v>
      </c>
      <c r="C516" s="3">
        <v>45662</v>
      </c>
      <c r="D516" s="2" t="s">
        <v>647</v>
      </c>
      <c r="E516" s="2" t="s">
        <v>654</v>
      </c>
      <c r="F516" s="2" t="s">
        <v>680</v>
      </c>
      <c r="G516" s="2" t="s">
        <v>702</v>
      </c>
      <c r="H516" s="2" t="s">
        <v>707</v>
      </c>
      <c r="I516" s="2" t="s">
        <v>714</v>
      </c>
      <c r="J516" s="2" t="s">
        <v>727</v>
      </c>
      <c r="K516" s="2" t="s">
        <v>1247</v>
      </c>
      <c r="L516" s="2">
        <v>1428.33</v>
      </c>
      <c r="M516" s="2">
        <v>3028.05</v>
      </c>
      <c r="N516" s="2">
        <v>0</v>
      </c>
      <c r="O516" s="2">
        <v>11</v>
      </c>
    </row>
    <row r="517" spans="1:15" x14ac:dyDescent="0.3">
      <c r="A517" s="2" t="s">
        <v>529</v>
      </c>
      <c r="B517" s="3">
        <v>45874</v>
      </c>
      <c r="C517" s="3">
        <v>45897</v>
      </c>
      <c r="D517" s="2" t="s">
        <v>647</v>
      </c>
      <c r="E517" s="2" t="s">
        <v>654</v>
      </c>
      <c r="F517" s="2" t="s">
        <v>691</v>
      </c>
      <c r="G517" s="2" t="s">
        <v>703</v>
      </c>
      <c r="H517" s="2" t="s">
        <v>710</v>
      </c>
      <c r="I517" s="2" t="s">
        <v>725</v>
      </c>
      <c r="J517" s="2" t="s">
        <v>731</v>
      </c>
      <c r="K517" s="2" t="s">
        <v>1248</v>
      </c>
      <c r="L517" s="2">
        <v>638.54</v>
      </c>
      <c r="M517" s="2">
        <v>987.24</v>
      </c>
      <c r="N517" s="2">
        <v>0</v>
      </c>
      <c r="O517" s="2">
        <v>11</v>
      </c>
    </row>
    <row r="518" spans="1:15" x14ac:dyDescent="0.3">
      <c r="A518" s="2" t="s">
        <v>530</v>
      </c>
      <c r="B518" s="3">
        <v>45199</v>
      </c>
      <c r="C518" s="3">
        <v>45229</v>
      </c>
      <c r="D518" s="2" t="s">
        <v>647</v>
      </c>
      <c r="E518" s="2" t="s">
        <v>652</v>
      </c>
      <c r="F518" s="2" t="s">
        <v>689</v>
      </c>
      <c r="G518" s="2" t="s">
        <v>706</v>
      </c>
      <c r="H518" s="2" t="s">
        <v>708</v>
      </c>
      <c r="I518" s="2" t="s">
        <v>726</v>
      </c>
      <c r="J518" s="2" t="s">
        <v>728</v>
      </c>
      <c r="K518" s="2" t="s">
        <v>1249</v>
      </c>
      <c r="L518" s="2">
        <v>649.13</v>
      </c>
      <c r="M518" s="2">
        <v>975.43</v>
      </c>
      <c r="N518" s="2">
        <v>0.157</v>
      </c>
      <c r="O518" s="2">
        <v>27</v>
      </c>
    </row>
    <row r="519" spans="1:15" x14ac:dyDescent="0.3">
      <c r="A519" s="2" t="s">
        <v>531</v>
      </c>
      <c r="B519" s="3">
        <v>45794</v>
      </c>
      <c r="C519" s="3">
        <v>45807</v>
      </c>
      <c r="D519" s="2" t="s">
        <v>646</v>
      </c>
      <c r="E519" s="2" t="s">
        <v>651</v>
      </c>
      <c r="F519" s="2" t="s">
        <v>665</v>
      </c>
      <c r="G519" s="2" t="s">
        <v>704</v>
      </c>
      <c r="H519" s="2" t="s">
        <v>710</v>
      </c>
      <c r="I519" s="2" t="s">
        <v>721</v>
      </c>
      <c r="J519" s="2" t="s">
        <v>733</v>
      </c>
      <c r="K519" s="2" t="s">
        <v>1250</v>
      </c>
      <c r="L519" s="2">
        <v>66.400000000000006</v>
      </c>
      <c r="M519" s="2">
        <v>141.43</v>
      </c>
      <c r="N519" s="2">
        <v>0.107</v>
      </c>
      <c r="O519" s="2">
        <v>8</v>
      </c>
    </row>
    <row r="520" spans="1:15" x14ac:dyDescent="0.3">
      <c r="A520" s="2" t="s">
        <v>532</v>
      </c>
      <c r="B520" s="3">
        <v>45413</v>
      </c>
      <c r="C520" s="3">
        <v>45438</v>
      </c>
      <c r="D520" s="2" t="s">
        <v>649</v>
      </c>
      <c r="E520" s="2" t="s">
        <v>656</v>
      </c>
      <c r="F520" s="2" t="s">
        <v>671</v>
      </c>
      <c r="G520" s="2" t="s">
        <v>703</v>
      </c>
      <c r="H520" s="2" t="s">
        <v>707</v>
      </c>
      <c r="I520" s="2" t="s">
        <v>717</v>
      </c>
      <c r="J520" s="2" t="s">
        <v>729</v>
      </c>
      <c r="K520" s="2" t="s">
        <v>1251</v>
      </c>
      <c r="L520" s="2">
        <v>930.71</v>
      </c>
      <c r="M520" s="2">
        <v>1625.42</v>
      </c>
      <c r="N520" s="2">
        <v>0.13800000000000001</v>
      </c>
      <c r="O520" s="2">
        <v>7</v>
      </c>
    </row>
    <row r="521" spans="1:15" x14ac:dyDescent="0.3">
      <c r="A521" s="2" t="s">
        <v>533</v>
      </c>
      <c r="B521" s="3">
        <v>45047</v>
      </c>
      <c r="C521" s="3">
        <v>45064</v>
      </c>
      <c r="D521" s="2" t="s">
        <v>646</v>
      </c>
      <c r="E521" s="2" t="s">
        <v>651</v>
      </c>
      <c r="F521" s="2" t="s">
        <v>663</v>
      </c>
      <c r="G521" s="2" t="s">
        <v>701</v>
      </c>
      <c r="H521" s="2" t="s">
        <v>711</v>
      </c>
      <c r="I521" s="2" t="s">
        <v>721</v>
      </c>
      <c r="J521" s="2" t="s">
        <v>727</v>
      </c>
      <c r="K521" s="2" t="s">
        <v>1252</v>
      </c>
      <c r="L521" s="2">
        <v>327.97</v>
      </c>
      <c r="M521" s="2">
        <v>299.94</v>
      </c>
      <c r="N521" s="2">
        <v>4.9000000000000002E-2</v>
      </c>
      <c r="O521" s="2">
        <v>3</v>
      </c>
    </row>
    <row r="522" spans="1:15" x14ac:dyDescent="0.3">
      <c r="A522" s="2" t="s">
        <v>534</v>
      </c>
      <c r="B522" s="3">
        <v>45482</v>
      </c>
      <c r="C522" s="3">
        <v>45512</v>
      </c>
      <c r="D522" s="2" t="s">
        <v>649</v>
      </c>
      <c r="E522" s="2" t="s">
        <v>657</v>
      </c>
      <c r="F522" s="2" t="s">
        <v>673</v>
      </c>
      <c r="G522" s="2" t="s">
        <v>701</v>
      </c>
      <c r="H522" s="2" t="s">
        <v>711</v>
      </c>
      <c r="I522" s="2" t="s">
        <v>713</v>
      </c>
      <c r="J522" s="2" t="s">
        <v>727</v>
      </c>
      <c r="K522" s="2" t="s">
        <v>1253</v>
      </c>
      <c r="L522" s="2">
        <v>1062.3800000000001</v>
      </c>
      <c r="M522" s="2">
        <v>1503.96</v>
      </c>
      <c r="N522" s="2">
        <v>0.18</v>
      </c>
      <c r="O522" s="2">
        <v>6</v>
      </c>
    </row>
    <row r="523" spans="1:15" x14ac:dyDescent="0.3">
      <c r="A523" s="2" t="s">
        <v>535</v>
      </c>
      <c r="B523" s="3">
        <v>45056</v>
      </c>
      <c r="C523" s="3">
        <v>45073</v>
      </c>
      <c r="D523" s="2" t="s">
        <v>647</v>
      </c>
      <c r="E523" s="2" t="s">
        <v>654</v>
      </c>
      <c r="F523" s="2" t="s">
        <v>691</v>
      </c>
      <c r="G523" s="2" t="s">
        <v>704</v>
      </c>
      <c r="H523" s="2" t="s">
        <v>707</v>
      </c>
      <c r="I523" s="2" t="s">
        <v>724</v>
      </c>
      <c r="J523" s="2" t="s">
        <v>731</v>
      </c>
      <c r="K523" s="2" t="s">
        <v>1254</v>
      </c>
      <c r="L523" s="2">
        <v>1286.1600000000001</v>
      </c>
      <c r="M523" s="2">
        <v>3101.11</v>
      </c>
      <c r="N523" s="2">
        <v>0.1</v>
      </c>
      <c r="O523" s="2">
        <v>23</v>
      </c>
    </row>
    <row r="524" spans="1:15" x14ac:dyDescent="0.3">
      <c r="A524" s="2" t="s">
        <v>536</v>
      </c>
      <c r="B524" s="3">
        <v>45482</v>
      </c>
      <c r="C524" s="3">
        <v>45485</v>
      </c>
      <c r="D524" s="2" t="s">
        <v>647</v>
      </c>
      <c r="E524" s="2" t="s">
        <v>659</v>
      </c>
      <c r="F524" s="2" t="s">
        <v>685</v>
      </c>
      <c r="G524" s="2" t="s">
        <v>705</v>
      </c>
      <c r="H524" s="2" t="s">
        <v>707</v>
      </c>
      <c r="I524" s="2" t="s">
        <v>726</v>
      </c>
      <c r="J524" s="2" t="s">
        <v>733</v>
      </c>
      <c r="K524" s="2" t="s">
        <v>1255</v>
      </c>
      <c r="L524" s="2">
        <v>748.39</v>
      </c>
      <c r="M524" s="2">
        <v>979.42</v>
      </c>
      <c r="N524" s="2">
        <v>0</v>
      </c>
      <c r="O524" s="2">
        <v>23</v>
      </c>
    </row>
    <row r="525" spans="1:15" x14ac:dyDescent="0.3">
      <c r="A525" s="2" t="s">
        <v>537</v>
      </c>
      <c r="B525" s="3">
        <v>45406</v>
      </c>
      <c r="C525" s="3">
        <v>45422</v>
      </c>
      <c r="D525" s="2" t="s">
        <v>646</v>
      </c>
      <c r="E525" s="2" t="s">
        <v>650</v>
      </c>
      <c r="F525" s="2" t="s">
        <v>662</v>
      </c>
      <c r="G525" s="2" t="s">
        <v>703</v>
      </c>
      <c r="H525" s="2" t="s">
        <v>708</v>
      </c>
      <c r="I525" s="2" t="s">
        <v>725</v>
      </c>
      <c r="J525" s="2" t="s">
        <v>732</v>
      </c>
      <c r="K525" s="2" t="s">
        <v>1256</v>
      </c>
      <c r="L525" s="2">
        <v>513.30999999999995</v>
      </c>
      <c r="M525" s="2">
        <v>1186.26</v>
      </c>
      <c r="N525" s="2">
        <v>9.4E-2</v>
      </c>
      <c r="O525" s="2">
        <v>15</v>
      </c>
    </row>
    <row r="526" spans="1:15" x14ac:dyDescent="0.3">
      <c r="A526" s="2" t="s">
        <v>538</v>
      </c>
      <c r="B526" s="3">
        <v>45304</v>
      </c>
      <c r="C526" s="3">
        <v>45306</v>
      </c>
      <c r="D526" s="2" t="s">
        <v>648</v>
      </c>
      <c r="E526" s="2" t="s">
        <v>660</v>
      </c>
      <c r="F526" s="2" t="s">
        <v>686</v>
      </c>
      <c r="G526" s="2" t="s">
        <v>703</v>
      </c>
      <c r="H526" s="2" t="s">
        <v>711</v>
      </c>
      <c r="I526" s="2" t="s">
        <v>718</v>
      </c>
      <c r="J526" s="2" t="s">
        <v>727</v>
      </c>
      <c r="K526" s="2" t="s">
        <v>1257</v>
      </c>
      <c r="L526" s="2">
        <v>1061.3699999999999</v>
      </c>
      <c r="M526" s="2">
        <v>1938.33</v>
      </c>
      <c r="N526" s="2">
        <v>0.17</v>
      </c>
      <c r="O526" s="2">
        <v>4</v>
      </c>
    </row>
    <row r="527" spans="1:15" x14ac:dyDescent="0.3">
      <c r="A527" s="2" t="s">
        <v>539</v>
      </c>
      <c r="B527" s="3">
        <v>45398</v>
      </c>
      <c r="C527" s="3">
        <v>45409</v>
      </c>
      <c r="D527" s="2" t="s">
        <v>646</v>
      </c>
      <c r="E527" s="2" t="s">
        <v>650</v>
      </c>
      <c r="F527" s="2" t="s">
        <v>678</v>
      </c>
      <c r="G527" s="2" t="s">
        <v>706</v>
      </c>
      <c r="H527" s="2" t="s">
        <v>708</v>
      </c>
      <c r="I527" s="2" t="s">
        <v>726</v>
      </c>
      <c r="J527" s="2" t="s">
        <v>728</v>
      </c>
      <c r="K527" s="2" t="s">
        <v>1258</v>
      </c>
      <c r="L527" s="2">
        <v>401.3</v>
      </c>
      <c r="M527" s="2">
        <v>826.47</v>
      </c>
      <c r="N527" s="2">
        <v>0.22500000000000001</v>
      </c>
      <c r="O527" s="2">
        <v>13</v>
      </c>
    </row>
    <row r="528" spans="1:15" x14ac:dyDescent="0.3">
      <c r="A528" s="2" t="s">
        <v>540</v>
      </c>
      <c r="B528" s="3">
        <v>45695</v>
      </c>
      <c r="C528" s="3">
        <v>45704</v>
      </c>
      <c r="D528" s="2" t="s">
        <v>646</v>
      </c>
      <c r="E528" s="2" t="s">
        <v>651</v>
      </c>
      <c r="F528" s="2" t="s">
        <v>665</v>
      </c>
      <c r="G528" s="2" t="s">
        <v>705</v>
      </c>
      <c r="H528" s="2" t="s">
        <v>710</v>
      </c>
      <c r="I528" s="2" t="s">
        <v>712</v>
      </c>
      <c r="J528" s="2" t="s">
        <v>728</v>
      </c>
      <c r="K528" s="2" t="s">
        <v>1259</v>
      </c>
      <c r="L528" s="2">
        <v>90.68</v>
      </c>
      <c r="M528" s="2">
        <v>118.17</v>
      </c>
      <c r="N528" s="2">
        <v>0.13500000000000001</v>
      </c>
      <c r="O528" s="2">
        <v>21</v>
      </c>
    </row>
    <row r="529" spans="1:15" x14ac:dyDescent="0.3">
      <c r="A529" s="2" t="s">
        <v>541</v>
      </c>
      <c r="B529" s="3">
        <v>44938</v>
      </c>
      <c r="C529" s="3">
        <v>44952</v>
      </c>
      <c r="D529" s="2" t="s">
        <v>647</v>
      </c>
      <c r="E529" s="2" t="s">
        <v>659</v>
      </c>
      <c r="F529" s="2" t="s">
        <v>676</v>
      </c>
      <c r="G529" s="2" t="s">
        <v>703</v>
      </c>
      <c r="H529" s="2" t="s">
        <v>707</v>
      </c>
      <c r="I529" s="2" t="s">
        <v>724</v>
      </c>
      <c r="J529" s="2" t="s">
        <v>728</v>
      </c>
      <c r="K529" s="2" t="s">
        <v>1260</v>
      </c>
      <c r="L529" s="2">
        <v>1083.0899999999999</v>
      </c>
      <c r="M529" s="2">
        <v>1425.87</v>
      </c>
      <c r="N529" s="2">
        <v>0</v>
      </c>
      <c r="O529" s="2">
        <v>8</v>
      </c>
    </row>
    <row r="530" spans="1:15" x14ac:dyDescent="0.3">
      <c r="A530" s="2" t="s">
        <v>542</v>
      </c>
      <c r="B530" s="3">
        <v>45448</v>
      </c>
      <c r="C530" s="3">
        <v>45466</v>
      </c>
      <c r="D530" s="2" t="s">
        <v>646</v>
      </c>
      <c r="E530" s="2" t="s">
        <v>650</v>
      </c>
      <c r="F530" s="2" t="s">
        <v>664</v>
      </c>
      <c r="G530" s="2" t="s">
        <v>704</v>
      </c>
      <c r="H530" s="2" t="s">
        <v>710</v>
      </c>
      <c r="I530" s="2" t="s">
        <v>726</v>
      </c>
      <c r="J530" s="2" t="s">
        <v>731</v>
      </c>
      <c r="K530" s="2" t="s">
        <v>1261</v>
      </c>
      <c r="L530" s="2">
        <v>1208.74</v>
      </c>
      <c r="M530" s="2">
        <v>1594.78</v>
      </c>
      <c r="N530" s="2">
        <v>5.8999999999999997E-2</v>
      </c>
      <c r="O530" s="2">
        <v>39</v>
      </c>
    </row>
    <row r="531" spans="1:15" x14ac:dyDescent="0.3">
      <c r="A531" s="2" t="s">
        <v>543</v>
      </c>
      <c r="B531" s="3">
        <v>45162</v>
      </c>
      <c r="C531" s="3">
        <v>45189</v>
      </c>
      <c r="D531" s="2" t="s">
        <v>646</v>
      </c>
      <c r="E531" s="2" t="s">
        <v>661</v>
      </c>
      <c r="F531" s="2" t="s">
        <v>687</v>
      </c>
      <c r="G531" s="2" t="s">
        <v>705</v>
      </c>
      <c r="H531" s="2" t="s">
        <v>709</v>
      </c>
      <c r="I531" s="2" t="s">
        <v>724</v>
      </c>
      <c r="J531" s="2" t="s">
        <v>728</v>
      </c>
      <c r="K531" s="2" t="s">
        <v>1262</v>
      </c>
      <c r="L531" s="2">
        <v>1399.64</v>
      </c>
      <c r="M531" s="2">
        <v>3342.11</v>
      </c>
      <c r="N531" s="2">
        <v>0</v>
      </c>
      <c r="O531" s="2">
        <v>10</v>
      </c>
    </row>
    <row r="532" spans="1:15" x14ac:dyDescent="0.3">
      <c r="A532" s="2" t="s">
        <v>544</v>
      </c>
      <c r="B532" s="3">
        <v>45316</v>
      </c>
      <c r="C532" s="3">
        <v>45330</v>
      </c>
      <c r="D532" s="2" t="s">
        <v>647</v>
      </c>
      <c r="E532" s="2" t="s">
        <v>652</v>
      </c>
      <c r="F532" s="2" t="s">
        <v>666</v>
      </c>
      <c r="G532" s="2" t="s">
        <v>704</v>
      </c>
      <c r="H532" s="2" t="s">
        <v>709</v>
      </c>
      <c r="I532" s="2" t="s">
        <v>714</v>
      </c>
      <c r="J532" s="2" t="s">
        <v>729</v>
      </c>
      <c r="K532" s="2" t="s">
        <v>1263</v>
      </c>
      <c r="L532" s="2">
        <v>937.16</v>
      </c>
      <c r="M532" s="2">
        <v>1069.77</v>
      </c>
      <c r="N532" s="2">
        <v>3.7999999999999999E-2</v>
      </c>
      <c r="O532" s="2">
        <v>9</v>
      </c>
    </row>
    <row r="533" spans="1:15" x14ac:dyDescent="0.3">
      <c r="A533" s="2" t="s">
        <v>545</v>
      </c>
      <c r="B533" s="3">
        <v>45727</v>
      </c>
      <c r="C533" s="3">
        <v>45742</v>
      </c>
      <c r="D533" s="2" t="s">
        <v>649</v>
      </c>
      <c r="E533" s="2" t="s">
        <v>656</v>
      </c>
      <c r="F533" s="2" t="s">
        <v>671</v>
      </c>
      <c r="G533" s="2" t="s">
        <v>705</v>
      </c>
      <c r="H533" s="2" t="s">
        <v>708</v>
      </c>
      <c r="I533" s="2" t="s">
        <v>714</v>
      </c>
      <c r="J533" s="2" t="s">
        <v>730</v>
      </c>
      <c r="K533" s="2" t="s">
        <v>1264</v>
      </c>
      <c r="L533" s="2">
        <v>116.97</v>
      </c>
      <c r="M533" s="2">
        <v>140.82</v>
      </c>
      <c r="N533" s="2">
        <v>0.122</v>
      </c>
      <c r="O533" s="2">
        <v>5</v>
      </c>
    </row>
    <row r="534" spans="1:15" x14ac:dyDescent="0.3">
      <c r="A534" s="2" t="s">
        <v>546</v>
      </c>
      <c r="B534" s="3">
        <v>45769</v>
      </c>
      <c r="C534" s="3">
        <v>45789</v>
      </c>
      <c r="D534" s="2" t="s">
        <v>649</v>
      </c>
      <c r="E534" s="2" t="s">
        <v>657</v>
      </c>
      <c r="F534" s="2" t="s">
        <v>679</v>
      </c>
      <c r="G534" s="2" t="s">
        <v>706</v>
      </c>
      <c r="H534" s="2" t="s">
        <v>709</v>
      </c>
      <c r="I534" s="2" t="s">
        <v>723</v>
      </c>
      <c r="J534" s="2" t="s">
        <v>732</v>
      </c>
      <c r="K534" s="2" t="s">
        <v>1265</v>
      </c>
      <c r="L534" s="2">
        <v>59.51</v>
      </c>
      <c r="M534" s="2">
        <v>67.040000000000006</v>
      </c>
      <c r="N534" s="2">
        <v>0.114</v>
      </c>
      <c r="O534" s="2">
        <v>9</v>
      </c>
    </row>
    <row r="535" spans="1:15" x14ac:dyDescent="0.3">
      <c r="A535" s="2" t="s">
        <v>547</v>
      </c>
      <c r="B535" s="3">
        <v>45155</v>
      </c>
      <c r="C535" s="3">
        <v>45172</v>
      </c>
      <c r="D535" s="2" t="s">
        <v>646</v>
      </c>
      <c r="E535" s="2" t="s">
        <v>661</v>
      </c>
      <c r="F535" s="2" t="s">
        <v>687</v>
      </c>
      <c r="G535" s="2" t="s">
        <v>706</v>
      </c>
      <c r="H535" s="2" t="s">
        <v>707</v>
      </c>
      <c r="I535" s="2" t="s">
        <v>720</v>
      </c>
      <c r="J535" s="2" t="s">
        <v>730</v>
      </c>
      <c r="K535" s="2" t="s">
        <v>1266</v>
      </c>
      <c r="L535" s="2">
        <v>676.37</v>
      </c>
      <c r="M535" s="2">
        <v>1276.67</v>
      </c>
      <c r="N535" s="2">
        <v>6.6000000000000003E-2</v>
      </c>
      <c r="O535" s="2">
        <v>10</v>
      </c>
    </row>
    <row r="536" spans="1:15" x14ac:dyDescent="0.3">
      <c r="A536" s="2" t="s">
        <v>548</v>
      </c>
      <c r="B536" s="3">
        <v>45832</v>
      </c>
      <c r="C536" s="3">
        <v>45852</v>
      </c>
      <c r="D536" s="2" t="s">
        <v>646</v>
      </c>
      <c r="E536" s="2" t="s">
        <v>661</v>
      </c>
      <c r="F536" s="2" t="s">
        <v>682</v>
      </c>
      <c r="G536" s="2" t="s">
        <v>706</v>
      </c>
      <c r="H536" s="2" t="s">
        <v>709</v>
      </c>
      <c r="I536" s="2" t="s">
        <v>713</v>
      </c>
      <c r="J536" s="2" t="s">
        <v>731</v>
      </c>
      <c r="K536" s="2" t="s">
        <v>1267</v>
      </c>
      <c r="L536" s="2">
        <v>1151.06</v>
      </c>
      <c r="M536" s="2">
        <v>2821.36</v>
      </c>
      <c r="N536" s="2">
        <v>0.248</v>
      </c>
      <c r="O536" s="2">
        <v>20</v>
      </c>
    </row>
    <row r="537" spans="1:15" x14ac:dyDescent="0.3">
      <c r="A537" s="2" t="s">
        <v>549</v>
      </c>
      <c r="B537" s="3">
        <v>45667</v>
      </c>
      <c r="C537" s="3">
        <v>45694</v>
      </c>
      <c r="D537" s="2" t="s">
        <v>648</v>
      </c>
      <c r="E537" s="2" t="s">
        <v>655</v>
      </c>
      <c r="F537" s="2" t="s">
        <v>672</v>
      </c>
      <c r="G537" s="2" t="s">
        <v>703</v>
      </c>
      <c r="H537" s="2" t="s">
        <v>707</v>
      </c>
      <c r="I537" s="2" t="s">
        <v>717</v>
      </c>
      <c r="J537" s="2" t="s">
        <v>731</v>
      </c>
      <c r="K537" s="2" t="s">
        <v>1268</v>
      </c>
      <c r="L537" s="2">
        <v>725.62</v>
      </c>
      <c r="M537" s="2">
        <v>1559.19</v>
      </c>
      <c r="N537" s="2">
        <v>0.19</v>
      </c>
      <c r="O537" s="2">
        <v>12</v>
      </c>
    </row>
    <row r="538" spans="1:15" x14ac:dyDescent="0.3">
      <c r="A538" s="2" t="s">
        <v>550</v>
      </c>
      <c r="B538" s="3">
        <v>45108</v>
      </c>
      <c r="C538" s="3">
        <v>45118</v>
      </c>
      <c r="D538" s="2" t="s">
        <v>649</v>
      </c>
      <c r="E538" s="2" t="s">
        <v>657</v>
      </c>
      <c r="F538" s="2" t="s">
        <v>690</v>
      </c>
      <c r="G538" s="2" t="s">
        <v>701</v>
      </c>
      <c r="H538" s="2" t="s">
        <v>711</v>
      </c>
      <c r="I538" s="2" t="s">
        <v>721</v>
      </c>
      <c r="J538" s="2" t="s">
        <v>729</v>
      </c>
      <c r="K538" s="2" t="s">
        <v>1269</v>
      </c>
      <c r="L538" s="2">
        <v>479.5</v>
      </c>
      <c r="M538" s="2">
        <v>656.66</v>
      </c>
      <c r="N538" s="2">
        <v>0.14899999999999999</v>
      </c>
      <c r="O538" s="2">
        <v>14</v>
      </c>
    </row>
    <row r="539" spans="1:15" x14ac:dyDescent="0.3">
      <c r="A539" s="2" t="s">
        <v>551</v>
      </c>
      <c r="B539" s="3">
        <v>45520</v>
      </c>
      <c r="C539" s="3">
        <v>45530</v>
      </c>
      <c r="D539" s="2" t="s">
        <v>648</v>
      </c>
      <c r="E539" s="2" t="s">
        <v>660</v>
      </c>
      <c r="F539" s="2" t="s">
        <v>677</v>
      </c>
      <c r="G539" s="2" t="s">
        <v>701</v>
      </c>
      <c r="H539" s="2" t="s">
        <v>710</v>
      </c>
      <c r="I539" s="2" t="s">
        <v>716</v>
      </c>
      <c r="J539" s="2" t="s">
        <v>731</v>
      </c>
      <c r="K539" s="2" t="s">
        <v>1121</v>
      </c>
      <c r="L539" s="2">
        <v>1291.7</v>
      </c>
      <c r="M539" s="2">
        <v>2657.84</v>
      </c>
      <c r="N539" s="2">
        <v>8.6999999999999994E-2</v>
      </c>
      <c r="O539" s="2">
        <v>21</v>
      </c>
    </row>
    <row r="540" spans="1:15" x14ac:dyDescent="0.3">
      <c r="A540" s="2" t="s">
        <v>552</v>
      </c>
      <c r="B540" s="3">
        <v>45114</v>
      </c>
      <c r="C540" s="3">
        <v>45120</v>
      </c>
      <c r="D540" s="2" t="s">
        <v>646</v>
      </c>
      <c r="E540" s="2" t="s">
        <v>661</v>
      </c>
      <c r="F540" s="2" t="s">
        <v>695</v>
      </c>
      <c r="G540" s="2" t="s">
        <v>705</v>
      </c>
      <c r="H540" s="2" t="s">
        <v>709</v>
      </c>
      <c r="I540" s="2" t="s">
        <v>717</v>
      </c>
      <c r="J540" s="2" t="s">
        <v>733</v>
      </c>
      <c r="K540" s="2" t="s">
        <v>1270</v>
      </c>
      <c r="L540" s="2">
        <v>612.59</v>
      </c>
      <c r="M540" s="2">
        <v>1424.74</v>
      </c>
      <c r="N540" s="2">
        <v>4.3999999999999997E-2</v>
      </c>
      <c r="O540" s="2">
        <v>15</v>
      </c>
    </row>
    <row r="541" spans="1:15" x14ac:dyDescent="0.3">
      <c r="A541" s="2" t="s">
        <v>553</v>
      </c>
      <c r="B541" s="3">
        <v>45288</v>
      </c>
      <c r="C541" s="3">
        <v>45292</v>
      </c>
      <c r="D541" s="2" t="s">
        <v>646</v>
      </c>
      <c r="E541" s="2" t="s">
        <v>661</v>
      </c>
      <c r="F541" s="2" t="s">
        <v>695</v>
      </c>
      <c r="G541" s="2" t="s">
        <v>702</v>
      </c>
      <c r="H541" s="2" t="s">
        <v>710</v>
      </c>
      <c r="I541" s="2" t="s">
        <v>720</v>
      </c>
      <c r="J541" s="2" t="s">
        <v>728</v>
      </c>
      <c r="K541" s="2" t="s">
        <v>1271</v>
      </c>
      <c r="L541" s="2">
        <v>1141.8</v>
      </c>
      <c r="M541" s="2">
        <v>2318.7399999999998</v>
      </c>
      <c r="N541" s="2">
        <v>0.107</v>
      </c>
      <c r="O541" s="2">
        <v>32</v>
      </c>
    </row>
    <row r="542" spans="1:15" x14ac:dyDescent="0.3">
      <c r="A542" s="2" t="s">
        <v>554</v>
      </c>
      <c r="B542" s="3">
        <v>44952</v>
      </c>
      <c r="C542" s="3">
        <v>44972</v>
      </c>
      <c r="D542" s="2" t="s">
        <v>649</v>
      </c>
      <c r="E542" s="2" t="s">
        <v>656</v>
      </c>
      <c r="F542" s="2" t="s">
        <v>671</v>
      </c>
      <c r="G542" s="2" t="s">
        <v>705</v>
      </c>
      <c r="H542" s="2" t="s">
        <v>708</v>
      </c>
      <c r="I542" s="2" t="s">
        <v>719</v>
      </c>
      <c r="J542" s="2" t="s">
        <v>729</v>
      </c>
      <c r="K542" s="2" t="s">
        <v>1272</v>
      </c>
      <c r="L542" s="2">
        <v>492.62</v>
      </c>
      <c r="M542" s="2">
        <v>366.7</v>
      </c>
      <c r="N542" s="2">
        <v>8.8999999999999996E-2</v>
      </c>
      <c r="O542" s="2">
        <v>10</v>
      </c>
    </row>
    <row r="543" spans="1:15" x14ac:dyDescent="0.3">
      <c r="A543" s="2" t="s">
        <v>555</v>
      </c>
      <c r="B543" s="3">
        <v>45115</v>
      </c>
      <c r="C543" s="3">
        <v>45116</v>
      </c>
      <c r="D543" s="2" t="s">
        <v>646</v>
      </c>
      <c r="E543" s="2" t="s">
        <v>650</v>
      </c>
      <c r="F543" s="2" t="s">
        <v>664</v>
      </c>
      <c r="G543" s="2" t="s">
        <v>704</v>
      </c>
      <c r="H543" s="2" t="s">
        <v>708</v>
      </c>
      <c r="I543" s="2" t="s">
        <v>726</v>
      </c>
      <c r="J543" s="2" t="s">
        <v>731</v>
      </c>
      <c r="K543" s="2" t="s">
        <v>1273</v>
      </c>
      <c r="L543" s="2">
        <v>1258.72</v>
      </c>
      <c r="M543" s="2">
        <v>2797.41</v>
      </c>
      <c r="N543" s="2">
        <v>0</v>
      </c>
      <c r="O543" s="2">
        <v>7</v>
      </c>
    </row>
    <row r="544" spans="1:15" x14ac:dyDescent="0.3">
      <c r="A544" s="2" t="s">
        <v>556</v>
      </c>
      <c r="B544" s="3">
        <v>45450</v>
      </c>
      <c r="C544" s="3">
        <v>45452</v>
      </c>
      <c r="D544" s="2" t="s">
        <v>647</v>
      </c>
      <c r="E544" s="2" t="s">
        <v>659</v>
      </c>
      <c r="F544" s="2" t="s">
        <v>685</v>
      </c>
      <c r="G544" s="2" t="s">
        <v>701</v>
      </c>
      <c r="H544" s="2" t="s">
        <v>707</v>
      </c>
      <c r="I544" s="2" t="s">
        <v>719</v>
      </c>
      <c r="J544" s="2" t="s">
        <v>732</v>
      </c>
      <c r="K544" s="2" t="s">
        <v>1274</v>
      </c>
      <c r="L544" s="2">
        <v>1370.28</v>
      </c>
      <c r="M544" s="2">
        <v>2209.66</v>
      </c>
      <c r="N544" s="2">
        <v>0.13300000000000001</v>
      </c>
      <c r="O544" s="2">
        <v>16</v>
      </c>
    </row>
    <row r="545" spans="1:15" x14ac:dyDescent="0.3">
      <c r="A545" s="2" t="s">
        <v>557</v>
      </c>
      <c r="B545" s="3">
        <v>44968</v>
      </c>
      <c r="C545" s="3">
        <v>44969</v>
      </c>
      <c r="D545" s="2" t="s">
        <v>646</v>
      </c>
      <c r="E545" s="2" t="s">
        <v>651</v>
      </c>
      <c r="F545" s="2" t="s">
        <v>663</v>
      </c>
      <c r="G545" s="2" t="s">
        <v>703</v>
      </c>
      <c r="H545" s="2" t="s">
        <v>711</v>
      </c>
      <c r="I545" s="2" t="s">
        <v>726</v>
      </c>
      <c r="J545" s="2" t="s">
        <v>733</v>
      </c>
      <c r="K545" s="2" t="s">
        <v>1275</v>
      </c>
      <c r="L545" s="2">
        <v>944.61</v>
      </c>
      <c r="M545" s="2">
        <v>839.04</v>
      </c>
      <c r="N545" s="2">
        <v>5.8999999999999997E-2</v>
      </c>
      <c r="O545" s="2">
        <v>6</v>
      </c>
    </row>
    <row r="546" spans="1:15" x14ac:dyDescent="0.3">
      <c r="A546" s="2" t="s">
        <v>558</v>
      </c>
      <c r="B546" s="3">
        <v>45108</v>
      </c>
      <c r="C546" s="3">
        <v>45115</v>
      </c>
      <c r="D546" s="2" t="s">
        <v>649</v>
      </c>
      <c r="E546" s="2" t="s">
        <v>656</v>
      </c>
      <c r="F546" s="2" t="s">
        <v>698</v>
      </c>
      <c r="G546" s="2" t="s">
        <v>705</v>
      </c>
      <c r="H546" s="2" t="s">
        <v>710</v>
      </c>
      <c r="I546" s="2" t="s">
        <v>725</v>
      </c>
      <c r="J546" s="2" t="s">
        <v>731</v>
      </c>
      <c r="K546" s="2" t="s">
        <v>1276</v>
      </c>
      <c r="L546" s="2">
        <v>460.21</v>
      </c>
      <c r="M546" s="2">
        <v>1139.1500000000001</v>
      </c>
      <c r="N546" s="2">
        <v>0.115</v>
      </c>
      <c r="O546" s="2">
        <v>14</v>
      </c>
    </row>
    <row r="547" spans="1:15" x14ac:dyDescent="0.3">
      <c r="A547" s="2" t="s">
        <v>559</v>
      </c>
      <c r="B547" s="3">
        <v>45889</v>
      </c>
      <c r="C547" s="3">
        <v>45895</v>
      </c>
      <c r="D547" s="2" t="s">
        <v>648</v>
      </c>
      <c r="E547" s="2" t="s">
        <v>660</v>
      </c>
      <c r="F547" s="2" t="s">
        <v>700</v>
      </c>
      <c r="G547" s="2" t="s">
        <v>701</v>
      </c>
      <c r="H547" s="2" t="s">
        <v>707</v>
      </c>
      <c r="I547" s="2" t="s">
        <v>724</v>
      </c>
      <c r="J547" s="2" t="s">
        <v>729</v>
      </c>
      <c r="K547" s="2" t="s">
        <v>1277</v>
      </c>
      <c r="L547" s="2">
        <v>1304.95</v>
      </c>
      <c r="M547" s="2">
        <v>1712.03</v>
      </c>
      <c r="N547" s="2">
        <v>0.21199999999999999</v>
      </c>
      <c r="O547" s="2">
        <v>8</v>
      </c>
    </row>
    <row r="548" spans="1:15" x14ac:dyDescent="0.3">
      <c r="A548" s="2" t="s">
        <v>560</v>
      </c>
      <c r="B548" s="3">
        <v>45355</v>
      </c>
      <c r="C548" s="3">
        <v>45367</v>
      </c>
      <c r="D548" s="2" t="s">
        <v>646</v>
      </c>
      <c r="E548" s="2" t="s">
        <v>661</v>
      </c>
      <c r="F548" s="2" t="s">
        <v>682</v>
      </c>
      <c r="G548" s="2" t="s">
        <v>706</v>
      </c>
      <c r="H548" s="2" t="s">
        <v>710</v>
      </c>
      <c r="I548" s="2" t="s">
        <v>724</v>
      </c>
      <c r="J548" s="2" t="s">
        <v>732</v>
      </c>
      <c r="K548" s="2" t="s">
        <v>1278</v>
      </c>
      <c r="L548" s="2">
        <v>441.08</v>
      </c>
      <c r="M548" s="2">
        <v>1054.29</v>
      </c>
      <c r="N548" s="2">
        <v>0.23699999999999999</v>
      </c>
      <c r="O548" s="2">
        <v>6</v>
      </c>
    </row>
    <row r="549" spans="1:15" x14ac:dyDescent="0.3">
      <c r="A549" s="2" t="s">
        <v>561</v>
      </c>
      <c r="B549" s="3">
        <v>45177</v>
      </c>
      <c r="C549" s="3">
        <v>45201</v>
      </c>
      <c r="D549" s="2" t="s">
        <v>648</v>
      </c>
      <c r="E549" s="2" t="s">
        <v>653</v>
      </c>
      <c r="F549" s="2" t="s">
        <v>667</v>
      </c>
      <c r="G549" s="2" t="s">
        <v>702</v>
      </c>
      <c r="H549" s="2" t="s">
        <v>711</v>
      </c>
      <c r="I549" s="2" t="s">
        <v>720</v>
      </c>
      <c r="J549" s="2" t="s">
        <v>733</v>
      </c>
      <c r="K549" s="2" t="s">
        <v>1279</v>
      </c>
      <c r="L549" s="2">
        <v>1299.03</v>
      </c>
      <c r="M549" s="2">
        <v>2451.2199999999998</v>
      </c>
      <c r="N549" s="2">
        <v>0.20799999999999999</v>
      </c>
      <c r="O549" s="2">
        <v>8</v>
      </c>
    </row>
    <row r="550" spans="1:15" x14ac:dyDescent="0.3">
      <c r="A550" s="2" t="s">
        <v>562</v>
      </c>
      <c r="B550" s="3">
        <v>44985</v>
      </c>
      <c r="C550" s="3">
        <v>44991</v>
      </c>
      <c r="D550" s="2" t="s">
        <v>649</v>
      </c>
      <c r="E550" s="2" t="s">
        <v>656</v>
      </c>
      <c r="F550" s="2" t="s">
        <v>698</v>
      </c>
      <c r="G550" s="2" t="s">
        <v>705</v>
      </c>
      <c r="H550" s="2" t="s">
        <v>709</v>
      </c>
      <c r="I550" s="2" t="s">
        <v>726</v>
      </c>
      <c r="J550" s="2" t="s">
        <v>728</v>
      </c>
      <c r="K550" s="2" t="s">
        <v>1280</v>
      </c>
      <c r="L550" s="2">
        <v>880.02</v>
      </c>
      <c r="M550" s="2">
        <v>1251.21</v>
      </c>
      <c r="N550" s="2">
        <v>0.123</v>
      </c>
      <c r="O550" s="2">
        <v>29</v>
      </c>
    </row>
    <row r="551" spans="1:15" x14ac:dyDescent="0.3">
      <c r="A551" s="2" t="s">
        <v>563</v>
      </c>
      <c r="B551" s="3">
        <v>45486</v>
      </c>
      <c r="C551" s="3">
        <v>45507</v>
      </c>
      <c r="D551" s="2" t="s">
        <v>648</v>
      </c>
      <c r="E551" s="2" t="s">
        <v>655</v>
      </c>
      <c r="F551" s="2" t="s">
        <v>692</v>
      </c>
      <c r="G551" s="2" t="s">
        <v>701</v>
      </c>
      <c r="H551" s="2" t="s">
        <v>709</v>
      </c>
      <c r="I551" s="2" t="s">
        <v>724</v>
      </c>
      <c r="J551" s="2" t="s">
        <v>732</v>
      </c>
      <c r="K551" s="2" t="s">
        <v>1281</v>
      </c>
      <c r="L551" s="2">
        <v>702.98</v>
      </c>
      <c r="M551" s="2">
        <v>1104.8</v>
      </c>
      <c r="N551" s="2">
        <v>0.17499999999999999</v>
      </c>
      <c r="O551" s="2">
        <v>12</v>
      </c>
    </row>
    <row r="552" spans="1:15" x14ac:dyDescent="0.3">
      <c r="A552" s="2" t="s">
        <v>564</v>
      </c>
      <c r="B552" s="3">
        <v>45633</v>
      </c>
      <c r="C552" s="3">
        <v>45652</v>
      </c>
      <c r="D552" s="2" t="s">
        <v>649</v>
      </c>
      <c r="E552" s="2" t="s">
        <v>658</v>
      </c>
      <c r="F552" s="2" t="s">
        <v>683</v>
      </c>
      <c r="G552" s="2" t="s">
        <v>706</v>
      </c>
      <c r="H552" s="2" t="s">
        <v>708</v>
      </c>
      <c r="I552" s="2" t="s">
        <v>726</v>
      </c>
      <c r="J552" s="2" t="s">
        <v>729</v>
      </c>
      <c r="K552" s="2" t="s">
        <v>1282</v>
      </c>
      <c r="L552" s="2">
        <v>1035.24</v>
      </c>
      <c r="M552" s="2">
        <v>2383.41</v>
      </c>
      <c r="N552" s="2">
        <v>0.17</v>
      </c>
      <c r="O552" s="2">
        <v>15</v>
      </c>
    </row>
    <row r="553" spans="1:15" x14ac:dyDescent="0.3">
      <c r="A553" s="2" t="s">
        <v>565</v>
      </c>
      <c r="B553" s="3">
        <v>45875</v>
      </c>
      <c r="C553" s="3">
        <v>45892</v>
      </c>
      <c r="D553" s="2" t="s">
        <v>648</v>
      </c>
      <c r="E553" s="2" t="s">
        <v>655</v>
      </c>
      <c r="F553" s="2" t="s">
        <v>672</v>
      </c>
      <c r="G553" s="2" t="s">
        <v>704</v>
      </c>
      <c r="H553" s="2" t="s">
        <v>710</v>
      </c>
      <c r="I553" s="2" t="s">
        <v>720</v>
      </c>
      <c r="J553" s="2" t="s">
        <v>732</v>
      </c>
      <c r="K553" s="2" t="s">
        <v>1283</v>
      </c>
      <c r="L553" s="2">
        <v>86.64</v>
      </c>
      <c r="M553" s="2">
        <v>213.06</v>
      </c>
      <c r="N553" s="2">
        <v>0.21199999999999999</v>
      </c>
      <c r="O553" s="2">
        <v>11</v>
      </c>
    </row>
    <row r="554" spans="1:15" x14ac:dyDescent="0.3">
      <c r="A554" s="2" t="s">
        <v>566</v>
      </c>
      <c r="B554" s="3">
        <v>44988</v>
      </c>
      <c r="C554" s="3">
        <v>45005</v>
      </c>
      <c r="D554" s="2" t="s">
        <v>647</v>
      </c>
      <c r="E554" s="2" t="s">
        <v>652</v>
      </c>
      <c r="F554" s="2" t="s">
        <v>694</v>
      </c>
      <c r="G554" s="2" t="s">
        <v>705</v>
      </c>
      <c r="H554" s="2" t="s">
        <v>708</v>
      </c>
      <c r="I554" s="2" t="s">
        <v>726</v>
      </c>
      <c r="J554" s="2" t="s">
        <v>729</v>
      </c>
      <c r="K554" s="2" t="s">
        <v>1284</v>
      </c>
      <c r="L554" s="2">
        <v>1171.17</v>
      </c>
      <c r="M554" s="2">
        <v>2030.64</v>
      </c>
      <c r="N554" s="2">
        <v>0.157</v>
      </c>
      <c r="O554" s="2">
        <v>11</v>
      </c>
    </row>
    <row r="555" spans="1:15" x14ac:dyDescent="0.3">
      <c r="A555" s="2" t="s">
        <v>567</v>
      </c>
      <c r="B555" s="3">
        <v>45704</v>
      </c>
      <c r="C555" s="3">
        <v>45733</v>
      </c>
      <c r="D555" s="2" t="s">
        <v>649</v>
      </c>
      <c r="E555" s="2" t="s">
        <v>656</v>
      </c>
      <c r="F555" s="2" t="s">
        <v>684</v>
      </c>
      <c r="G555" s="2" t="s">
        <v>704</v>
      </c>
      <c r="H555" s="2" t="s">
        <v>707</v>
      </c>
      <c r="I555" s="2" t="s">
        <v>716</v>
      </c>
      <c r="J555" s="2" t="s">
        <v>733</v>
      </c>
      <c r="K555" s="2" t="s">
        <v>1285</v>
      </c>
      <c r="L555" s="2">
        <v>730.42</v>
      </c>
      <c r="M555" s="2">
        <v>956.7</v>
      </c>
      <c r="N555" s="2">
        <v>4.2000000000000003E-2</v>
      </c>
      <c r="O555" s="2">
        <v>22</v>
      </c>
    </row>
    <row r="556" spans="1:15" x14ac:dyDescent="0.3">
      <c r="A556" s="2" t="s">
        <v>568</v>
      </c>
      <c r="B556" s="3">
        <v>45703</v>
      </c>
      <c r="C556" s="3">
        <v>45717</v>
      </c>
      <c r="D556" s="2" t="s">
        <v>646</v>
      </c>
      <c r="E556" s="2" t="s">
        <v>650</v>
      </c>
      <c r="F556" s="2" t="s">
        <v>675</v>
      </c>
      <c r="G556" s="2" t="s">
        <v>702</v>
      </c>
      <c r="H556" s="2" t="s">
        <v>711</v>
      </c>
      <c r="I556" s="2" t="s">
        <v>716</v>
      </c>
      <c r="J556" s="2" t="s">
        <v>733</v>
      </c>
      <c r="K556" s="2" t="s">
        <v>1286</v>
      </c>
      <c r="L556" s="2">
        <v>1162.8599999999999</v>
      </c>
      <c r="M556" s="2">
        <v>1447.68</v>
      </c>
      <c r="N556" s="2">
        <v>8.6999999999999994E-2</v>
      </c>
      <c r="O556" s="2">
        <v>12</v>
      </c>
    </row>
    <row r="557" spans="1:15" x14ac:dyDescent="0.3">
      <c r="A557" s="2" t="s">
        <v>569</v>
      </c>
      <c r="B557" s="3">
        <v>45535</v>
      </c>
      <c r="C557" s="3">
        <v>45561</v>
      </c>
      <c r="D557" s="2" t="s">
        <v>647</v>
      </c>
      <c r="E557" s="2" t="s">
        <v>652</v>
      </c>
      <c r="F557" s="2" t="s">
        <v>689</v>
      </c>
      <c r="G557" s="2" t="s">
        <v>702</v>
      </c>
      <c r="H557" s="2" t="s">
        <v>708</v>
      </c>
      <c r="I557" s="2" t="s">
        <v>714</v>
      </c>
      <c r="J557" s="2" t="s">
        <v>730</v>
      </c>
      <c r="K557" s="2" t="s">
        <v>1287</v>
      </c>
      <c r="L557" s="2">
        <v>1189.03</v>
      </c>
      <c r="M557" s="2">
        <v>2949.62</v>
      </c>
      <c r="N557" s="2">
        <v>0.125</v>
      </c>
      <c r="O557" s="2">
        <v>13</v>
      </c>
    </row>
    <row r="558" spans="1:15" x14ac:dyDescent="0.3">
      <c r="A558" s="2" t="s">
        <v>570</v>
      </c>
      <c r="B558" s="3">
        <v>45053</v>
      </c>
      <c r="C558" s="3">
        <v>45066</v>
      </c>
      <c r="D558" s="2" t="s">
        <v>647</v>
      </c>
      <c r="E558" s="2" t="s">
        <v>654</v>
      </c>
      <c r="F558" s="2" t="s">
        <v>691</v>
      </c>
      <c r="G558" s="2" t="s">
        <v>706</v>
      </c>
      <c r="H558" s="2" t="s">
        <v>707</v>
      </c>
      <c r="I558" s="2" t="s">
        <v>726</v>
      </c>
      <c r="J558" s="2" t="s">
        <v>733</v>
      </c>
      <c r="K558" s="2" t="s">
        <v>1288</v>
      </c>
      <c r="L558" s="2">
        <v>1443.28</v>
      </c>
      <c r="M558" s="2">
        <v>2580.5700000000002</v>
      </c>
      <c r="N558" s="2">
        <v>0</v>
      </c>
      <c r="O558" s="2">
        <v>18</v>
      </c>
    </row>
    <row r="559" spans="1:15" x14ac:dyDescent="0.3">
      <c r="A559" s="2" t="s">
        <v>571</v>
      </c>
      <c r="B559" s="3">
        <v>45791</v>
      </c>
      <c r="C559" s="3">
        <v>45789</v>
      </c>
      <c r="D559" s="2" t="s">
        <v>648</v>
      </c>
      <c r="E559" s="2" t="s">
        <v>653</v>
      </c>
      <c r="F559" s="2" t="s">
        <v>688</v>
      </c>
      <c r="G559" s="2" t="s">
        <v>703</v>
      </c>
      <c r="H559" s="2" t="s">
        <v>710</v>
      </c>
      <c r="I559" s="2" t="s">
        <v>721</v>
      </c>
      <c r="J559" s="2" t="s">
        <v>728</v>
      </c>
      <c r="K559" s="2" t="s">
        <v>1289</v>
      </c>
      <c r="L559" s="2">
        <v>883.5</v>
      </c>
      <c r="M559" s="2">
        <v>1978.91</v>
      </c>
      <c r="N559" s="2">
        <v>5.3999999999999999E-2</v>
      </c>
      <c r="O559" s="2">
        <v>27</v>
      </c>
    </row>
    <row r="560" spans="1:15" x14ac:dyDescent="0.3">
      <c r="A560" s="2" t="s">
        <v>572</v>
      </c>
      <c r="B560" s="3">
        <v>45362</v>
      </c>
      <c r="C560" s="3">
        <v>45380</v>
      </c>
      <c r="D560" s="2" t="s">
        <v>648</v>
      </c>
      <c r="E560" s="2" t="s">
        <v>660</v>
      </c>
      <c r="F560" s="2" t="s">
        <v>700</v>
      </c>
      <c r="G560" s="2" t="s">
        <v>701</v>
      </c>
      <c r="H560" s="2" t="s">
        <v>707</v>
      </c>
      <c r="I560" s="2" t="s">
        <v>724</v>
      </c>
      <c r="J560" s="2" t="s">
        <v>732</v>
      </c>
      <c r="K560" s="2" t="s">
        <v>1290</v>
      </c>
      <c r="L560" s="2">
        <v>710.98</v>
      </c>
      <c r="M560" s="2">
        <v>1481.45</v>
      </c>
      <c r="N560" s="2">
        <v>0.21099999999999999</v>
      </c>
      <c r="O560" s="2">
        <v>9</v>
      </c>
    </row>
    <row r="561" spans="1:15" x14ac:dyDescent="0.3">
      <c r="A561" s="2" t="s">
        <v>573</v>
      </c>
      <c r="B561" s="3">
        <v>45430</v>
      </c>
      <c r="C561" s="3">
        <v>45434</v>
      </c>
      <c r="D561" s="2" t="s">
        <v>646</v>
      </c>
      <c r="E561" s="2" t="s">
        <v>650</v>
      </c>
      <c r="F561" s="2" t="s">
        <v>664</v>
      </c>
      <c r="G561" s="2" t="s">
        <v>701</v>
      </c>
      <c r="H561" s="2" t="s">
        <v>711</v>
      </c>
      <c r="I561" s="2" t="s">
        <v>722</v>
      </c>
      <c r="J561" s="2" t="s">
        <v>733</v>
      </c>
      <c r="K561" s="2" t="s">
        <v>1291</v>
      </c>
      <c r="L561" s="2">
        <v>857.42</v>
      </c>
      <c r="M561" s="2">
        <v>1658.92</v>
      </c>
      <c r="N561" s="2">
        <v>0.122</v>
      </c>
      <c r="O561" s="2">
        <v>9</v>
      </c>
    </row>
    <row r="562" spans="1:15" x14ac:dyDescent="0.3">
      <c r="A562" s="2" t="s">
        <v>574</v>
      </c>
      <c r="B562" s="3">
        <v>45299</v>
      </c>
      <c r="C562" s="3">
        <v>45303</v>
      </c>
      <c r="D562" s="2" t="s">
        <v>647</v>
      </c>
      <c r="E562" s="2" t="s">
        <v>654</v>
      </c>
      <c r="F562" s="2" t="s">
        <v>668</v>
      </c>
      <c r="G562" s="2" t="s">
        <v>701</v>
      </c>
      <c r="H562" s="2" t="s">
        <v>711</v>
      </c>
      <c r="I562" s="2" t="s">
        <v>718</v>
      </c>
      <c r="J562" s="2" t="s">
        <v>728</v>
      </c>
      <c r="K562" s="2" t="s">
        <v>1292</v>
      </c>
      <c r="L562" s="2">
        <v>802.32</v>
      </c>
      <c r="M562" s="2">
        <v>602.34</v>
      </c>
      <c r="N562" s="2">
        <v>0.12</v>
      </c>
      <c r="O562" s="2">
        <v>25</v>
      </c>
    </row>
    <row r="563" spans="1:15" x14ac:dyDescent="0.3">
      <c r="A563" s="2" t="s">
        <v>575</v>
      </c>
      <c r="B563" s="3">
        <v>45590</v>
      </c>
      <c r="C563" s="3">
        <v>45601</v>
      </c>
      <c r="D563" s="2" t="s">
        <v>648</v>
      </c>
      <c r="E563" s="2" t="s">
        <v>660</v>
      </c>
      <c r="F563" s="2" t="s">
        <v>700</v>
      </c>
      <c r="G563" s="2" t="s">
        <v>701</v>
      </c>
      <c r="H563" s="2" t="s">
        <v>710</v>
      </c>
      <c r="I563" s="2" t="s">
        <v>725</v>
      </c>
      <c r="J563" s="2" t="s">
        <v>727</v>
      </c>
      <c r="K563" s="2" t="s">
        <v>1293</v>
      </c>
      <c r="L563" s="2">
        <v>446.66</v>
      </c>
      <c r="M563" s="2">
        <v>527.64</v>
      </c>
      <c r="N563" s="2">
        <v>0.14499999999999999</v>
      </c>
      <c r="O563" s="2">
        <v>15</v>
      </c>
    </row>
    <row r="564" spans="1:15" x14ac:dyDescent="0.3">
      <c r="A564" s="2" t="s">
        <v>576</v>
      </c>
      <c r="B564" s="3">
        <v>45626</v>
      </c>
      <c r="C564" s="3">
        <v>45645</v>
      </c>
      <c r="D564" s="2" t="s">
        <v>646</v>
      </c>
      <c r="E564" s="2" t="s">
        <v>650</v>
      </c>
      <c r="F564" s="2" t="s">
        <v>662</v>
      </c>
      <c r="G564" s="2" t="s">
        <v>701</v>
      </c>
      <c r="H564" s="2" t="s">
        <v>708</v>
      </c>
      <c r="I564" s="2" t="s">
        <v>716</v>
      </c>
      <c r="J564" s="2" t="s">
        <v>730</v>
      </c>
      <c r="K564" s="2" t="s">
        <v>1294</v>
      </c>
      <c r="L564" s="2">
        <v>1195.98</v>
      </c>
      <c r="M564" s="2">
        <v>1841.9</v>
      </c>
      <c r="N564" s="2">
        <v>5.5E-2</v>
      </c>
      <c r="O564" s="2">
        <v>19</v>
      </c>
    </row>
    <row r="565" spans="1:15" x14ac:dyDescent="0.3">
      <c r="A565" s="2" t="s">
        <v>577</v>
      </c>
      <c r="B565" s="3">
        <v>45029</v>
      </c>
      <c r="C565" s="3">
        <v>45048</v>
      </c>
      <c r="D565" s="2" t="s">
        <v>648</v>
      </c>
      <c r="E565" s="2" t="s">
        <v>653</v>
      </c>
      <c r="F565" s="2" t="s">
        <v>681</v>
      </c>
      <c r="G565" s="2" t="s">
        <v>704</v>
      </c>
      <c r="H565" s="2" t="s">
        <v>710</v>
      </c>
      <c r="I565" s="2" t="s">
        <v>718</v>
      </c>
      <c r="J565" s="2" t="s">
        <v>732</v>
      </c>
      <c r="K565" s="2" t="s">
        <v>1295</v>
      </c>
      <c r="L565" s="2">
        <v>671.05</v>
      </c>
      <c r="M565" s="2">
        <v>1645.48</v>
      </c>
      <c r="N565" s="2">
        <v>0.13700000000000001</v>
      </c>
      <c r="O565" s="2">
        <v>6</v>
      </c>
    </row>
    <row r="566" spans="1:15" x14ac:dyDescent="0.3">
      <c r="A566" s="2" t="s">
        <v>578</v>
      </c>
      <c r="B566" s="3">
        <v>45692</v>
      </c>
      <c r="C566" s="3">
        <v>45696</v>
      </c>
      <c r="D566" s="2" t="s">
        <v>649</v>
      </c>
      <c r="E566" s="2" t="s">
        <v>658</v>
      </c>
      <c r="F566" s="2" t="s">
        <v>693</v>
      </c>
      <c r="G566" s="2" t="s">
        <v>706</v>
      </c>
      <c r="H566" s="2" t="s">
        <v>709</v>
      </c>
      <c r="I566" s="2" t="s">
        <v>716</v>
      </c>
      <c r="J566" s="2" t="s">
        <v>729</v>
      </c>
      <c r="K566" s="2" t="s">
        <v>1296</v>
      </c>
      <c r="L566" s="2">
        <v>586.21</v>
      </c>
      <c r="M566" s="2">
        <v>727.22</v>
      </c>
      <c r="N566" s="2">
        <v>6.8000000000000005E-2</v>
      </c>
      <c r="O566" s="2">
        <v>15</v>
      </c>
    </row>
    <row r="567" spans="1:15" x14ac:dyDescent="0.3">
      <c r="A567" s="2" t="s">
        <v>579</v>
      </c>
      <c r="B567" s="3">
        <v>45315</v>
      </c>
      <c r="C567" s="3">
        <v>45326</v>
      </c>
      <c r="D567" s="2" t="s">
        <v>649</v>
      </c>
      <c r="E567" s="2" t="s">
        <v>658</v>
      </c>
      <c r="F567" s="2" t="s">
        <v>693</v>
      </c>
      <c r="G567" s="2" t="s">
        <v>704</v>
      </c>
      <c r="H567" s="2" t="s">
        <v>707</v>
      </c>
      <c r="I567" s="2" t="s">
        <v>717</v>
      </c>
      <c r="J567" s="2" t="s">
        <v>731</v>
      </c>
      <c r="K567" s="2" t="s">
        <v>1297</v>
      </c>
      <c r="L567" s="2">
        <v>525.34</v>
      </c>
      <c r="M567" s="2">
        <v>1233.79</v>
      </c>
      <c r="N567" s="2">
        <v>0.14299999999999999</v>
      </c>
      <c r="O567" s="2">
        <v>4</v>
      </c>
    </row>
    <row r="568" spans="1:15" x14ac:dyDescent="0.3">
      <c r="A568" s="2" t="s">
        <v>580</v>
      </c>
      <c r="B568" s="3">
        <v>45330</v>
      </c>
      <c r="C568" s="3">
        <v>45331</v>
      </c>
      <c r="D568" s="2" t="s">
        <v>646</v>
      </c>
      <c r="E568" s="2" t="s">
        <v>650</v>
      </c>
      <c r="F568" s="2" t="s">
        <v>675</v>
      </c>
      <c r="G568" s="2" t="s">
        <v>701</v>
      </c>
      <c r="H568" s="2" t="s">
        <v>711</v>
      </c>
      <c r="I568" s="2" t="s">
        <v>721</v>
      </c>
      <c r="J568" s="2" t="s">
        <v>727</v>
      </c>
      <c r="K568" s="2" t="s">
        <v>1298</v>
      </c>
      <c r="L568" s="2">
        <v>1233.52</v>
      </c>
      <c r="M568" s="2">
        <v>1543.76</v>
      </c>
      <c r="N568" s="2">
        <v>0.126</v>
      </c>
      <c r="O568" s="2">
        <v>13</v>
      </c>
    </row>
    <row r="569" spans="1:15" x14ac:dyDescent="0.3">
      <c r="A569" s="2" t="s">
        <v>581</v>
      </c>
      <c r="B569" s="3">
        <v>45834</v>
      </c>
      <c r="C569" s="3">
        <v>45849</v>
      </c>
      <c r="D569" s="2" t="s">
        <v>646</v>
      </c>
      <c r="E569" s="2" t="s">
        <v>651</v>
      </c>
      <c r="F569" s="2" t="s">
        <v>663</v>
      </c>
      <c r="G569" s="2" t="s">
        <v>705</v>
      </c>
      <c r="H569" s="2" t="s">
        <v>708</v>
      </c>
      <c r="I569" s="2" t="s">
        <v>720</v>
      </c>
      <c r="J569" s="2" t="s">
        <v>731</v>
      </c>
      <c r="K569" s="2" t="s">
        <v>1299</v>
      </c>
      <c r="L569" s="2">
        <v>1170.1500000000001</v>
      </c>
      <c r="M569" s="2">
        <v>2115.19</v>
      </c>
      <c r="N569" s="2">
        <v>9.1999999999999998E-2</v>
      </c>
      <c r="O569" s="2">
        <v>23</v>
      </c>
    </row>
    <row r="570" spans="1:15" x14ac:dyDescent="0.3">
      <c r="A570" s="2" t="s">
        <v>582</v>
      </c>
      <c r="B570" s="3">
        <v>45600</v>
      </c>
      <c r="C570" s="3">
        <v>45603</v>
      </c>
      <c r="D570" s="2" t="s">
        <v>649</v>
      </c>
      <c r="E570" s="2" t="s">
        <v>657</v>
      </c>
      <c r="F570" s="2" t="s">
        <v>679</v>
      </c>
      <c r="G570" s="2" t="s">
        <v>701</v>
      </c>
      <c r="H570" s="2" t="s">
        <v>708</v>
      </c>
      <c r="I570" s="2" t="s">
        <v>719</v>
      </c>
      <c r="J570" s="2" t="s">
        <v>732</v>
      </c>
      <c r="K570" s="2" t="s">
        <v>1300</v>
      </c>
      <c r="L570" s="2">
        <v>740.68</v>
      </c>
      <c r="M570" s="2">
        <v>1837.19</v>
      </c>
      <c r="N570" s="2">
        <v>0.19700000000000001</v>
      </c>
      <c r="O570" s="2">
        <v>17</v>
      </c>
    </row>
    <row r="571" spans="1:15" x14ac:dyDescent="0.3">
      <c r="A571" s="2" t="s">
        <v>583</v>
      </c>
      <c r="B571" s="3">
        <v>45342</v>
      </c>
      <c r="C571" s="3">
        <v>45342</v>
      </c>
      <c r="D571" s="2" t="s">
        <v>648</v>
      </c>
      <c r="E571" s="2" t="s">
        <v>660</v>
      </c>
      <c r="F571" s="2" t="s">
        <v>700</v>
      </c>
      <c r="G571" s="2" t="s">
        <v>706</v>
      </c>
      <c r="H571" s="2" t="s">
        <v>708</v>
      </c>
      <c r="I571" s="2" t="s">
        <v>712</v>
      </c>
      <c r="J571" s="2" t="s">
        <v>729</v>
      </c>
      <c r="K571" s="2" t="s">
        <v>1301</v>
      </c>
      <c r="L571" s="2">
        <v>1407.05</v>
      </c>
      <c r="M571" s="2">
        <v>2858.93</v>
      </c>
      <c r="N571" s="2">
        <v>0</v>
      </c>
      <c r="O571" s="2">
        <v>12</v>
      </c>
    </row>
    <row r="572" spans="1:15" x14ac:dyDescent="0.3">
      <c r="A572" s="2" t="s">
        <v>584</v>
      </c>
      <c r="B572" s="3">
        <v>45760</v>
      </c>
      <c r="C572" s="3">
        <v>45761</v>
      </c>
      <c r="D572" s="2" t="s">
        <v>647</v>
      </c>
      <c r="E572" s="2" t="s">
        <v>652</v>
      </c>
      <c r="F572" s="2" t="s">
        <v>666</v>
      </c>
      <c r="G572" s="2" t="s">
        <v>706</v>
      </c>
      <c r="H572" s="2" t="s">
        <v>708</v>
      </c>
      <c r="I572" s="2" t="s">
        <v>715</v>
      </c>
      <c r="J572" s="2" t="s">
        <v>727</v>
      </c>
      <c r="K572" s="2" t="s">
        <v>1302</v>
      </c>
      <c r="L572" s="2">
        <v>138.9</v>
      </c>
      <c r="M572" s="2">
        <v>289.92</v>
      </c>
      <c r="N572" s="2">
        <v>2.9000000000000001E-2</v>
      </c>
      <c r="O572" s="2">
        <v>12</v>
      </c>
    </row>
    <row r="573" spans="1:15" x14ac:dyDescent="0.3">
      <c r="A573" s="2" t="s">
        <v>585</v>
      </c>
      <c r="B573" s="3">
        <v>45078</v>
      </c>
      <c r="C573" s="3">
        <v>45078</v>
      </c>
      <c r="D573" s="2" t="s">
        <v>647</v>
      </c>
      <c r="E573" s="2" t="s">
        <v>654</v>
      </c>
      <c r="F573" s="2" t="s">
        <v>668</v>
      </c>
      <c r="G573" s="2" t="s">
        <v>701</v>
      </c>
      <c r="H573" s="2" t="s">
        <v>707</v>
      </c>
      <c r="I573" s="2" t="s">
        <v>718</v>
      </c>
      <c r="J573" s="2" t="s">
        <v>733</v>
      </c>
      <c r="K573" s="2" t="s">
        <v>1303</v>
      </c>
      <c r="L573" s="2">
        <v>669.37</v>
      </c>
      <c r="M573" s="2">
        <v>997.2</v>
      </c>
      <c r="N573" s="2">
        <v>8.2000000000000003E-2</v>
      </c>
      <c r="O573" s="2">
        <v>5</v>
      </c>
    </row>
    <row r="574" spans="1:15" x14ac:dyDescent="0.3">
      <c r="A574" s="2" t="s">
        <v>586</v>
      </c>
      <c r="B574" s="3">
        <v>45740</v>
      </c>
      <c r="C574" s="3">
        <v>45751</v>
      </c>
      <c r="D574" s="2" t="s">
        <v>647</v>
      </c>
      <c r="E574" s="2" t="s">
        <v>654</v>
      </c>
      <c r="F574" s="2" t="s">
        <v>691</v>
      </c>
      <c r="G574" s="2" t="s">
        <v>702</v>
      </c>
      <c r="H574" s="2" t="s">
        <v>709</v>
      </c>
      <c r="I574" s="2" t="s">
        <v>713</v>
      </c>
      <c r="J574" s="2" t="s">
        <v>730</v>
      </c>
      <c r="K574" s="2" t="s">
        <v>1304</v>
      </c>
      <c r="L574" s="2">
        <v>23.83</v>
      </c>
      <c r="M574" s="2">
        <v>47.29</v>
      </c>
      <c r="N574" s="2">
        <v>6.4000000000000001E-2</v>
      </c>
      <c r="O574" s="2">
        <v>19</v>
      </c>
    </row>
    <row r="575" spans="1:15" x14ac:dyDescent="0.3">
      <c r="A575" s="2" t="s">
        <v>587</v>
      </c>
      <c r="B575" s="3">
        <v>45293</v>
      </c>
      <c r="C575" s="3">
        <v>45293</v>
      </c>
      <c r="D575" s="2" t="s">
        <v>648</v>
      </c>
      <c r="E575" s="2" t="s">
        <v>653</v>
      </c>
      <c r="F575" s="2" t="s">
        <v>688</v>
      </c>
      <c r="G575" s="2" t="s">
        <v>702</v>
      </c>
      <c r="H575" s="2" t="s">
        <v>711</v>
      </c>
      <c r="I575" s="2" t="s">
        <v>720</v>
      </c>
      <c r="J575" s="2" t="s">
        <v>731</v>
      </c>
      <c r="K575" s="2" t="s">
        <v>1305</v>
      </c>
      <c r="L575" s="2">
        <v>444.41</v>
      </c>
      <c r="M575" s="2">
        <v>754.24</v>
      </c>
      <c r="N575" s="2">
        <v>0.20699999999999999</v>
      </c>
      <c r="O575" s="2">
        <v>32</v>
      </c>
    </row>
    <row r="576" spans="1:15" x14ac:dyDescent="0.3">
      <c r="A576" s="2" t="s">
        <v>588</v>
      </c>
      <c r="B576" s="3">
        <v>45279</v>
      </c>
      <c r="C576" s="3">
        <v>45292</v>
      </c>
      <c r="D576" s="2" t="s">
        <v>648</v>
      </c>
      <c r="E576" s="2" t="s">
        <v>653</v>
      </c>
      <c r="F576" s="2" t="s">
        <v>667</v>
      </c>
      <c r="G576" s="2" t="s">
        <v>706</v>
      </c>
      <c r="H576" s="2" t="s">
        <v>707</v>
      </c>
      <c r="I576" s="2" t="s">
        <v>723</v>
      </c>
      <c r="J576" s="2" t="s">
        <v>732</v>
      </c>
      <c r="K576" s="2" t="s">
        <v>1306</v>
      </c>
      <c r="L576" s="2">
        <v>856.1</v>
      </c>
      <c r="M576" s="2">
        <v>901.48</v>
      </c>
      <c r="N576" s="2">
        <v>5.6000000000000001E-2</v>
      </c>
      <c r="O576" s="2">
        <v>17</v>
      </c>
    </row>
    <row r="577" spans="1:15" x14ac:dyDescent="0.3">
      <c r="A577" s="2" t="s">
        <v>589</v>
      </c>
      <c r="B577" s="3">
        <v>45042</v>
      </c>
      <c r="C577" s="3">
        <v>45042</v>
      </c>
      <c r="D577" s="2" t="s">
        <v>649</v>
      </c>
      <c r="E577" s="2" t="s">
        <v>657</v>
      </c>
      <c r="F577" s="2" t="s">
        <v>673</v>
      </c>
      <c r="G577" s="2" t="s">
        <v>704</v>
      </c>
      <c r="H577" s="2" t="s">
        <v>711</v>
      </c>
      <c r="I577" s="2" t="s">
        <v>724</v>
      </c>
      <c r="J577" s="2" t="s">
        <v>727</v>
      </c>
      <c r="K577" s="2" t="s">
        <v>1307</v>
      </c>
      <c r="L577" s="2">
        <v>81.489999999999995</v>
      </c>
      <c r="M577" s="2">
        <v>113.08</v>
      </c>
      <c r="N577" s="2">
        <v>0.121</v>
      </c>
      <c r="O577" s="2">
        <v>5</v>
      </c>
    </row>
    <row r="578" spans="1:15" x14ac:dyDescent="0.3">
      <c r="A578" s="2" t="s">
        <v>590</v>
      </c>
      <c r="B578" s="3">
        <v>45872</v>
      </c>
      <c r="C578" s="3">
        <v>45885</v>
      </c>
      <c r="D578" s="2" t="s">
        <v>648</v>
      </c>
      <c r="E578" s="2" t="s">
        <v>653</v>
      </c>
      <c r="F578" s="2" t="s">
        <v>681</v>
      </c>
      <c r="G578" s="2" t="s">
        <v>706</v>
      </c>
      <c r="H578" s="2" t="s">
        <v>710</v>
      </c>
      <c r="I578" s="2" t="s">
        <v>719</v>
      </c>
      <c r="J578" s="2" t="s">
        <v>729</v>
      </c>
      <c r="K578" s="2" t="s">
        <v>1308</v>
      </c>
      <c r="L578" s="2">
        <v>698.66</v>
      </c>
      <c r="M578" s="2">
        <v>868.62</v>
      </c>
      <c r="N578" s="2">
        <v>7.1999999999999995E-2</v>
      </c>
      <c r="O578" s="2">
        <v>15</v>
      </c>
    </row>
    <row r="579" spans="1:15" x14ac:dyDescent="0.3">
      <c r="A579" s="2" t="s">
        <v>591</v>
      </c>
      <c r="B579" s="3">
        <v>45140</v>
      </c>
      <c r="C579" s="3">
        <v>45157</v>
      </c>
      <c r="D579" s="2" t="s">
        <v>648</v>
      </c>
      <c r="E579" s="2" t="s">
        <v>653</v>
      </c>
      <c r="F579" s="2" t="s">
        <v>688</v>
      </c>
      <c r="G579" s="2" t="s">
        <v>701</v>
      </c>
      <c r="H579" s="2" t="s">
        <v>708</v>
      </c>
      <c r="I579" s="2" t="s">
        <v>721</v>
      </c>
      <c r="J579" s="2" t="s">
        <v>729</v>
      </c>
      <c r="K579" s="2" t="s">
        <v>1309</v>
      </c>
      <c r="L579" s="2">
        <v>175.38</v>
      </c>
      <c r="M579" s="2">
        <v>347.9</v>
      </c>
      <c r="N579" s="2">
        <v>7.1999999999999995E-2</v>
      </c>
      <c r="O579" s="2">
        <v>43</v>
      </c>
    </row>
    <row r="580" spans="1:15" x14ac:dyDescent="0.3">
      <c r="A580" s="2" t="s">
        <v>592</v>
      </c>
      <c r="B580" s="3">
        <v>45092</v>
      </c>
      <c r="C580" s="3">
        <v>45119</v>
      </c>
      <c r="D580" s="2" t="s">
        <v>649</v>
      </c>
      <c r="E580" s="2" t="s">
        <v>658</v>
      </c>
      <c r="F580" s="2" t="s">
        <v>693</v>
      </c>
      <c r="G580" s="2" t="s">
        <v>704</v>
      </c>
      <c r="H580" s="2" t="s">
        <v>711</v>
      </c>
      <c r="I580" s="2" t="s">
        <v>714</v>
      </c>
      <c r="J580" s="2" t="s">
        <v>733</v>
      </c>
      <c r="K580" s="2" t="s">
        <v>1310</v>
      </c>
      <c r="L580" s="2">
        <v>751.28</v>
      </c>
      <c r="M580" s="2">
        <v>1111.8800000000001</v>
      </c>
      <c r="N580" s="2">
        <v>0.13500000000000001</v>
      </c>
      <c r="O580" s="2">
        <v>7</v>
      </c>
    </row>
    <row r="581" spans="1:15" x14ac:dyDescent="0.3">
      <c r="A581" s="2" t="s">
        <v>593</v>
      </c>
      <c r="B581" s="3">
        <v>45607</v>
      </c>
      <c r="C581" s="3">
        <v>45620</v>
      </c>
      <c r="D581" s="2" t="s">
        <v>649</v>
      </c>
      <c r="E581" s="2" t="s">
        <v>658</v>
      </c>
      <c r="F581" s="2" t="s">
        <v>683</v>
      </c>
      <c r="G581" s="2" t="s">
        <v>701</v>
      </c>
      <c r="H581" s="2" t="s">
        <v>707</v>
      </c>
      <c r="I581" s="2" t="s">
        <v>718</v>
      </c>
      <c r="J581" s="2" t="s">
        <v>729</v>
      </c>
      <c r="K581" s="2" t="s">
        <v>1311</v>
      </c>
      <c r="L581" s="2">
        <v>164.53</v>
      </c>
      <c r="M581" s="2">
        <v>327.72</v>
      </c>
      <c r="N581" s="2">
        <v>6.7000000000000004E-2</v>
      </c>
      <c r="O581" s="2">
        <v>14</v>
      </c>
    </row>
    <row r="582" spans="1:15" x14ac:dyDescent="0.3">
      <c r="A582" s="2" t="s">
        <v>594</v>
      </c>
      <c r="B582" s="3">
        <v>45849</v>
      </c>
      <c r="C582" s="3">
        <v>45872</v>
      </c>
      <c r="D582" s="2" t="s">
        <v>646</v>
      </c>
      <c r="E582" s="2" t="s">
        <v>650</v>
      </c>
      <c r="F582" s="2" t="s">
        <v>678</v>
      </c>
      <c r="G582" s="2" t="s">
        <v>705</v>
      </c>
      <c r="H582" s="2" t="s">
        <v>707</v>
      </c>
      <c r="I582" s="2" t="s">
        <v>712</v>
      </c>
      <c r="J582" s="2" t="s">
        <v>730</v>
      </c>
      <c r="K582" s="2" t="s">
        <v>1312</v>
      </c>
      <c r="L582" s="2">
        <v>389.93</v>
      </c>
      <c r="M582" s="2">
        <v>486.13</v>
      </c>
      <c r="N582" s="2">
        <v>0.13200000000000001</v>
      </c>
      <c r="O582" s="2">
        <v>17</v>
      </c>
    </row>
    <row r="583" spans="1:15" x14ac:dyDescent="0.3">
      <c r="A583" s="2" t="s">
        <v>595</v>
      </c>
      <c r="B583" s="3">
        <v>45080</v>
      </c>
      <c r="C583" s="3">
        <v>45108</v>
      </c>
      <c r="D583" s="2" t="s">
        <v>648</v>
      </c>
      <c r="E583" s="2" t="s">
        <v>655</v>
      </c>
      <c r="F583" s="2" t="s">
        <v>672</v>
      </c>
      <c r="G583" s="2" t="s">
        <v>705</v>
      </c>
      <c r="H583" s="2" t="s">
        <v>709</v>
      </c>
      <c r="I583" s="2" t="s">
        <v>720</v>
      </c>
      <c r="J583" s="2" t="s">
        <v>727</v>
      </c>
      <c r="K583" s="2" t="s">
        <v>1313</v>
      </c>
      <c r="L583" s="2">
        <v>860.4</v>
      </c>
      <c r="M583" s="2">
        <v>2066.6</v>
      </c>
      <c r="N583" s="2">
        <v>0.01</v>
      </c>
      <c r="O583" s="2">
        <v>3</v>
      </c>
    </row>
    <row r="584" spans="1:15" x14ac:dyDescent="0.3">
      <c r="A584" s="2" t="s">
        <v>596</v>
      </c>
      <c r="B584" s="3">
        <v>44955</v>
      </c>
      <c r="C584" s="3">
        <v>44963</v>
      </c>
      <c r="D584" s="2" t="s">
        <v>648</v>
      </c>
      <c r="E584" s="2" t="s">
        <v>655</v>
      </c>
      <c r="F584" s="2" t="s">
        <v>672</v>
      </c>
      <c r="G584" s="2" t="s">
        <v>701</v>
      </c>
      <c r="H584" s="2" t="s">
        <v>709</v>
      </c>
      <c r="I584" s="2" t="s">
        <v>726</v>
      </c>
      <c r="J584" s="2" t="s">
        <v>732</v>
      </c>
      <c r="K584" s="2" t="s">
        <v>1314</v>
      </c>
      <c r="L584" s="2">
        <v>41.84</v>
      </c>
      <c r="M584" s="2">
        <v>86.2</v>
      </c>
      <c r="N584" s="2">
        <v>0.22600000000000001</v>
      </c>
      <c r="O584" s="2">
        <v>27</v>
      </c>
    </row>
    <row r="585" spans="1:15" x14ac:dyDescent="0.3">
      <c r="A585" s="2" t="s">
        <v>597</v>
      </c>
      <c r="B585" s="3">
        <v>45541</v>
      </c>
      <c r="C585" s="3">
        <v>45539</v>
      </c>
      <c r="D585" s="2" t="s">
        <v>647</v>
      </c>
      <c r="E585" s="2" t="s">
        <v>652</v>
      </c>
      <c r="F585" s="2" t="s">
        <v>666</v>
      </c>
      <c r="G585" s="2" t="s">
        <v>701</v>
      </c>
      <c r="H585" s="2" t="s">
        <v>711</v>
      </c>
      <c r="I585" s="2" t="s">
        <v>720</v>
      </c>
      <c r="J585" s="2" t="s">
        <v>731</v>
      </c>
      <c r="K585" s="2" t="s">
        <v>1315</v>
      </c>
      <c r="L585" s="2">
        <v>1368.17</v>
      </c>
      <c r="M585" s="2">
        <v>2307.75</v>
      </c>
      <c r="N585" s="2">
        <v>0.16300000000000001</v>
      </c>
      <c r="O585" s="2">
        <v>21</v>
      </c>
    </row>
    <row r="586" spans="1:15" x14ac:dyDescent="0.3">
      <c r="A586" s="2" t="s">
        <v>598</v>
      </c>
      <c r="B586" s="3">
        <v>45507</v>
      </c>
      <c r="C586" s="3">
        <v>45513</v>
      </c>
      <c r="D586" s="2" t="s">
        <v>646</v>
      </c>
      <c r="E586" s="2" t="s">
        <v>650</v>
      </c>
      <c r="F586" s="2" t="s">
        <v>675</v>
      </c>
      <c r="G586" s="2" t="s">
        <v>704</v>
      </c>
      <c r="H586" s="2" t="s">
        <v>709</v>
      </c>
      <c r="I586" s="2" t="s">
        <v>722</v>
      </c>
      <c r="J586" s="2" t="s">
        <v>731</v>
      </c>
      <c r="K586" s="2" t="s">
        <v>1316</v>
      </c>
      <c r="L586" s="2">
        <v>643.21</v>
      </c>
      <c r="M586" s="2">
        <v>1112.81</v>
      </c>
      <c r="N586" s="2">
        <v>0.14099999999999999</v>
      </c>
      <c r="O586" s="2">
        <v>4</v>
      </c>
    </row>
    <row r="587" spans="1:15" x14ac:dyDescent="0.3">
      <c r="A587" s="2" t="s">
        <v>599</v>
      </c>
      <c r="B587" s="3">
        <v>45764</v>
      </c>
      <c r="C587" s="3">
        <v>45764</v>
      </c>
      <c r="D587" s="2" t="s">
        <v>648</v>
      </c>
      <c r="E587" s="2" t="s">
        <v>655</v>
      </c>
      <c r="F587" s="2" t="s">
        <v>670</v>
      </c>
      <c r="G587" s="2" t="s">
        <v>701</v>
      </c>
      <c r="H587" s="2" t="s">
        <v>710</v>
      </c>
      <c r="I587" s="2" t="s">
        <v>716</v>
      </c>
      <c r="J587" s="2" t="s">
        <v>730</v>
      </c>
      <c r="K587" s="2" t="s">
        <v>1317</v>
      </c>
      <c r="L587" s="2">
        <v>719.41</v>
      </c>
      <c r="M587" s="2">
        <v>1125.99</v>
      </c>
      <c r="N587" s="2">
        <v>4.1000000000000002E-2</v>
      </c>
      <c r="O587" s="2">
        <v>21</v>
      </c>
    </row>
    <row r="588" spans="1:15" x14ac:dyDescent="0.3">
      <c r="A588" s="2" t="s">
        <v>600</v>
      </c>
      <c r="B588" s="3">
        <v>45049</v>
      </c>
      <c r="C588" s="3">
        <v>45062</v>
      </c>
      <c r="D588" s="2" t="s">
        <v>648</v>
      </c>
      <c r="E588" s="2" t="s">
        <v>660</v>
      </c>
      <c r="F588" s="2" t="s">
        <v>700</v>
      </c>
      <c r="G588" s="2" t="s">
        <v>701</v>
      </c>
      <c r="H588" s="2" t="s">
        <v>709</v>
      </c>
      <c r="I588" s="2" t="s">
        <v>716</v>
      </c>
      <c r="J588" s="2" t="s">
        <v>730</v>
      </c>
      <c r="K588" s="2" t="s">
        <v>1318</v>
      </c>
      <c r="L588" s="2">
        <v>64.5</v>
      </c>
      <c r="M588" s="2">
        <v>123.62</v>
      </c>
      <c r="N588" s="2">
        <v>0</v>
      </c>
      <c r="O588" s="2">
        <v>3</v>
      </c>
    </row>
    <row r="589" spans="1:15" x14ac:dyDescent="0.3">
      <c r="A589" s="2" t="s">
        <v>601</v>
      </c>
      <c r="B589" s="3">
        <v>45364</v>
      </c>
      <c r="C589" s="3">
        <v>45388</v>
      </c>
      <c r="D589" s="2" t="s">
        <v>646</v>
      </c>
      <c r="E589" s="2" t="s">
        <v>651</v>
      </c>
      <c r="F589" s="2" t="s">
        <v>669</v>
      </c>
      <c r="G589" s="2" t="s">
        <v>704</v>
      </c>
      <c r="H589" s="2" t="s">
        <v>710</v>
      </c>
      <c r="I589" s="2" t="s">
        <v>716</v>
      </c>
      <c r="J589" s="2" t="s">
        <v>727</v>
      </c>
      <c r="K589" s="2" t="s">
        <v>1319</v>
      </c>
      <c r="L589" s="2">
        <v>1232.78</v>
      </c>
      <c r="M589" s="2">
        <v>1731.75</v>
      </c>
      <c r="N589" s="2">
        <v>9.2999999999999999E-2</v>
      </c>
      <c r="O589" s="2">
        <v>16</v>
      </c>
    </row>
    <row r="590" spans="1:15" x14ac:dyDescent="0.3">
      <c r="A590" s="2" t="s">
        <v>602</v>
      </c>
      <c r="B590" s="3">
        <v>45459</v>
      </c>
      <c r="C590" s="3">
        <v>45464</v>
      </c>
      <c r="D590" s="2" t="s">
        <v>647</v>
      </c>
      <c r="E590" s="2" t="s">
        <v>652</v>
      </c>
      <c r="F590" s="2" t="s">
        <v>689</v>
      </c>
      <c r="G590" s="2" t="s">
        <v>705</v>
      </c>
      <c r="H590" s="2" t="s">
        <v>710</v>
      </c>
      <c r="I590" s="2" t="s">
        <v>721</v>
      </c>
      <c r="J590" s="2" t="s">
        <v>730</v>
      </c>
      <c r="K590" s="2" t="s">
        <v>1320</v>
      </c>
      <c r="L590" s="2">
        <v>1367.13</v>
      </c>
      <c r="M590" s="2">
        <v>3062.01</v>
      </c>
      <c r="N590" s="2">
        <v>0.10299999999999999</v>
      </c>
      <c r="O590" s="2">
        <v>25</v>
      </c>
    </row>
    <row r="591" spans="1:15" x14ac:dyDescent="0.3">
      <c r="A591" s="2" t="s">
        <v>603</v>
      </c>
      <c r="B591" s="3">
        <v>45703</v>
      </c>
      <c r="C591" s="3">
        <v>45715</v>
      </c>
      <c r="D591" s="2" t="s">
        <v>649</v>
      </c>
      <c r="E591" s="2" t="s">
        <v>657</v>
      </c>
      <c r="F591" s="2" t="s">
        <v>679</v>
      </c>
      <c r="G591" s="2" t="s">
        <v>703</v>
      </c>
      <c r="H591" s="2" t="s">
        <v>711</v>
      </c>
      <c r="I591" s="2" t="s">
        <v>723</v>
      </c>
      <c r="J591" s="2" t="s">
        <v>733</v>
      </c>
      <c r="K591" s="2" t="s">
        <v>1321</v>
      </c>
      <c r="L591" s="2">
        <v>1027.26</v>
      </c>
      <c r="M591" s="2">
        <v>2200.41</v>
      </c>
      <c r="N591" s="2">
        <v>8.7999999999999995E-2</v>
      </c>
      <c r="O591" s="2">
        <v>6</v>
      </c>
    </row>
    <row r="592" spans="1:15" x14ac:dyDescent="0.3">
      <c r="A592" s="2" t="s">
        <v>604</v>
      </c>
      <c r="B592" s="3">
        <v>45019</v>
      </c>
      <c r="C592" s="3">
        <v>45032</v>
      </c>
      <c r="D592" s="2" t="s">
        <v>649</v>
      </c>
      <c r="E592" s="2" t="s">
        <v>657</v>
      </c>
      <c r="F592" s="2" t="s">
        <v>673</v>
      </c>
      <c r="G592" s="2" t="s">
        <v>703</v>
      </c>
      <c r="H592" s="2" t="s">
        <v>709</v>
      </c>
      <c r="I592" s="2" t="s">
        <v>724</v>
      </c>
      <c r="J592" s="2" t="s">
        <v>733</v>
      </c>
      <c r="K592" s="2" t="s">
        <v>1322</v>
      </c>
      <c r="L592" s="2">
        <v>790.54</v>
      </c>
      <c r="M592" s="2">
        <v>601.49</v>
      </c>
      <c r="N592" s="2">
        <v>0</v>
      </c>
      <c r="O592" s="2">
        <v>15</v>
      </c>
    </row>
    <row r="593" spans="1:15" x14ac:dyDescent="0.3">
      <c r="A593" s="2" t="s">
        <v>605</v>
      </c>
      <c r="B593" s="3">
        <v>45899</v>
      </c>
      <c r="C593" s="3">
        <v>45922</v>
      </c>
      <c r="D593" s="2" t="s">
        <v>649</v>
      </c>
      <c r="E593" s="2" t="s">
        <v>657</v>
      </c>
      <c r="F593" s="2" t="s">
        <v>673</v>
      </c>
      <c r="G593" s="2" t="s">
        <v>701</v>
      </c>
      <c r="H593" s="2" t="s">
        <v>711</v>
      </c>
      <c r="I593" s="2" t="s">
        <v>718</v>
      </c>
      <c r="J593" s="2" t="s">
        <v>727</v>
      </c>
      <c r="K593" s="2" t="s">
        <v>1323</v>
      </c>
      <c r="L593" s="2">
        <v>663.9</v>
      </c>
      <c r="M593" s="2">
        <v>947.77</v>
      </c>
      <c r="N593" s="2">
        <v>0.17399999999999999</v>
      </c>
      <c r="O593" s="2">
        <v>15</v>
      </c>
    </row>
    <row r="594" spans="1:15" x14ac:dyDescent="0.3">
      <c r="A594" s="2" t="s">
        <v>606</v>
      </c>
      <c r="B594" s="3">
        <v>44984</v>
      </c>
      <c r="C594" s="3">
        <v>44983</v>
      </c>
      <c r="D594" s="2" t="s">
        <v>648</v>
      </c>
      <c r="E594" s="2" t="s">
        <v>660</v>
      </c>
      <c r="F594" s="2" t="s">
        <v>686</v>
      </c>
      <c r="G594" s="2" t="s">
        <v>703</v>
      </c>
      <c r="H594" s="2" t="s">
        <v>708</v>
      </c>
      <c r="I594" s="2" t="s">
        <v>716</v>
      </c>
      <c r="J594" s="2" t="s">
        <v>729</v>
      </c>
      <c r="K594" s="2" t="s">
        <v>1324</v>
      </c>
      <c r="L594" s="2">
        <v>1015.91</v>
      </c>
      <c r="M594" s="2">
        <v>2331.48</v>
      </c>
      <c r="N594" s="2">
        <v>0.14599999999999999</v>
      </c>
      <c r="O594" s="2">
        <v>26</v>
      </c>
    </row>
    <row r="595" spans="1:15" x14ac:dyDescent="0.3">
      <c r="A595" s="2" t="s">
        <v>607</v>
      </c>
      <c r="B595" s="3">
        <v>45504</v>
      </c>
      <c r="C595" s="3">
        <v>45519</v>
      </c>
      <c r="D595" s="2" t="s">
        <v>647</v>
      </c>
      <c r="E595" s="2" t="s">
        <v>652</v>
      </c>
      <c r="F595" s="2" t="s">
        <v>689</v>
      </c>
      <c r="G595" s="2" t="s">
        <v>701</v>
      </c>
      <c r="H595" s="2" t="s">
        <v>709</v>
      </c>
      <c r="I595" s="2" t="s">
        <v>721</v>
      </c>
      <c r="J595" s="2" t="s">
        <v>732</v>
      </c>
      <c r="K595" s="2" t="s">
        <v>1325</v>
      </c>
      <c r="L595" s="2">
        <v>1252.52</v>
      </c>
      <c r="M595" s="2">
        <v>1417.24</v>
      </c>
      <c r="N595" s="2">
        <v>0.192</v>
      </c>
      <c r="O595" s="2">
        <v>5</v>
      </c>
    </row>
    <row r="596" spans="1:15" x14ac:dyDescent="0.3">
      <c r="A596" s="2" t="s">
        <v>608</v>
      </c>
      <c r="B596" s="3">
        <v>45823</v>
      </c>
      <c r="C596" s="3">
        <v>45850</v>
      </c>
      <c r="D596" s="2" t="s">
        <v>649</v>
      </c>
      <c r="E596" s="2" t="s">
        <v>657</v>
      </c>
      <c r="F596" s="2" t="s">
        <v>673</v>
      </c>
      <c r="G596" s="2" t="s">
        <v>704</v>
      </c>
      <c r="H596" s="2" t="s">
        <v>711</v>
      </c>
      <c r="I596" s="2" t="s">
        <v>712</v>
      </c>
      <c r="J596" s="2" t="s">
        <v>733</v>
      </c>
      <c r="K596" s="2" t="s">
        <v>1326</v>
      </c>
      <c r="L596" s="2">
        <v>318.83</v>
      </c>
      <c r="M596" s="2">
        <v>699.5</v>
      </c>
      <c r="N596" s="2">
        <v>0.08</v>
      </c>
      <c r="O596" s="2">
        <v>13</v>
      </c>
    </row>
    <row r="597" spans="1:15" x14ac:dyDescent="0.3">
      <c r="A597" s="2" t="s">
        <v>609</v>
      </c>
      <c r="B597" s="3">
        <v>45473</v>
      </c>
      <c r="C597" s="3">
        <v>45494</v>
      </c>
      <c r="D597" s="2" t="s">
        <v>646</v>
      </c>
      <c r="E597" s="2" t="s">
        <v>650</v>
      </c>
      <c r="F597" s="2" t="s">
        <v>662</v>
      </c>
      <c r="G597" s="2" t="s">
        <v>705</v>
      </c>
      <c r="H597" s="2" t="s">
        <v>707</v>
      </c>
      <c r="I597" s="2" t="s">
        <v>723</v>
      </c>
      <c r="J597" s="2" t="s">
        <v>731</v>
      </c>
      <c r="K597" s="2" t="s">
        <v>1327</v>
      </c>
      <c r="L597" s="2">
        <v>753.43</v>
      </c>
      <c r="M597" s="2">
        <v>1787.2</v>
      </c>
      <c r="N597" s="2">
        <v>7.2999999999999995E-2</v>
      </c>
      <c r="O597" s="2">
        <v>9</v>
      </c>
    </row>
    <row r="598" spans="1:15" x14ac:dyDescent="0.3">
      <c r="A598" s="2" t="s">
        <v>610</v>
      </c>
      <c r="B598" s="3">
        <v>45705</v>
      </c>
      <c r="C598" s="3">
        <v>45703</v>
      </c>
      <c r="D598" s="2" t="s">
        <v>648</v>
      </c>
      <c r="E598" s="2" t="s">
        <v>653</v>
      </c>
      <c r="F598" s="2" t="s">
        <v>667</v>
      </c>
      <c r="G598" s="2" t="s">
        <v>705</v>
      </c>
      <c r="H598" s="2" t="s">
        <v>707</v>
      </c>
      <c r="I598" s="2" t="s">
        <v>726</v>
      </c>
      <c r="J598" s="2" t="s">
        <v>727</v>
      </c>
      <c r="K598" s="2" t="s">
        <v>1328</v>
      </c>
      <c r="L598" s="2">
        <v>1133.47</v>
      </c>
      <c r="M598" s="2">
        <v>1698.75</v>
      </c>
      <c r="N598" s="2">
        <v>4.2999999999999997E-2</v>
      </c>
      <c r="O598" s="2">
        <v>5</v>
      </c>
    </row>
    <row r="599" spans="1:15" x14ac:dyDescent="0.3">
      <c r="A599" s="2" t="s">
        <v>611</v>
      </c>
      <c r="B599" s="3">
        <v>44933</v>
      </c>
      <c r="C599" s="3">
        <v>44956</v>
      </c>
      <c r="D599" s="2" t="s">
        <v>646</v>
      </c>
      <c r="E599" s="2" t="s">
        <v>661</v>
      </c>
      <c r="F599" s="2" t="s">
        <v>695</v>
      </c>
      <c r="G599" s="2" t="s">
        <v>704</v>
      </c>
      <c r="H599" s="2" t="s">
        <v>708</v>
      </c>
      <c r="I599" s="2" t="s">
        <v>720</v>
      </c>
      <c r="J599" s="2" t="s">
        <v>728</v>
      </c>
      <c r="K599" s="2" t="s">
        <v>1329</v>
      </c>
      <c r="L599" s="2">
        <v>299.02</v>
      </c>
      <c r="M599" s="2">
        <v>724.7</v>
      </c>
      <c r="N599" s="2">
        <v>0.14000000000000001</v>
      </c>
      <c r="O599" s="2">
        <v>5</v>
      </c>
    </row>
    <row r="600" spans="1:15" x14ac:dyDescent="0.3">
      <c r="A600" s="2" t="s">
        <v>612</v>
      </c>
      <c r="B600" s="3">
        <v>45726</v>
      </c>
      <c r="C600" s="3">
        <v>45751</v>
      </c>
      <c r="D600" s="2" t="s">
        <v>647</v>
      </c>
      <c r="E600" s="2" t="s">
        <v>652</v>
      </c>
      <c r="F600" s="2" t="s">
        <v>666</v>
      </c>
      <c r="G600" s="2" t="s">
        <v>701</v>
      </c>
      <c r="H600" s="2" t="s">
        <v>711</v>
      </c>
      <c r="I600" s="2" t="s">
        <v>722</v>
      </c>
      <c r="J600" s="2" t="s">
        <v>728</v>
      </c>
      <c r="K600" s="2" t="s">
        <v>1330</v>
      </c>
      <c r="L600" s="2">
        <v>783.72</v>
      </c>
      <c r="M600" s="2">
        <v>1355.94</v>
      </c>
      <c r="N600" s="2">
        <v>0.187</v>
      </c>
      <c r="O600" s="2">
        <v>4</v>
      </c>
    </row>
    <row r="601" spans="1:15" x14ac:dyDescent="0.3">
      <c r="A601" s="2" t="s">
        <v>613</v>
      </c>
      <c r="B601" s="3">
        <v>45521</v>
      </c>
      <c r="C601" s="3">
        <v>45519</v>
      </c>
      <c r="D601" s="2" t="s">
        <v>648</v>
      </c>
      <c r="E601" s="2" t="s">
        <v>655</v>
      </c>
      <c r="F601" s="2" t="s">
        <v>692</v>
      </c>
      <c r="G601" s="2" t="s">
        <v>704</v>
      </c>
      <c r="H601" s="2" t="s">
        <v>711</v>
      </c>
      <c r="I601" s="2" t="s">
        <v>724</v>
      </c>
      <c r="J601" s="2" t="s">
        <v>732</v>
      </c>
      <c r="K601" s="2" t="s">
        <v>1331</v>
      </c>
      <c r="L601" s="2">
        <v>165.3</v>
      </c>
      <c r="M601" s="2">
        <v>275.07</v>
      </c>
      <c r="N601" s="2">
        <v>0.13300000000000001</v>
      </c>
      <c r="O601" s="2">
        <v>25</v>
      </c>
    </row>
    <row r="602" spans="1:15" x14ac:dyDescent="0.3">
      <c r="A602" s="2" t="s">
        <v>614</v>
      </c>
      <c r="B602" s="3">
        <v>45360</v>
      </c>
      <c r="C602" s="3">
        <v>45373</v>
      </c>
      <c r="D602" s="2" t="s">
        <v>649</v>
      </c>
      <c r="E602" s="2" t="s">
        <v>658</v>
      </c>
      <c r="F602" s="2" t="s">
        <v>693</v>
      </c>
      <c r="G602" s="2" t="s">
        <v>704</v>
      </c>
      <c r="H602" s="2" t="s">
        <v>708</v>
      </c>
      <c r="I602" s="2" t="s">
        <v>718</v>
      </c>
      <c r="J602" s="2" t="s">
        <v>731</v>
      </c>
      <c r="K602" s="2" t="s">
        <v>1332</v>
      </c>
      <c r="L602" s="2">
        <v>985.45</v>
      </c>
      <c r="M602" s="2">
        <v>1802.44</v>
      </c>
      <c r="N602" s="2">
        <v>8.9999999999999993E-3</v>
      </c>
      <c r="O602" s="2">
        <v>19</v>
      </c>
    </row>
    <row r="603" spans="1:15" x14ac:dyDescent="0.3">
      <c r="A603" s="2" t="s">
        <v>615</v>
      </c>
      <c r="B603" s="3">
        <v>45523</v>
      </c>
      <c r="C603" s="3">
        <v>45537</v>
      </c>
      <c r="D603" s="2" t="s">
        <v>648</v>
      </c>
      <c r="E603" s="2" t="s">
        <v>653</v>
      </c>
      <c r="F603" s="2" t="s">
        <v>667</v>
      </c>
      <c r="G603" s="2" t="s">
        <v>704</v>
      </c>
      <c r="H603" s="2" t="s">
        <v>710</v>
      </c>
      <c r="I603" s="2" t="s">
        <v>712</v>
      </c>
      <c r="J603" s="2" t="s">
        <v>728</v>
      </c>
      <c r="K603" s="2" t="s">
        <v>1333</v>
      </c>
      <c r="L603" s="2">
        <v>1337.01</v>
      </c>
      <c r="M603" s="2">
        <v>1269.78</v>
      </c>
      <c r="N603" s="2">
        <v>0.16</v>
      </c>
      <c r="O603" s="2">
        <v>7</v>
      </c>
    </row>
    <row r="604" spans="1:15" x14ac:dyDescent="0.3">
      <c r="A604" s="2" t="s">
        <v>616</v>
      </c>
      <c r="B604" s="3">
        <v>45880</v>
      </c>
      <c r="C604" s="3">
        <v>45897</v>
      </c>
      <c r="D604" s="2" t="s">
        <v>649</v>
      </c>
      <c r="E604" s="2" t="s">
        <v>657</v>
      </c>
      <c r="F604" s="2" t="s">
        <v>690</v>
      </c>
      <c r="G604" s="2" t="s">
        <v>702</v>
      </c>
      <c r="H604" s="2" t="s">
        <v>708</v>
      </c>
      <c r="I604" s="2" t="s">
        <v>721</v>
      </c>
      <c r="J604" s="2" t="s">
        <v>729</v>
      </c>
      <c r="K604" s="2" t="s">
        <v>1334</v>
      </c>
      <c r="L604" s="2">
        <v>416.16</v>
      </c>
      <c r="M604" s="2">
        <v>571.9</v>
      </c>
      <c r="N604" s="2">
        <v>7.0999999999999994E-2</v>
      </c>
      <c r="O604" s="2">
        <v>2</v>
      </c>
    </row>
    <row r="605" spans="1:15" x14ac:dyDescent="0.3">
      <c r="A605" s="2" t="s">
        <v>617</v>
      </c>
      <c r="B605" s="3">
        <v>45793</v>
      </c>
      <c r="C605" s="3">
        <v>45795</v>
      </c>
      <c r="D605" s="2" t="s">
        <v>647</v>
      </c>
      <c r="E605" s="2" t="s">
        <v>652</v>
      </c>
      <c r="F605" s="2" t="s">
        <v>689</v>
      </c>
      <c r="G605" s="2" t="s">
        <v>706</v>
      </c>
      <c r="H605" s="2" t="s">
        <v>707</v>
      </c>
      <c r="I605" s="2" t="s">
        <v>713</v>
      </c>
      <c r="J605" s="2" t="s">
        <v>728</v>
      </c>
      <c r="K605" s="2" t="s">
        <v>1335</v>
      </c>
      <c r="L605" s="2">
        <v>1144.3800000000001</v>
      </c>
      <c r="M605" s="2">
        <v>2755.04</v>
      </c>
      <c r="N605" s="2">
        <v>0.15</v>
      </c>
      <c r="O605" s="2">
        <v>17</v>
      </c>
    </row>
    <row r="606" spans="1:15" x14ac:dyDescent="0.3">
      <c r="A606" s="2" t="s">
        <v>618</v>
      </c>
      <c r="B606" s="3">
        <v>45026</v>
      </c>
      <c r="C606" s="3">
        <v>45041</v>
      </c>
      <c r="D606" s="2" t="s">
        <v>649</v>
      </c>
      <c r="E606" s="2" t="s">
        <v>658</v>
      </c>
      <c r="F606" s="2" t="s">
        <v>683</v>
      </c>
      <c r="G606" s="2" t="s">
        <v>705</v>
      </c>
      <c r="H606" s="2" t="s">
        <v>707</v>
      </c>
      <c r="I606" s="2" t="s">
        <v>726</v>
      </c>
      <c r="J606" s="2" t="s">
        <v>728</v>
      </c>
      <c r="K606" s="2" t="s">
        <v>1336</v>
      </c>
      <c r="L606" s="2">
        <v>405.66</v>
      </c>
      <c r="M606" s="2">
        <v>962.51</v>
      </c>
      <c r="N606" s="2">
        <v>0.19</v>
      </c>
      <c r="O606" s="2">
        <v>7</v>
      </c>
    </row>
    <row r="607" spans="1:15" x14ac:dyDescent="0.3">
      <c r="A607" s="2" t="s">
        <v>619</v>
      </c>
      <c r="B607" s="3">
        <v>45186</v>
      </c>
      <c r="C607" s="3">
        <v>45201</v>
      </c>
      <c r="D607" s="2" t="s">
        <v>648</v>
      </c>
      <c r="E607" s="2" t="s">
        <v>655</v>
      </c>
      <c r="F607" s="2" t="s">
        <v>692</v>
      </c>
      <c r="G607" s="2" t="s">
        <v>705</v>
      </c>
      <c r="H607" s="2" t="s">
        <v>707</v>
      </c>
      <c r="I607" s="2" t="s">
        <v>717</v>
      </c>
      <c r="J607" s="2" t="s">
        <v>731</v>
      </c>
      <c r="K607" s="2" t="s">
        <v>1337</v>
      </c>
      <c r="L607" s="2">
        <v>689.33</v>
      </c>
      <c r="M607" s="2">
        <v>668.27</v>
      </c>
      <c r="N607" s="2">
        <v>0.186</v>
      </c>
      <c r="O607" s="2">
        <v>13</v>
      </c>
    </row>
    <row r="608" spans="1:15" x14ac:dyDescent="0.3">
      <c r="A608" s="2" t="s">
        <v>620</v>
      </c>
      <c r="B608" s="3">
        <v>45038</v>
      </c>
      <c r="C608" s="3">
        <v>45060</v>
      </c>
      <c r="D608" s="2" t="s">
        <v>647</v>
      </c>
      <c r="E608" s="2" t="s">
        <v>652</v>
      </c>
      <c r="F608" s="2" t="s">
        <v>694</v>
      </c>
      <c r="G608" s="2" t="s">
        <v>706</v>
      </c>
      <c r="H608" s="2" t="s">
        <v>707</v>
      </c>
      <c r="I608" s="2" t="s">
        <v>720</v>
      </c>
      <c r="J608" s="2" t="s">
        <v>733</v>
      </c>
      <c r="K608" s="2" t="s">
        <v>1338</v>
      </c>
      <c r="L608" s="2">
        <v>1209.22</v>
      </c>
      <c r="M608" s="2">
        <v>1404.33</v>
      </c>
      <c r="N608" s="2">
        <v>0.10299999999999999</v>
      </c>
      <c r="O608" s="2">
        <v>11</v>
      </c>
    </row>
    <row r="609" spans="1:15" x14ac:dyDescent="0.3">
      <c r="A609" s="2" t="s">
        <v>621</v>
      </c>
      <c r="B609" s="3">
        <v>45827</v>
      </c>
      <c r="C609" s="3">
        <v>45829</v>
      </c>
      <c r="D609" s="2" t="s">
        <v>646</v>
      </c>
      <c r="E609" s="2" t="s">
        <v>661</v>
      </c>
      <c r="F609" s="2" t="s">
        <v>682</v>
      </c>
      <c r="G609" s="2" t="s">
        <v>705</v>
      </c>
      <c r="H609" s="2"/>
      <c r="I609" s="2" t="s">
        <v>722</v>
      </c>
      <c r="J609" s="2" t="s">
        <v>730</v>
      </c>
      <c r="K609" s="2" t="s">
        <v>1339</v>
      </c>
      <c r="L609" s="2">
        <v>1466.27</v>
      </c>
      <c r="M609" s="2">
        <v>3589.89</v>
      </c>
      <c r="N609" s="2">
        <v>9.7000000000000003E-2</v>
      </c>
      <c r="O609" s="2">
        <v>9</v>
      </c>
    </row>
    <row r="610" spans="1:15" x14ac:dyDescent="0.3">
      <c r="A610" s="2" t="s">
        <v>622</v>
      </c>
      <c r="B610" s="3">
        <v>45623</v>
      </c>
      <c r="C610" s="3">
        <v>45650</v>
      </c>
      <c r="D610" s="2" t="s">
        <v>646</v>
      </c>
      <c r="E610" s="2" t="s">
        <v>650</v>
      </c>
      <c r="F610" s="2" t="s">
        <v>675</v>
      </c>
      <c r="G610" s="2" t="s">
        <v>701</v>
      </c>
      <c r="H610" s="2" t="s">
        <v>710</v>
      </c>
      <c r="I610" s="2" t="s">
        <v>717</v>
      </c>
      <c r="J610" s="2" t="s">
        <v>728</v>
      </c>
      <c r="K610" s="2" t="s">
        <v>1340</v>
      </c>
      <c r="L610" s="2">
        <v>143.33000000000001</v>
      </c>
      <c r="M610" s="2">
        <v>233.51</v>
      </c>
      <c r="N610" s="2">
        <v>0.16300000000000001</v>
      </c>
      <c r="O610" s="2">
        <v>14</v>
      </c>
    </row>
    <row r="611" spans="1:15" x14ac:dyDescent="0.3">
      <c r="A611" s="2" t="s">
        <v>623</v>
      </c>
      <c r="B611" s="3">
        <v>45319</v>
      </c>
      <c r="C611" s="3">
        <v>45318</v>
      </c>
      <c r="D611" s="2" t="s">
        <v>646</v>
      </c>
      <c r="E611" s="2" t="s">
        <v>661</v>
      </c>
      <c r="F611" s="2" t="s">
        <v>695</v>
      </c>
      <c r="G611" s="2" t="s">
        <v>706</v>
      </c>
      <c r="H611" s="2" t="s">
        <v>711</v>
      </c>
      <c r="I611" s="2" t="s">
        <v>719</v>
      </c>
      <c r="J611" s="2" t="s">
        <v>727</v>
      </c>
      <c r="K611" s="2" t="s">
        <v>1341</v>
      </c>
      <c r="L611" s="2">
        <v>109.75</v>
      </c>
      <c r="M611" s="2">
        <v>124.25</v>
      </c>
      <c r="N611" s="2">
        <v>0.12</v>
      </c>
      <c r="O611" s="2">
        <v>19</v>
      </c>
    </row>
    <row r="612" spans="1:15" x14ac:dyDescent="0.3">
      <c r="A612" s="2" t="s">
        <v>624</v>
      </c>
      <c r="B612" s="3">
        <v>45032</v>
      </c>
      <c r="C612" s="3">
        <v>45039</v>
      </c>
      <c r="D612" s="2" t="s">
        <v>648</v>
      </c>
      <c r="E612" s="2" t="s">
        <v>660</v>
      </c>
      <c r="F612" s="2" t="s">
        <v>697</v>
      </c>
      <c r="G612" s="2" t="s">
        <v>701</v>
      </c>
      <c r="H612" s="2" t="s">
        <v>710</v>
      </c>
      <c r="I612" s="2" t="s">
        <v>719</v>
      </c>
      <c r="J612" s="2" t="s">
        <v>728</v>
      </c>
      <c r="K612" s="2" t="s">
        <v>1342</v>
      </c>
      <c r="L612" s="2">
        <v>1099.1500000000001</v>
      </c>
      <c r="M612" s="2">
        <v>1431.37</v>
      </c>
      <c r="N612" s="2">
        <v>0.104</v>
      </c>
      <c r="O612" s="2">
        <v>8</v>
      </c>
    </row>
    <row r="613" spans="1:15" x14ac:dyDescent="0.3">
      <c r="A613" s="2" t="s">
        <v>625</v>
      </c>
      <c r="B613" s="3">
        <v>45323</v>
      </c>
      <c r="C613" s="3">
        <v>45323</v>
      </c>
      <c r="D613" s="2" t="s">
        <v>648</v>
      </c>
      <c r="E613" s="2" t="s">
        <v>660</v>
      </c>
      <c r="F613" s="2" t="s">
        <v>697</v>
      </c>
      <c r="G613" s="2" t="s">
        <v>704</v>
      </c>
      <c r="H613" s="2" t="s">
        <v>710</v>
      </c>
      <c r="I613" s="2" t="s">
        <v>722</v>
      </c>
      <c r="J613" s="2" t="s">
        <v>728</v>
      </c>
      <c r="K613" s="2" t="s">
        <v>1343</v>
      </c>
      <c r="L613" s="2">
        <v>714.43</v>
      </c>
      <c r="M613" s="2">
        <v>1595.52</v>
      </c>
      <c r="N613" s="2">
        <v>0.19400000000000001</v>
      </c>
      <c r="O613" s="2">
        <v>14</v>
      </c>
    </row>
    <row r="614" spans="1:15" x14ac:dyDescent="0.3">
      <c r="A614" s="2" t="s">
        <v>626</v>
      </c>
      <c r="B614" s="3">
        <v>45584</v>
      </c>
      <c r="C614" s="3">
        <v>45602</v>
      </c>
      <c r="D614" s="2" t="s">
        <v>648</v>
      </c>
      <c r="E614" s="2" t="s">
        <v>660</v>
      </c>
      <c r="F614" s="2" t="s">
        <v>677</v>
      </c>
      <c r="G614" s="2" t="s">
        <v>702</v>
      </c>
      <c r="H614" s="2"/>
      <c r="I614" s="2" t="s">
        <v>712</v>
      </c>
      <c r="J614" s="2" t="s">
        <v>732</v>
      </c>
      <c r="K614" s="2" t="s">
        <v>1344</v>
      </c>
      <c r="L614" s="2">
        <v>942.02</v>
      </c>
      <c r="M614" s="2">
        <v>1028.46</v>
      </c>
      <c r="N614" s="2">
        <v>0</v>
      </c>
      <c r="O614" s="2">
        <v>9</v>
      </c>
    </row>
    <row r="615" spans="1:15" x14ac:dyDescent="0.3">
      <c r="A615" s="2" t="s">
        <v>627</v>
      </c>
      <c r="B615" s="3">
        <v>45468</v>
      </c>
      <c r="C615" s="3">
        <v>45473</v>
      </c>
      <c r="D615" s="2" t="s">
        <v>646</v>
      </c>
      <c r="E615" s="2" t="s">
        <v>650</v>
      </c>
      <c r="F615" s="2" t="s">
        <v>662</v>
      </c>
      <c r="G615" s="2" t="s">
        <v>702</v>
      </c>
      <c r="H615" s="2" t="s">
        <v>711</v>
      </c>
      <c r="I615" s="2" t="s">
        <v>724</v>
      </c>
      <c r="J615" s="2" t="s">
        <v>729</v>
      </c>
      <c r="K615" s="2" t="s">
        <v>1345</v>
      </c>
      <c r="L615" s="2">
        <v>1323.55</v>
      </c>
      <c r="M615" s="2">
        <v>3230.35</v>
      </c>
      <c r="N615" s="2">
        <v>2.1999999999999999E-2</v>
      </c>
      <c r="O615" s="2">
        <v>26</v>
      </c>
    </row>
    <row r="616" spans="1:15" x14ac:dyDescent="0.3">
      <c r="A616" s="2" t="s">
        <v>628</v>
      </c>
      <c r="B616" s="3">
        <v>45137</v>
      </c>
      <c r="C616" s="3">
        <v>45157</v>
      </c>
      <c r="D616" s="2" t="s">
        <v>649</v>
      </c>
      <c r="E616" s="2" t="s">
        <v>657</v>
      </c>
      <c r="F616" s="2" t="s">
        <v>690</v>
      </c>
      <c r="G616" s="2" t="s">
        <v>706</v>
      </c>
      <c r="H616" s="2" t="s">
        <v>709</v>
      </c>
      <c r="I616" s="2" t="s">
        <v>715</v>
      </c>
      <c r="J616" s="2" t="s">
        <v>729</v>
      </c>
      <c r="K616" s="2" t="s">
        <v>1346</v>
      </c>
      <c r="L616" s="2">
        <v>1418.51</v>
      </c>
      <c r="M616" s="2">
        <v>2789.61</v>
      </c>
      <c r="N616" s="2">
        <v>0.17100000000000001</v>
      </c>
      <c r="O616" s="2">
        <v>8</v>
      </c>
    </row>
    <row r="617" spans="1:15" x14ac:dyDescent="0.3">
      <c r="A617" s="2" t="s">
        <v>629</v>
      </c>
      <c r="B617" s="3">
        <v>45727</v>
      </c>
      <c r="C617" s="3">
        <v>45743</v>
      </c>
      <c r="D617" s="2" t="s">
        <v>647</v>
      </c>
      <c r="E617" s="2" t="s">
        <v>652</v>
      </c>
      <c r="F617" s="2" t="s">
        <v>689</v>
      </c>
      <c r="G617" s="2" t="s">
        <v>706</v>
      </c>
      <c r="H617" s="2" t="s">
        <v>710</v>
      </c>
      <c r="I617" s="2" t="s">
        <v>717</v>
      </c>
      <c r="J617" s="2" t="s">
        <v>728</v>
      </c>
      <c r="K617" s="2" t="s">
        <v>1347</v>
      </c>
      <c r="L617" s="2">
        <v>1317.58</v>
      </c>
      <c r="M617" s="2">
        <v>1897.74</v>
      </c>
      <c r="N617" s="2">
        <v>8.1000000000000003E-2</v>
      </c>
      <c r="O617" s="2">
        <v>6</v>
      </c>
    </row>
    <row r="618" spans="1:15" x14ac:dyDescent="0.3">
      <c r="A618" s="2" t="s">
        <v>630</v>
      </c>
      <c r="B618" s="3">
        <v>45208</v>
      </c>
      <c r="C618" s="3">
        <v>45210</v>
      </c>
      <c r="D618" s="2" t="s">
        <v>646</v>
      </c>
      <c r="E618" s="2" t="s">
        <v>651</v>
      </c>
      <c r="F618" s="2" t="s">
        <v>663</v>
      </c>
      <c r="G618" s="2" t="s">
        <v>702</v>
      </c>
      <c r="H618" s="2" t="s">
        <v>709</v>
      </c>
      <c r="I618" s="2" t="s">
        <v>723</v>
      </c>
      <c r="J618" s="2" t="s">
        <v>729</v>
      </c>
      <c r="K618" s="2" t="s">
        <v>1348</v>
      </c>
      <c r="L618" s="2">
        <v>391.16</v>
      </c>
      <c r="M618" s="2">
        <v>902.47</v>
      </c>
      <c r="N618" s="2">
        <v>4.0000000000000001E-3</v>
      </c>
      <c r="O618" s="2">
        <v>12</v>
      </c>
    </row>
    <row r="619" spans="1:15" x14ac:dyDescent="0.3">
      <c r="A619" s="2" t="s">
        <v>631</v>
      </c>
      <c r="B619" s="3">
        <v>45643</v>
      </c>
      <c r="C619" s="3">
        <v>45673</v>
      </c>
      <c r="D619" s="2" t="s">
        <v>649</v>
      </c>
      <c r="E619" s="2" t="s">
        <v>658</v>
      </c>
      <c r="F619" s="2" t="s">
        <v>693</v>
      </c>
      <c r="G619" s="2" t="s">
        <v>701</v>
      </c>
      <c r="H619" s="2" t="s">
        <v>707</v>
      </c>
      <c r="I619" s="2" t="s">
        <v>726</v>
      </c>
      <c r="J619" s="2" t="s">
        <v>732</v>
      </c>
      <c r="K619" s="2" t="s">
        <v>1349</v>
      </c>
      <c r="L619" s="2">
        <v>722.87</v>
      </c>
      <c r="M619" s="2">
        <v>-33.659999999999997</v>
      </c>
      <c r="N619" s="2">
        <v>0.10199999999999999</v>
      </c>
      <c r="O619" s="2">
        <v>28</v>
      </c>
    </row>
    <row r="620" spans="1:15" x14ac:dyDescent="0.3">
      <c r="A620" s="2" t="s">
        <v>632</v>
      </c>
      <c r="B620" s="3">
        <v>45849</v>
      </c>
      <c r="C620" s="3">
        <v>45854</v>
      </c>
      <c r="D620" s="2" t="s">
        <v>649</v>
      </c>
      <c r="E620" s="2" t="s">
        <v>658</v>
      </c>
      <c r="F620" s="2" t="s">
        <v>683</v>
      </c>
      <c r="G620" s="2" t="s">
        <v>706</v>
      </c>
      <c r="H620" s="2" t="s">
        <v>708</v>
      </c>
      <c r="I620" s="2" t="s">
        <v>723</v>
      </c>
      <c r="J620" s="2" t="s">
        <v>728</v>
      </c>
      <c r="K620" s="2" t="s">
        <v>1350</v>
      </c>
      <c r="L620" s="2">
        <v>930.03</v>
      </c>
      <c r="M620" s="2">
        <v>1086.68</v>
      </c>
      <c r="N620" s="2">
        <v>0.109</v>
      </c>
      <c r="O620" s="2">
        <v>26</v>
      </c>
    </row>
    <row r="621" spans="1:15" x14ac:dyDescent="0.3">
      <c r="A621" s="2" t="s">
        <v>633</v>
      </c>
      <c r="B621" s="3">
        <v>45578</v>
      </c>
      <c r="C621" s="3">
        <v>45589</v>
      </c>
      <c r="D621" s="2" t="s">
        <v>649</v>
      </c>
      <c r="E621" s="2" t="s">
        <v>657</v>
      </c>
      <c r="F621" s="2" t="s">
        <v>690</v>
      </c>
      <c r="G621" s="2" t="s">
        <v>702</v>
      </c>
      <c r="H621" s="2" t="s">
        <v>710</v>
      </c>
      <c r="I621" s="2" t="s">
        <v>721</v>
      </c>
      <c r="J621" s="2" t="s">
        <v>727</v>
      </c>
      <c r="K621" s="2" t="s">
        <v>1351</v>
      </c>
      <c r="L621" s="2">
        <v>816.7</v>
      </c>
      <c r="M621" s="2">
        <v>1010.75</v>
      </c>
      <c r="N621" s="2">
        <v>4.7E-2</v>
      </c>
      <c r="O621" s="2">
        <v>43</v>
      </c>
    </row>
    <row r="622" spans="1:15" x14ac:dyDescent="0.3">
      <c r="A622" s="2" t="s">
        <v>634</v>
      </c>
      <c r="B622" s="3">
        <v>45177</v>
      </c>
      <c r="C622" s="3">
        <v>45183</v>
      </c>
      <c r="D622" s="2" t="s">
        <v>646</v>
      </c>
      <c r="E622" s="2" t="s">
        <v>650</v>
      </c>
      <c r="F622" s="2" t="s">
        <v>678</v>
      </c>
      <c r="G622" s="2" t="s">
        <v>702</v>
      </c>
      <c r="H622" s="2" t="s">
        <v>711</v>
      </c>
      <c r="I622" s="2" t="s">
        <v>714</v>
      </c>
      <c r="J622" s="2" t="s">
        <v>733</v>
      </c>
      <c r="K622" s="2" t="s">
        <v>1352</v>
      </c>
      <c r="L622" s="2">
        <v>251.03</v>
      </c>
      <c r="M622" s="2">
        <v>411.48</v>
      </c>
      <c r="N622" s="2">
        <v>0.16500000000000001</v>
      </c>
      <c r="O622" s="2">
        <v>3</v>
      </c>
    </row>
    <row r="623" spans="1:15" x14ac:dyDescent="0.3">
      <c r="A623" s="2" t="s">
        <v>635</v>
      </c>
      <c r="B623" s="3">
        <v>45764</v>
      </c>
      <c r="C623" s="3">
        <v>45780</v>
      </c>
      <c r="D623" s="2" t="s">
        <v>648</v>
      </c>
      <c r="E623" s="2" t="s">
        <v>655</v>
      </c>
      <c r="F623" s="2" t="s">
        <v>692</v>
      </c>
      <c r="G623" s="2" t="s">
        <v>704</v>
      </c>
      <c r="H623" s="2" t="s">
        <v>709</v>
      </c>
      <c r="I623" s="2" t="s">
        <v>713</v>
      </c>
      <c r="J623" s="2" t="s">
        <v>729</v>
      </c>
      <c r="K623" s="2" t="s">
        <v>1353</v>
      </c>
      <c r="L623" s="2">
        <v>168.68</v>
      </c>
      <c r="M623" s="2">
        <v>413.34</v>
      </c>
      <c r="N623" s="2">
        <v>0.186</v>
      </c>
      <c r="O623" s="2">
        <v>7</v>
      </c>
    </row>
    <row r="624" spans="1:15" x14ac:dyDescent="0.3">
      <c r="A624" s="2" t="s">
        <v>636</v>
      </c>
      <c r="B624" s="3">
        <v>45501</v>
      </c>
      <c r="C624" s="3">
        <v>45527</v>
      </c>
      <c r="D624" s="2" t="s">
        <v>647</v>
      </c>
      <c r="E624" s="2" t="s">
        <v>654</v>
      </c>
      <c r="F624" s="2" t="s">
        <v>696</v>
      </c>
      <c r="G624" s="2" t="s">
        <v>701</v>
      </c>
      <c r="H624" s="2" t="s">
        <v>707</v>
      </c>
      <c r="I624" s="2" t="s">
        <v>713</v>
      </c>
      <c r="J624" s="2" t="s">
        <v>729</v>
      </c>
      <c r="K624" s="2" t="s">
        <v>1354</v>
      </c>
      <c r="L624" s="2">
        <v>1339.24</v>
      </c>
      <c r="M624" s="2">
        <v>1558.89</v>
      </c>
      <c r="N624" s="2">
        <v>0.192</v>
      </c>
      <c r="O624" s="2">
        <v>24</v>
      </c>
    </row>
    <row r="625" spans="1:15" x14ac:dyDescent="0.3">
      <c r="A625" s="2" t="s">
        <v>637</v>
      </c>
      <c r="B625" s="3">
        <v>45857</v>
      </c>
      <c r="C625" s="3">
        <v>45869</v>
      </c>
      <c r="D625" s="2" t="s">
        <v>646</v>
      </c>
      <c r="E625" s="2" t="s">
        <v>650</v>
      </c>
      <c r="F625" s="2" t="s">
        <v>664</v>
      </c>
      <c r="G625" s="2" t="s">
        <v>705</v>
      </c>
      <c r="H625" s="2" t="s">
        <v>709</v>
      </c>
      <c r="I625" s="2" t="s">
        <v>719</v>
      </c>
      <c r="J625" s="2" t="s">
        <v>733</v>
      </c>
      <c r="K625" s="2" t="s">
        <v>1355</v>
      </c>
      <c r="L625" s="2">
        <v>619.64</v>
      </c>
      <c r="M625" s="2">
        <v>861.16</v>
      </c>
      <c r="N625" s="2">
        <v>0.113</v>
      </c>
      <c r="O625" s="2">
        <v>14</v>
      </c>
    </row>
    <row r="626" spans="1:15" x14ac:dyDescent="0.3">
      <c r="A626" s="2" t="s">
        <v>638</v>
      </c>
      <c r="B626" s="3">
        <v>45141</v>
      </c>
      <c r="C626" s="3">
        <v>45140</v>
      </c>
      <c r="D626" s="2" t="s">
        <v>647</v>
      </c>
      <c r="E626" s="2" t="s">
        <v>659</v>
      </c>
      <c r="F626" s="2" t="s">
        <v>685</v>
      </c>
      <c r="G626" s="2" t="s">
        <v>703</v>
      </c>
      <c r="H626" s="2" t="s">
        <v>711</v>
      </c>
      <c r="I626" s="2" t="s">
        <v>713</v>
      </c>
      <c r="J626" s="2" t="s">
        <v>729</v>
      </c>
      <c r="K626" s="2" t="s">
        <v>1356</v>
      </c>
      <c r="L626" s="2">
        <v>1021.97</v>
      </c>
      <c r="M626" s="2">
        <v>2296.25</v>
      </c>
      <c r="N626" s="2">
        <v>0.161</v>
      </c>
      <c r="O626" s="2">
        <v>26</v>
      </c>
    </row>
    <row r="627" spans="1:15" x14ac:dyDescent="0.3">
      <c r="A627" s="2" t="s">
        <v>639</v>
      </c>
      <c r="B627" s="3">
        <v>45249</v>
      </c>
      <c r="C627" s="3">
        <v>45272</v>
      </c>
      <c r="D627" s="2" t="s">
        <v>647</v>
      </c>
      <c r="E627" s="2" t="s">
        <v>654</v>
      </c>
      <c r="F627" s="2" t="s">
        <v>680</v>
      </c>
      <c r="G627" s="2" t="s">
        <v>705</v>
      </c>
      <c r="H627" s="2" t="s">
        <v>711</v>
      </c>
      <c r="I627" s="2" t="s">
        <v>712</v>
      </c>
      <c r="J627" s="2" t="s">
        <v>729</v>
      </c>
      <c r="K627" s="2" t="s">
        <v>1357</v>
      </c>
      <c r="L627" s="2">
        <v>1349.04</v>
      </c>
      <c r="M627" s="2">
        <v>2636.6</v>
      </c>
      <c r="N627" s="2">
        <v>0.114</v>
      </c>
      <c r="O627" s="2">
        <v>14</v>
      </c>
    </row>
    <row r="628" spans="1:15" x14ac:dyDescent="0.3">
      <c r="A628" s="2" t="s">
        <v>640</v>
      </c>
      <c r="B628" s="3">
        <v>45282</v>
      </c>
      <c r="C628" s="3">
        <v>45307</v>
      </c>
      <c r="D628" s="2" t="s">
        <v>647</v>
      </c>
      <c r="E628" s="2" t="s">
        <v>654</v>
      </c>
      <c r="F628" s="2" t="s">
        <v>696</v>
      </c>
      <c r="G628" s="2" t="s">
        <v>705</v>
      </c>
      <c r="H628" s="2" t="s">
        <v>707</v>
      </c>
      <c r="I628" s="2" t="s">
        <v>720</v>
      </c>
      <c r="J628" s="2" t="s">
        <v>727</v>
      </c>
      <c r="K628" s="2" t="s">
        <v>1358</v>
      </c>
      <c r="L628" s="2">
        <v>1346.81</v>
      </c>
      <c r="M628" s="2">
        <v>978.09</v>
      </c>
      <c r="N628" s="2">
        <v>0.159</v>
      </c>
      <c r="O628" s="2">
        <v>17</v>
      </c>
    </row>
    <row r="629" spans="1:15" x14ac:dyDescent="0.3">
      <c r="A629" s="2" t="s">
        <v>641</v>
      </c>
      <c r="B629" s="3">
        <v>45141</v>
      </c>
      <c r="C629" s="3">
        <v>45168</v>
      </c>
      <c r="D629" s="2" t="s">
        <v>647</v>
      </c>
      <c r="E629" s="2" t="s">
        <v>659</v>
      </c>
      <c r="F629" s="2" t="s">
        <v>685</v>
      </c>
      <c r="G629" s="2" t="s">
        <v>704</v>
      </c>
      <c r="H629" s="2" t="s">
        <v>710</v>
      </c>
      <c r="I629" s="2" t="s">
        <v>725</v>
      </c>
      <c r="J629" s="2" t="s">
        <v>732</v>
      </c>
      <c r="K629" s="2" t="s">
        <v>1359</v>
      </c>
      <c r="L629" s="2">
        <v>226.04</v>
      </c>
      <c r="M629" s="2">
        <v>545.72</v>
      </c>
      <c r="N629" s="2">
        <v>0.151</v>
      </c>
      <c r="O629" s="2">
        <v>11</v>
      </c>
    </row>
    <row r="630" spans="1:15" x14ac:dyDescent="0.3">
      <c r="A630" s="2" t="s">
        <v>642</v>
      </c>
      <c r="B630" s="3">
        <v>45100</v>
      </c>
      <c r="C630" s="3">
        <v>45125</v>
      </c>
      <c r="D630" s="2" t="s">
        <v>648</v>
      </c>
      <c r="E630" s="2" t="s">
        <v>653</v>
      </c>
      <c r="F630" s="2" t="s">
        <v>688</v>
      </c>
      <c r="G630" s="2" t="s">
        <v>706</v>
      </c>
      <c r="H630" s="2" t="s">
        <v>708</v>
      </c>
      <c r="I630" s="2" t="s">
        <v>725</v>
      </c>
      <c r="J630" s="2" t="s">
        <v>730</v>
      </c>
      <c r="K630" s="2" t="s">
        <v>1360</v>
      </c>
      <c r="L630" s="2">
        <v>807.02</v>
      </c>
      <c r="M630" s="2">
        <v>1435.54</v>
      </c>
      <c r="N630" s="2">
        <v>0</v>
      </c>
      <c r="O630" s="2">
        <v>23</v>
      </c>
    </row>
    <row r="631" spans="1:15" x14ac:dyDescent="0.3">
      <c r="A631" s="2" t="s">
        <v>643</v>
      </c>
      <c r="B631" s="3">
        <v>45267</v>
      </c>
      <c r="C631" s="3">
        <v>45293</v>
      </c>
      <c r="D631" s="2" t="s">
        <v>649</v>
      </c>
      <c r="E631" s="2" t="s">
        <v>656</v>
      </c>
      <c r="F631" s="2" t="s">
        <v>698</v>
      </c>
      <c r="G631" s="2" t="s">
        <v>706</v>
      </c>
      <c r="H631" s="2" t="s">
        <v>710</v>
      </c>
      <c r="I631" s="2" t="s">
        <v>718</v>
      </c>
      <c r="J631" s="2" t="s">
        <v>727</v>
      </c>
      <c r="K631" s="2" t="s">
        <v>1361</v>
      </c>
      <c r="L631" s="2">
        <v>1071.99</v>
      </c>
      <c r="M631" s="2">
        <v>2397.3000000000002</v>
      </c>
      <c r="N631" s="2">
        <v>6.2E-2</v>
      </c>
      <c r="O631" s="2">
        <v>18</v>
      </c>
    </row>
    <row r="632" spans="1:15" x14ac:dyDescent="0.3">
      <c r="A632" s="2" t="s">
        <v>644</v>
      </c>
      <c r="B632" s="3">
        <v>45249</v>
      </c>
      <c r="C632" s="3">
        <v>45279</v>
      </c>
      <c r="D632" s="2" t="s">
        <v>647</v>
      </c>
      <c r="E632" s="2" t="s">
        <v>652</v>
      </c>
      <c r="F632" s="2" t="s">
        <v>694</v>
      </c>
      <c r="G632" s="2" t="s">
        <v>704</v>
      </c>
      <c r="H632" s="2" t="s">
        <v>707</v>
      </c>
      <c r="I632" s="2"/>
      <c r="J632" s="2" t="s">
        <v>730</v>
      </c>
      <c r="K632" s="2" t="s">
        <v>1362</v>
      </c>
      <c r="L632" s="2">
        <v>807.11</v>
      </c>
      <c r="M632" s="2">
        <v>1853.86</v>
      </c>
      <c r="N632" s="2">
        <v>0.13900000000000001</v>
      </c>
      <c r="O632" s="2">
        <v>8</v>
      </c>
    </row>
    <row r="633" spans="1:15" x14ac:dyDescent="0.3">
      <c r="A633" s="2" t="s">
        <v>645</v>
      </c>
      <c r="B633" s="3">
        <v>45716</v>
      </c>
      <c r="C633" s="3">
        <v>45726</v>
      </c>
      <c r="D633" s="2" t="s">
        <v>647</v>
      </c>
      <c r="E633" s="2" t="s">
        <v>652</v>
      </c>
      <c r="F633" s="2" t="s">
        <v>666</v>
      </c>
      <c r="G633" s="2" t="s">
        <v>702</v>
      </c>
      <c r="H633" s="2" t="s">
        <v>710</v>
      </c>
      <c r="I633" s="2" t="s">
        <v>725</v>
      </c>
      <c r="J633" s="2" t="s">
        <v>731</v>
      </c>
      <c r="K633" s="2" t="s">
        <v>1363</v>
      </c>
      <c r="L633" s="2">
        <v>51.86</v>
      </c>
      <c r="M633" s="2">
        <v>45.98</v>
      </c>
      <c r="N633" s="2">
        <v>0.17299999999999999</v>
      </c>
      <c r="O633" s="2">
        <v>7</v>
      </c>
    </row>
  </sheetData>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4E4EB-053A-4A7E-A1C7-7A5296E613CA}">
  <dimension ref="A1:AG632"/>
  <sheetViews>
    <sheetView topLeftCell="Z1" workbookViewId="0">
      <selection activeCell="AH2" sqref="AH2"/>
    </sheetView>
  </sheetViews>
  <sheetFormatPr defaultRowHeight="14.4" x14ac:dyDescent="0.3"/>
  <cols>
    <col min="1" max="1" width="12.44140625" customWidth="1"/>
    <col min="2" max="2" width="14.109375" style="5" customWidth="1"/>
    <col min="3" max="3" width="14.109375" style="48" customWidth="1"/>
    <col min="4" max="4" width="22" style="48" customWidth="1"/>
    <col min="5" max="5" width="21.88671875" style="5" bestFit="1" customWidth="1"/>
    <col min="6" max="6" width="16.6640625" style="5" customWidth="1"/>
    <col min="7" max="7" width="21.109375" style="5" customWidth="1"/>
    <col min="8" max="8" width="17.88671875" style="5" customWidth="1"/>
    <col min="9" max="9" width="16.33203125" style="5" customWidth="1"/>
    <col min="10" max="10" width="8.88671875" style="7"/>
    <col min="11" max="11" width="9.6640625" style="7" customWidth="1"/>
    <col min="12" max="12" width="8.88671875" style="7" customWidth="1"/>
    <col min="13" max="13" width="18.44140625" style="7" customWidth="1"/>
    <col min="14" max="14" width="12.5546875" style="7" customWidth="1"/>
    <col min="15" max="15" width="15.6640625" style="7" customWidth="1"/>
    <col min="16" max="16" width="17.109375" style="7" customWidth="1"/>
    <col min="17" max="17" width="12.33203125" style="7" customWidth="1"/>
    <col min="18" max="18" width="10.109375" style="9" customWidth="1"/>
    <col min="19" max="19" width="11.44140625" style="9" customWidth="1"/>
    <col min="20" max="20" width="10.5546875" style="9" customWidth="1"/>
    <col min="21" max="21" width="11.44140625" style="9" customWidth="1"/>
    <col min="22" max="22" width="16.6640625" style="9" customWidth="1"/>
    <col min="23" max="23" width="13.6640625" style="11" customWidth="1"/>
    <col min="24" max="24" width="16.5546875" style="11" customWidth="1"/>
    <col min="25" max="25" width="16.109375" customWidth="1"/>
    <col min="26" max="26" width="14" customWidth="1"/>
    <col min="27" max="27" width="13.77734375" customWidth="1"/>
    <col min="28" max="28" width="20.77734375" customWidth="1"/>
    <col min="29" max="29" width="22.33203125" customWidth="1"/>
    <col min="30" max="30" width="12" customWidth="1"/>
    <col min="31" max="31" width="11.88671875" customWidth="1"/>
  </cols>
  <sheetData>
    <row r="1" spans="1:33" x14ac:dyDescent="0.3">
      <c r="A1" s="17" t="s">
        <v>0</v>
      </c>
      <c r="B1" s="18" t="s">
        <v>1</v>
      </c>
      <c r="C1" s="44" t="s">
        <v>1443</v>
      </c>
      <c r="D1" s="44" t="s">
        <v>1441</v>
      </c>
      <c r="E1" s="44" t="s">
        <v>1442</v>
      </c>
      <c r="F1" s="18" t="s">
        <v>1371</v>
      </c>
      <c r="G1" s="18" t="s">
        <v>2</v>
      </c>
      <c r="H1" s="18" t="s">
        <v>1439</v>
      </c>
      <c r="I1" s="19" t="s">
        <v>1366</v>
      </c>
      <c r="J1" s="20" t="s">
        <v>1436</v>
      </c>
      <c r="K1" s="20" t="s">
        <v>1413</v>
      </c>
      <c r="L1" s="21" t="s">
        <v>3</v>
      </c>
      <c r="M1" s="21" t="s">
        <v>4</v>
      </c>
      <c r="N1" s="21" t="s">
        <v>5</v>
      </c>
      <c r="O1" s="21" t="s">
        <v>6</v>
      </c>
      <c r="P1" s="21" t="s">
        <v>7</v>
      </c>
      <c r="Q1" s="21" t="s">
        <v>8</v>
      </c>
      <c r="R1" s="21" t="s">
        <v>9</v>
      </c>
      <c r="S1" s="21" t="s">
        <v>10</v>
      </c>
      <c r="T1" s="22" t="s">
        <v>11</v>
      </c>
      <c r="U1" s="22" t="s">
        <v>12</v>
      </c>
      <c r="V1" s="22" t="s">
        <v>1365</v>
      </c>
      <c r="W1" s="22" t="s">
        <v>13</v>
      </c>
      <c r="X1" s="23" t="s">
        <v>1494</v>
      </c>
      <c r="Y1" s="23" t="s">
        <v>14</v>
      </c>
      <c r="Z1" s="19" t="s">
        <v>1367</v>
      </c>
      <c r="AA1" s="20" t="s">
        <v>1368</v>
      </c>
      <c r="AB1" s="20" t="s">
        <v>1369</v>
      </c>
      <c r="AC1" s="20" t="s">
        <v>1370</v>
      </c>
      <c r="AD1" s="20" t="s">
        <v>1375</v>
      </c>
      <c r="AE1" s="20" t="s">
        <v>1376</v>
      </c>
      <c r="AF1" s="20" t="s">
        <v>1377</v>
      </c>
      <c r="AG1" s="2"/>
    </row>
    <row r="2" spans="1:33" x14ac:dyDescent="0.3">
      <c r="A2" s="24" t="s">
        <v>15</v>
      </c>
      <c r="B2" s="25">
        <v>45362</v>
      </c>
      <c r="C2" s="45">
        <f>EOMONTH(Table2[[#This Row],[OrderDate]],-1)+1</f>
        <v>45352</v>
      </c>
      <c r="D2" s="45">
        <f>EOMONTH(_xlfn.MINIFS(B2:B632,M2:M632,Table2[[#This Row],[Country]]), -1) + 1</f>
        <v>44927</v>
      </c>
      <c r="E2" s="45"/>
      <c r="F2" s="25" t="str">
        <f>"Q"&amp;ROUNDUP(MONTH(B2)/3,0)&amp;"-"&amp;YEAR(B2)</f>
        <v>Q1-2024</v>
      </c>
      <c r="G2" s="25">
        <v>45388</v>
      </c>
      <c r="H2" s="25">
        <f>IF(G2&lt;B2, B2+3, G2)</f>
        <v>45388</v>
      </c>
      <c r="I2" s="26">
        <f>H2-B2</f>
        <v>26</v>
      </c>
      <c r="J2" s="26">
        <f t="shared" ref="J2:J65" si="0">IF(I2 &lt;= 7, 1, 0)</f>
        <v>0</v>
      </c>
      <c r="K2" s="26">
        <f t="shared" ref="K2:K65" si="1">IF(I2&lt;=7,1,0)</f>
        <v>0</v>
      </c>
      <c r="L2" s="27" t="s">
        <v>646</v>
      </c>
      <c r="M2" s="27" t="s">
        <v>650</v>
      </c>
      <c r="N2" s="27" t="s">
        <v>662</v>
      </c>
      <c r="O2" s="27" t="s">
        <v>701</v>
      </c>
      <c r="P2" s="27" t="s">
        <v>707</v>
      </c>
      <c r="Q2" s="27" t="s">
        <v>712</v>
      </c>
      <c r="R2" s="27" t="s">
        <v>727</v>
      </c>
      <c r="S2" s="27" t="s">
        <v>734</v>
      </c>
      <c r="T2" s="28">
        <v>279.24</v>
      </c>
      <c r="U2" s="28">
        <v>608.9</v>
      </c>
      <c r="V2" s="28">
        <f>IF(W2&gt;0.3,0.3,W2)</f>
        <v>0.112</v>
      </c>
      <c r="W2" s="28">
        <v>0.112</v>
      </c>
      <c r="X2" s="29">
        <f>IF(Table2[[#This Row],[DiscountPct]]&gt;0.2,1,0)</f>
        <v>0</v>
      </c>
      <c r="Y2" s="29">
        <v>9</v>
      </c>
      <c r="Z2" s="30">
        <f>Table2[[#This Row],[UnitPrice]]*Y2*(1-V2)</f>
        <v>4866.3287999999993</v>
      </c>
      <c r="AA2" s="30">
        <f>T2*Y2</f>
        <v>2513.16</v>
      </c>
      <c r="AB2" s="30">
        <f>Z2-AA2</f>
        <v>2353.1687999999995</v>
      </c>
      <c r="AC2" s="30">
        <f>IF(Z2=0,0,AB2/Z2)</f>
        <v>0.48356140670149533</v>
      </c>
      <c r="AD2" s="30" t="e">
        <f>_xlfn.PERCENTILE.INC(S:S, 0.33)</f>
        <v>#NUM!</v>
      </c>
      <c r="AE2" s="30" t="e">
        <f>_xlfn.PERCENTILE.INC(S:S, 0.66)</f>
        <v>#NUM!</v>
      </c>
      <c r="AF2" s="30" t="e">
        <f>IF(Z2="","",
   IF(Z2&lt;=AD2,"Low",
      IF(Z2&lt;=AE2,"Medium","High")
   )
)</f>
        <v>#NUM!</v>
      </c>
    </row>
    <row r="3" spans="1:33" x14ac:dyDescent="0.3">
      <c r="A3" s="2" t="s">
        <v>16</v>
      </c>
      <c r="B3" s="4">
        <v>45588</v>
      </c>
      <c r="C3" s="46">
        <f>EOMONTH(Table2[[#This Row],[OrderDate]],-1)+1</f>
        <v>45566</v>
      </c>
      <c r="D3" s="45">
        <f>EOMONTH(_xlfn.MINIFS(B3:B633,M3:M633,Table2[[#This Row],[Country]]), -1) + 1</f>
        <v>44927</v>
      </c>
      <c r="E3" s="46"/>
      <c r="F3" s="4" t="str">
        <f>"Q"&amp;ROUNDUP(MONTH(B3)/3,0)&amp;"-"&amp;YEAR(B3)</f>
        <v>Q4-2024</v>
      </c>
      <c r="G3" s="4">
        <v>45587</v>
      </c>
      <c r="H3" s="4">
        <f>IF(G3&lt;B3, B3+3, G3)</f>
        <v>45591</v>
      </c>
      <c r="I3" s="10">
        <f>H3-B3</f>
        <v>3</v>
      </c>
      <c r="J3" s="10">
        <f t="shared" si="0"/>
        <v>1</v>
      </c>
      <c r="K3" s="10">
        <f t="shared" si="1"/>
        <v>1</v>
      </c>
      <c r="L3" s="6" t="s">
        <v>646</v>
      </c>
      <c r="M3" s="6" t="s">
        <v>651</v>
      </c>
      <c r="N3" s="6" t="s">
        <v>663</v>
      </c>
      <c r="O3" s="6" t="s">
        <v>702</v>
      </c>
      <c r="P3" s="6" t="s">
        <v>708</v>
      </c>
      <c r="Q3" s="6" t="s">
        <v>713</v>
      </c>
      <c r="R3" s="6" t="s">
        <v>728</v>
      </c>
      <c r="S3" s="6" t="s">
        <v>735</v>
      </c>
      <c r="T3" s="8">
        <v>1084.3900000000001</v>
      </c>
      <c r="U3" s="8">
        <v>759.33</v>
      </c>
      <c r="V3" s="8">
        <f t="shared" ref="V3:V66" si="2">IF(W3&gt;0.3,0.3,W3)</f>
        <v>0.23699999999999999</v>
      </c>
      <c r="W3" s="8">
        <v>0.23699999999999999</v>
      </c>
      <c r="X3" s="10">
        <f>IF(Table2[[#This Row],[DiscountPct]]&gt;0.2,1,0)</f>
        <v>1</v>
      </c>
      <c r="Y3" s="10">
        <v>31</v>
      </c>
      <c r="Z3" s="30">
        <f>Table2[[#This Row],[UnitPrice]]*Y3*(1-V3)</f>
        <v>17960.432489999999</v>
      </c>
      <c r="AA3" s="2">
        <f>T3*Y3</f>
        <v>33616.090000000004</v>
      </c>
      <c r="AB3" s="2">
        <f t="shared" ref="AB3:AB66" si="3">Z3-AA3</f>
        <v>-15655.657510000005</v>
      </c>
      <c r="AC3" s="2">
        <f t="shared" ref="AC3:AC66" si="4">IF(Z3=0,0,AB3/Z3)</f>
        <v>-0.87167486187856302</v>
      </c>
      <c r="AD3" s="2" t="e">
        <f>_xlfn.PERCENTILE.INC(S:S, 0.33)</f>
        <v>#NUM!</v>
      </c>
      <c r="AE3" s="2" t="e">
        <f>_xlfn.PERCENTILE.INC(S:S, 0.66)</f>
        <v>#NUM!</v>
      </c>
      <c r="AF3" s="30" t="e">
        <f t="shared" ref="AF3:AF66" si="5">IF(Z3="","",
   IF(Z3&lt;=AD3,"Low",
      IF(Z3&lt;=AE3,"Medium","High")
   )
)</f>
        <v>#NUM!</v>
      </c>
    </row>
    <row r="4" spans="1:33" x14ac:dyDescent="0.3">
      <c r="A4" s="31" t="s">
        <v>17</v>
      </c>
      <c r="B4" s="32">
        <v>44985</v>
      </c>
      <c r="C4" s="47">
        <f>EOMONTH(Table2[[#This Row],[OrderDate]],-1)+1</f>
        <v>44958</v>
      </c>
      <c r="D4" s="45">
        <f>EOMONTH(_xlfn.MINIFS(B4:B634,M4:M634,Table2[[#This Row],[Country]]), -1) + 1</f>
        <v>44927</v>
      </c>
      <c r="E4" s="47"/>
      <c r="F4" s="32" t="str">
        <f>"Q"&amp;ROUNDUP(MONTH(B4)/3,0)&amp;"-"&amp;YEAR(B4)</f>
        <v>Q1-2023</v>
      </c>
      <c r="G4" s="32">
        <v>45010</v>
      </c>
      <c r="H4" s="32">
        <f>IF(G4&lt;B4, B4+3, G4)</f>
        <v>45010</v>
      </c>
      <c r="I4" s="33">
        <f>H4-B4</f>
        <v>25</v>
      </c>
      <c r="J4" s="33">
        <f t="shared" si="0"/>
        <v>0</v>
      </c>
      <c r="K4" s="33">
        <f t="shared" si="1"/>
        <v>0</v>
      </c>
      <c r="L4" s="34" t="s">
        <v>646</v>
      </c>
      <c r="M4" s="34" t="s">
        <v>650</v>
      </c>
      <c r="N4" s="34" t="s">
        <v>664</v>
      </c>
      <c r="O4" s="34" t="s">
        <v>701</v>
      </c>
      <c r="P4" s="34" t="s">
        <v>707</v>
      </c>
      <c r="Q4" s="34" t="s">
        <v>714</v>
      </c>
      <c r="R4" s="34" t="s">
        <v>729</v>
      </c>
      <c r="S4" s="34" t="s">
        <v>736</v>
      </c>
      <c r="T4" s="35">
        <v>1460.76</v>
      </c>
      <c r="U4" s="35">
        <v>30.66</v>
      </c>
      <c r="V4" s="35">
        <f t="shared" si="2"/>
        <v>0.13100000000000001</v>
      </c>
      <c r="W4" s="35">
        <v>0.13100000000000001</v>
      </c>
      <c r="X4" s="33">
        <f>IF(Table2[[#This Row],[DiscountPct]]&gt;0.2,1,0)</f>
        <v>0</v>
      </c>
      <c r="Y4" s="33">
        <v>12</v>
      </c>
      <c r="Z4" s="30">
        <f>Table2[[#This Row],[UnitPrice]]*Y4*(1-V4)</f>
        <v>319.72248000000002</v>
      </c>
      <c r="AA4" s="31">
        <f>T4*Y4</f>
        <v>17529.12</v>
      </c>
      <c r="AB4" s="31">
        <f t="shared" si="3"/>
        <v>-17209.397519999999</v>
      </c>
      <c r="AC4" s="31">
        <f t="shared" si="4"/>
        <v>-53.826047890032626</v>
      </c>
      <c r="AD4" s="31" t="e">
        <f>_xlfn.PERCENTILE.INC(S:S, 0.33)</f>
        <v>#NUM!</v>
      </c>
      <c r="AE4" s="31" t="e">
        <f>_xlfn.PERCENTILE.INC(S:S, 0.66)</f>
        <v>#NUM!</v>
      </c>
      <c r="AF4" s="30" t="e">
        <f t="shared" si="5"/>
        <v>#NUM!</v>
      </c>
    </row>
    <row r="5" spans="1:33" x14ac:dyDescent="0.3">
      <c r="A5" s="2" t="s">
        <v>18</v>
      </c>
      <c r="B5" s="4">
        <v>45745</v>
      </c>
      <c r="C5" s="46">
        <f>EOMONTH(Table2[[#This Row],[OrderDate]],-1)+1</f>
        <v>45717</v>
      </c>
      <c r="D5" s="45">
        <f>EOMONTH(_xlfn.MINIFS(B5:B635,M5:M635,Table2[[#This Row],[Country]]), -1) + 1</f>
        <v>44927</v>
      </c>
      <c r="E5" s="46"/>
      <c r="F5" s="4" t="str">
        <f>"Q"&amp;ROUNDUP(MONTH(B5)/3,0)&amp;"-"&amp;YEAR(B5)</f>
        <v>Q1-2025</v>
      </c>
      <c r="G5" s="4">
        <v>45749</v>
      </c>
      <c r="H5" s="4">
        <f>IF(G5&lt;B5, B5+3, G5)</f>
        <v>45749</v>
      </c>
      <c r="I5" s="10">
        <f>H5-B5</f>
        <v>4</v>
      </c>
      <c r="J5" s="10">
        <f t="shared" si="0"/>
        <v>1</v>
      </c>
      <c r="K5" s="10">
        <f t="shared" si="1"/>
        <v>1</v>
      </c>
      <c r="L5" s="6" t="s">
        <v>646</v>
      </c>
      <c r="M5" s="6" t="s">
        <v>651</v>
      </c>
      <c r="N5" s="6" t="s">
        <v>665</v>
      </c>
      <c r="O5" s="6" t="s">
        <v>703</v>
      </c>
      <c r="P5" s="6" t="s">
        <v>709</v>
      </c>
      <c r="Q5" s="6" t="s">
        <v>715</v>
      </c>
      <c r="R5" s="6" t="s">
        <v>730</v>
      </c>
      <c r="S5" s="6" t="s">
        <v>737</v>
      </c>
      <c r="T5" s="8">
        <v>259.93</v>
      </c>
      <c r="U5" s="8">
        <v>255.94</v>
      </c>
      <c r="V5" s="8">
        <f t="shared" si="2"/>
        <v>7.1999999999999995E-2</v>
      </c>
      <c r="W5" s="8">
        <v>7.1999999999999995E-2</v>
      </c>
      <c r="X5" s="10">
        <f>IF(Table2[[#This Row],[DiscountPct]]&gt;0.2,1,0)</f>
        <v>0</v>
      </c>
      <c r="Y5" s="10">
        <v>22</v>
      </c>
      <c r="Z5" s="30">
        <f>Table2[[#This Row],[UnitPrice]]*Y5*(1-V5)</f>
        <v>5225.2710400000005</v>
      </c>
      <c r="AA5" s="2">
        <f>T5*Y5</f>
        <v>5718.46</v>
      </c>
      <c r="AB5" s="2">
        <f t="shared" si="3"/>
        <v>-493.1889599999995</v>
      </c>
      <c r="AC5" s="2">
        <f t="shared" si="4"/>
        <v>-9.4385335463861311E-2</v>
      </c>
      <c r="AD5" s="2" t="e">
        <f>_xlfn.PERCENTILE.INC(S:S, 0.33)</f>
        <v>#NUM!</v>
      </c>
      <c r="AE5" s="2" t="e">
        <f>_xlfn.PERCENTILE.INC(S:S, 0.66)</f>
        <v>#NUM!</v>
      </c>
      <c r="AF5" s="30" t="e">
        <f t="shared" si="5"/>
        <v>#NUM!</v>
      </c>
    </row>
    <row r="6" spans="1:33" x14ac:dyDescent="0.3">
      <c r="A6" s="31" t="s">
        <v>19</v>
      </c>
      <c r="B6" s="32">
        <v>45266</v>
      </c>
      <c r="C6" s="47">
        <f>EOMONTH(Table2[[#This Row],[OrderDate]],-1)+1</f>
        <v>45261</v>
      </c>
      <c r="D6" s="45">
        <f>EOMONTH(_xlfn.MINIFS(B6:B636,M6:M636,Table2[[#This Row],[Country]]), -1) + 1</f>
        <v>44986</v>
      </c>
      <c r="E6" s="47"/>
      <c r="F6" s="32" t="str">
        <f>"Q"&amp;ROUNDUP(MONTH(B6)/3,0)&amp;"-"&amp;YEAR(B6)</f>
        <v>Q4-2023</v>
      </c>
      <c r="G6" s="32">
        <v>45291</v>
      </c>
      <c r="H6" s="32">
        <f>IF(G6&lt;B6, B6+3, G6)</f>
        <v>45291</v>
      </c>
      <c r="I6" s="33">
        <f>H6-B6</f>
        <v>25</v>
      </c>
      <c r="J6" s="33">
        <f t="shared" si="0"/>
        <v>0</v>
      </c>
      <c r="K6" s="33">
        <f t="shared" si="1"/>
        <v>0</v>
      </c>
      <c r="L6" s="34" t="s">
        <v>647</v>
      </c>
      <c r="M6" s="34" t="s">
        <v>652</v>
      </c>
      <c r="N6" s="34" t="s">
        <v>666</v>
      </c>
      <c r="O6" s="34" t="s">
        <v>704</v>
      </c>
      <c r="P6" s="34" t="s">
        <v>707</v>
      </c>
      <c r="Q6" s="34" t="s">
        <v>716</v>
      </c>
      <c r="R6" s="34" t="s">
        <v>728</v>
      </c>
      <c r="S6" s="34" t="s">
        <v>738</v>
      </c>
      <c r="T6" s="35">
        <v>663.03</v>
      </c>
      <c r="U6" s="35">
        <v>813.51</v>
      </c>
      <c r="V6" s="35">
        <f t="shared" si="2"/>
        <v>0.10199999999999999</v>
      </c>
      <c r="W6" s="35">
        <v>0.10199999999999999</v>
      </c>
      <c r="X6" s="33">
        <f>IF(Table2[[#This Row],[DiscountPct]]&gt;0.2,1,0)</f>
        <v>0</v>
      </c>
      <c r="Y6" s="33">
        <v>15</v>
      </c>
      <c r="Z6" s="30">
        <f>Table2[[#This Row],[UnitPrice]]*Y6*(1-V6)</f>
        <v>10957.9797</v>
      </c>
      <c r="AA6" s="31">
        <f>T6*Y6</f>
        <v>9945.4499999999989</v>
      </c>
      <c r="AB6" s="31">
        <f t="shared" si="3"/>
        <v>1012.529700000001</v>
      </c>
      <c r="AC6" s="31">
        <f t="shared" si="4"/>
        <v>9.2401129379715952E-2</v>
      </c>
      <c r="AD6" s="31" t="e">
        <f>_xlfn.PERCENTILE.INC(S:S, 0.33)</f>
        <v>#NUM!</v>
      </c>
      <c r="AE6" s="31" t="e">
        <f>_xlfn.PERCENTILE.INC(S:S, 0.66)</f>
        <v>#NUM!</v>
      </c>
      <c r="AF6" s="30" t="e">
        <f t="shared" si="5"/>
        <v>#NUM!</v>
      </c>
    </row>
    <row r="7" spans="1:33" x14ac:dyDescent="0.3">
      <c r="A7" s="2" t="s">
        <v>20</v>
      </c>
      <c r="B7" s="4">
        <v>44928</v>
      </c>
      <c r="C7" s="46">
        <f>EOMONTH(Table2[[#This Row],[OrderDate]],-1)+1</f>
        <v>44927</v>
      </c>
      <c r="D7" s="45">
        <f>EOMONTH(_xlfn.MINIFS(B7:B637,M7:M637,Table2[[#This Row],[Country]]), -1) + 1</f>
        <v>44927</v>
      </c>
      <c r="E7" s="46"/>
      <c r="F7" s="4" t="str">
        <f>"Q"&amp;ROUNDUP(MONTH(B7)/3,0)&amp;"-"&amp;YEAR(B7)</f>
        <v>Q1-2023</v>
      </c>
      <c r="G7" s="4">
        <v>44931</v>
      </c>
      <c r="H7" s="4">
        <f>IF(G7&lt;B7, B7+3, G7)</f>
        <v>44931</v>
      </c>
      <c r="I7" s="10">
        <f>H7-B7</f>
        <v>3</v>
      </c>
      <c r="J7" s="10">
        <f t="shared" si="0"/>
        <v>1</v>
      </c>
      <c r="K7" s="10">
        <f t="shared" si="1"/>
        <v>1</v>
      </c>
      <c r="L7" s="6" t="s">
        <v>648</v>
      </c>
      <c r="M7" s="6" t="s">
        <v>653</v>
      </c>
      <c r="N7" s="6" t="s">
        <v>667</v>
      </c>
      <c r="O7" s="6" t="s">
        <v>701</v>
      </c>
      <c r="P7" s="6" t="s">
        <v>710</v>
      </c>
      <c r="Q7" s="6" t="s">
        <v>717</v>
      </c>
      <c r="R7" s="6" t="s">
        <v>731</v>
      </c>
      <c r="S7" s="6" t="s">
        <v>739</v>
      </c>
      <c r="T7" s="8">
        <v>315.87</v>
      </c>
      <c r="U7" s="8">
        <v>591.67999999999995</v>
      </c>
      <c r="V7" s="8">
        <f t="shared" si="2"/>
        <v>0</v>
      </c>
      <c r="W7" s="8">
        <v>0</v>
      </c>
      <c r="X7" s="10">
        <f>IF(Table2[[#This Row],[DiscountPct]]&gt;0.2,1,0)</f>
        <v>0</v>
      </c>
      <c r="Y7" s="10">
        <v>7</v>
      </c>
      <c r="Z7" s="30">
        <f>Table2[[#This Row],[UnitPrice]]*Y7*(1-V7)</f>
        <v>4141.7599999999993</v>
      </c>
      <c r="AA7" s="2">
        <f>T7*Y7</f>
        <v>2211.09</v>
      </c>
      <c r="AB7" s="2">
        <f t="shared" si="3"/>
        <v>1930.6699999999992</v>
      </c>
      <c r="AC7" s="2">
        <f t="shared" si="4"/>
        <v>0.46614724175229844</v>
      </c>
      <c r="AD7" s="2" t="e">
        <f>_xlfn.PERCENTILE.INC(S:S, 0.33)</f>
        <v>#NUM!</v>
      </c>
      <c r="AE7" s="2" t="e">
        <f>_xlfn.PERCENTILE.INC(S:S, 0.66)</f>
        <v>#NUM!</v>
      </c>
      <c r="AF7" s="30" t="e">
        <f t="shared" si="5"/>
        <v>#NUM!</v>
      </c>
    </row>
    <row r="8" spans="1:33" x14ac:dyDescent="0.3">
      <c r="A8" s="31" t="s">
        <v>21</v>
      </c>
      <c r="B8" s="32">
        <v>45653</v>
      </c>
      <c r="C8" s="47">
        <f>EOMONTH(Table2[[#This Row],[OrderDate]],-1)+1</f>
        <v>45627</v>
      </c>
      <c r="D8" s="45">
        <f>EOMONTH(_xlfn.MINIFS(B8:B638,M8:M638,Table2[[#This Row],[Country]]), -1) + 1</f>
        <v>44958</v>
      </c>
      <c r="E8" s="47"/>
      <c r="F8" s="32" t="str">
        <f>"Q"&amp;ROUNDUP(MONTH(B8)/3,0)&amp;"-"&amp;YEAR(B8)</f>
        <v>Q4-2024</v>
      </c>
      <c r="G8" s="32">
        <v>45671</v>
      </c>
      <c r="H8" s="32">
        <f>IF(G8&lt;B8, B8+3, G8)</f>
        <v>45671</v>
      </c>
      <c r="I8" s="33">
        <f>H8-B8</f>
        <v>18</v>
      </c>
      <c r="J8" s="33">
        <f t="shared" si="0"/>
        <v>0</v>
      </c>
      <c r="K8" s="33">
        <f t="shared" si="1"/>
        <v>0</v>
      </c>
      <c r="L8" s="34" t="s">
        <v>647</v>
      </c>
      <c r="M8" s="34" t="s">
        <v>654</v>
      </c>
      <c r="N8" s="34" t="s">
        <v>668</v>
      </c>
      <c r="O8" s="34" t="s">
        <v>705</v>
      </c>
      <c r="P8" s="34" t="s">
        <v>709</v>
      </c>
      <c r="Q8" s="34" t="s">
        <v>718</v>
      </c>
      <c r="R8" s="34" t="s">
        <v>732</v>
      </c>
      <c r="S8" s="34" t="s">
        <v>740</v>
      </c>
      <c r="T8" s="35">
        <v>586.07000000000005</v>
      </c>
      <c r="U8" s="35">
        <v>845.97</v>
      </c>
      <c r="V8" s="35">
        <f t="shared" si="2"/>
        <v>0.14699999999999999</v>
      </c>
      <c r="W8" s="35">
        <v>0.14699999999999999</v>
      </c>
      <c r="X8" s="33">
        <f>IF(Table2[[#This Row],[DiscountPct]]&gt;0.2,1,0)</f>
        <v>0</v>
      </c>
      <c r="Y8" s="33">
        <v>4</v>
      </c>
      <c r="Z8" s="30">
        <f>Table2[[#This Row],[UnitPrice]]*Y8*(1-V8)</f>
        <v>2886.4496399999998</v>
      </c>
      <c r="AA8" s="31">
        <f>T8*Y8</f>
        <v>2344.2800000000002</v>
      </c>
      <c r="AB8" s="31">
        <f t="shared" si="3"/>
        <v>542.16963999999962</v>
      </c>
      <c r="AC8" s="31">
        <f t="shared" si="4"/>
        <v>0.18783270370862928</v>
      </c>
      <c r="AD8" s="31" t="e">
        <f>_xlfn.PERCENTILE.INC(S:S, 0.33)</f>
        <v>#NUM!</v>
      </c>
      <c r="AE8" s="31" t="e">
        <f>_xlfn.PERCENTILE.INC(S:S, 0.66)</f>
        <v>#NUM!</v>
      </c>
      <c r="AF8" s="30" t="e">
        <f t="shared" si="5"/>
        <v>#NUM!</v>
      </c>
    </row>
    <row r="9" spans="1:33" x14ac:dyDescent="0.3">
      <c r="A9" s="2" t="s">
        <v>22</v>
      </c>
      <c r="B9" s="4">
        <v>44941</v>
      </c>
      <c r="C9" s="46">
        <f>EOMONTH(Table2[[#This Row],[OrderDate]],-1)+1</f>
        <v>44927</v>
      </c>
      <c r="D9" s="45">
        <f>EOMONTH(_xlfn.MINIFS(B9:B639,M9:M639,Table2[[#This Row],[Country]]), -1) + 1</f>
        <v>44927</v>
      </c>
      <c r="E9" s="46"/>
      <c r="F9" s="4" t="str">
        <f>"Q"&amp;ROUNDUP(MONTH(B9)/3,0)&amp;"-"&amp;YEAR(B9)</f>
        <v>Q1-2023</v>
      </c>
      <c r="G9" s="4">
        <v>44939</v>
      </c>
      <c r="H9" s="4">
        <f>IF(G9&lt;B9, B9+3, G9)</f>
        <v>44944</v>
      </c>
      <c r="I9" s="10">
        <f>H9-B9</f>
        <v>3</v>
      </c>
      <c r="J9" s="10">
        <f t="shared" si="0"/>
        <v>1</v>
      </c>
      <c r="K9" s="10">
        <f t="shared" si="1"/>
        <v>1</v>
      </c>
      <c r="L9" s="6" t="s">
        <v>646</v>
      </c>
      <c r="M9" s="6" t="s">
        <v>651</v>
      </c>
      <c r="N9" s="6" t="s">
        <v>669</v>
      </c>
      <c r="O9" s="6" t="s">
        <v>702</v>
      </c>
      <c r="P9" s="6" t="s">
        <v>708</v>
      </c>
      <c r="Q9" s="6" t="s">
        <v>719</v>
      </c>
      <c r="R9" s="6" t="s">
        <v>728</v>
      </c>
      <c r="S9" s="6" t="s">
        <v>741</v>
      </c>
      <c r="T9" s="8">
        <v>28.38</v>
      </c>
      <c r="U9" s="8">
        <v>47.22</v>
      </c>
      <c r="V9" s="8">
        <f t="shared" si="2"/>
        <v>0.19400000000000001</v>
      </c>
      <c r="W9" s="8">
        <v>0.19400000000000001</v>
      </c>
      <c r="X9" s="10">
        <f>IF(Table2[[#This Row],[DiscountPct]]&gt;0.2,1,0)</f>
        <v>0</v>
      </c>
      <c r="Y9" s="10">
        <v>18</v>
      </c>
      <c r="Z9" s="30">
        <f>Table2[[#This Row],[UnitPrice]]*Y9*(1-V9)</f>
        <v>685.06776000000002</v>
      </c>
      <c r="AA9" s="2">
        <f>T9*Y9</f>
        <v>510.84</v>
      </c>
      <c r="AB9" s="2">
        <f t="shared" si="3"/>
        <v>174.22776000000005</v>
      </c>
      <c r="AC9" s="2">
        <f t="shared" si="4"/>
        <v>0.25432193743871417</v>
      </c>
      <c r="AD9" s="2" t="e">
        <f>_xlfn.PERCENTILE.INC(S:S, 0.33)</f>
        <v>#NUM!</v>
      </c>
      <c r="AE9" s="2" t="e">
        <f>_xlfn.PERCENTILE.INC(S:S, 0.66)</f>
        <v>#NUM!</v>
      </c>
      <c r="AF9" s="30" t="e">
        <f t="shared" si="5"/>
        <v>#NUM!</v>
      </c>
    </row>
    <row r="10" spans="1:33" x14ac:dyDescent="0.3">
      <c r="A10" s="31" t="s">
        <v>23</v>
      </c>
      <c r="B10" s="32">
        <v>45416</v>
      </c>
      <c r="C10" s="47">
        <f>EOMONTH(Table2[[#This Row],[OrderDate]],-1)+1</f>
        <v>45413</v>
      </c>
      <c r="D10" s="45">
        <f>EOMONTH(_xlfn.MINIFS(B10:B640,M10:M640,Table2[[#This Row],[Country]]), -1) + 1</f>
        <v>44958</v>
      </c>
      <c r="E10" s="47"/>
      <c r="F10" s="32" t="str">
        <f>"Q"&amp;ROUNDUP(MONTH(B10)/3,0)&amp;"-"&amp;YEAR(B10)</f>
        <v>Q2-2024</v>
      </c>
      <c r="G10" s="32">
        <v>45441</v>
      </c>
      <c r="H10" s="32">
        <f>IF(G10&lt;B10, B10+3, G10)</f>
        <v>45441</v>
      </c>
      <c r="I10" s="33">
        <f>H10-B10</f>
        <v>25</v>
      </c>
      <c r="J10" s="33">
        <f t="shared" si="0"/>
        <v>0</v>
      </c>
      <c r="K10" s="33">
        <f t="shared" si="1"/>
        <v>0</v>
      </c>
      <c r="L10" s="34" t="s">
        <v>646</v>
      </c>
      <c r="M10" s="34" t="s">
        <v>651</v>
      </c>
      <c r="N10" s="34" t="s">
        <v>669</v>
      </c>
      <c r="O10" s="34" t="s">
        <v>703</v>
      </c>
      <c r="P10" s="34" t="s">
        <v>709</v>
      </c>
      <c r="Q10" s="34" t="s">
        <v>719</v>
      </c>
      <c r="R10" s="34" t="s">
        <v>732</v>
      </c>
      <c r="S10" s="34" t="s">
        <v>742</v>
      </c>
      <c r="T10" s="35">
        <v>1295.3399999999999</v>
      </c>
      <c r="U10" s="35">
        <v>2530.81</v>
      </c>
      <c r="V10" s="35">
        <f t="shared" si="2"/>
        <v>3.1E-2</v>
      </c>
      <c r="W10" s="35">
        <v>3.1E-2</v>
      </c>
      <c r="X10" s="33">
        <f>IF(Table2[[#This Row],[DiscountPct]]&gt;0.2,1,0)</f>
        <v>0</v>
      </c>
      <c r="Y10" s="33">
        <v>6</v>
      </c>
      <c r="Z10" s="30">
        <f>Table2[[#This Row],[UnitPrice]]*Y10*(1-V10)</f>
        <v>14714.12934</v>
      </c>
      <c r="AA10" s="31">
        <f>T10*Y10</f>
        <v>7772.0399999999991</v>
      </c>
      <c r="AB10" s="31">
        <f t="shared" si="3"/>
        <v>6942.0893400000004</v>
      </c>
      <c r="AC10" s="31">
        <f t="shared" si="4"/>
        <v>0.4717974933880798</v>
      </c>
      <c r="AD10" s="31" t="e">
        <f>_xlfn.PERCENTILE.INC(S:S, 0.33)</f>
        <v>#NUM!</v>
      </c>
      <c r="AE10" s="31" t="e">
        <f>_xlfn.PERCENTILE.INC(S:S, 0.66)</f>
        <v>#NUM!</v>
      </c>
      <c r="AF10" s="30" t="e">
        <f t="shared" si="5"/>
        <v>#NUM!</v>
      </c>
    </row>
    <row r="11" spans="1:33" x14ac:dyDescent="0.3">
      <c r="A11" s="2" t="s">
        <v>24</v>
      </c>
      <c r="B11" s="4">
        <v>45798</v>
      </c>
      <c r="C11" s="46">
        <f>EOMONTH(Table2[[#This Row],[OrderDate]],-1)+1</f>
        <v>45778</v>
      </c>
      <c r="D11" s="45">
        <f>EOMONTH(_xlfn.MINIFS(B11:B641,M11:M641,Table2[[#This Row],[Country]]), -1) + 1</f>
        <v>44927</v>
      </c>
      <c r="E11" s="46"/>
      <c r="F11" s="4" t="str">
        <f>"Q"&amp;ROUNDUP(MONTH(B11)/3,0)&amp;"-"&amp;YEAR(B11)</f>
        <v>Q2-2025</v>
      </c>
      <c r="G11" s="4">
        <v>45817</v>
      </c>
      <c r="H11" s="4">
        <f>IF(G11&lt;B11, B11+3, G11)</f>
        <v>45817</v>
      </c>
      <c r="I11" s="10">
        <f>H11-B11</f>
        <v>19</v>
      </c>
      <c r="J11" s="10">
        <f t="shared" si="0"/>
        <v>0</v>
      </c>
      <c r="K11" s="10">
        <f t="shared" si="1"/>
        <v>0</v>
      </c>
      <c r="L11" s="6" t="s">
        <v>648</v>
      </c>
      <c r="M11" s="6" t="s">
        <v>655</v>
      </c>
      <c r="N11" s="6" t="s">
        <v>670</v>
      </c>
      <c r="O11" s="6" t="s">
        <v>703</v>
      </c>
      <c r="P11" s="6" t="s">
        <v>708</v>
      </c>
      <c r="Q11" s="6" t="s">
        <v>720</v>
      </c>
      <c r="R11" s="6" t="s">
        <v>727</v>
      </c>
      <c r="S11" s="6" t="s">
        <v>743</v>
      </c>
      <c r="T11" s="8">
        <v>1331.38</v>
      </c>
      <c r="U11" s="8">
        <v>2309.56</v>
      </c>
      <c r="V11" s="8">
        <f t="shared" si="2"/>
        <v>0.14899999999999999</v>
      </c>
      <c r="W11" s="8">
        <v>0.14899999999999999</v>
      </c>
      <c r="X11" s="10">
        <f>IF(Table2[[#This Row],[DiscountPct]]&gt;0.2,1,0)</f>
        <v>0</v>
      </c>
      <c r="Y11" s="10">
        <v>31</v>
      </c>
      <c r="Z11" s="30">
        <f>Table2[[#This Row],[UnitPrice]]*Y11*(1-V11)</f>
        <v>60928.502359999999</v>
      </c>
      <c r="AA11" s="2">
        <f>T11*Y11</f>
        <v>41272.780000000006</v>
      </c>
      <c r="AB11" s="2">
        <f t="shared" si="3"/>
        <v>19655.722359999992</v>
      </c>
      <c r="AC11" s="2">
        <f t="shared" si="4"/>
        <v>0.32260307735553528</v>
      </c>
      <c r="AD11" s="2" t="e">
        <f>_xlfn.PERCENTILE.INC(S:S, 0.33)</f>
        <v>#NUM!</v>
      </c>
      <c r="AE11" s="2" t="e">
        <f>_xlfn.PERCENTILE.INC(S:S, 0.66)</f>
        <v>#NUM!</v>
      </c>
      <c r="AF11" s="30" t="e">
        <f t="shared" si="5"/>
        <v>#NUM!</v>
      </c>
    </row>
    <row r="12" spans="1:33" x14ac:dyDescent="0.3">
      <c r="A12" s="31" t="s">
        <v>25</v>
      </c>
      <c r="B12" s="32">
        <v>45319</v>
      </c>
      <c r="C12" s="47">
        <f>EOMONTH(Table2[[#This Row],[OrderDate]],-1)+1</f>
        <v>45292</v>
      </c>
      <c r="D12" s="45">
        <f>EOMONTH(_xlfn.MINIFS(B12:B642,M12:M642,Table2[[#This Row],[Country]]), -1) + 1</f>
        <v>44927</v>
      </c>
      <c r="E12" s="47"/>
      <c r="F12" s="32" t="str">
        <f>"Q"&amp;ROUNDUP(MONTH(B12)/3,0)&amp;"-"&amp;YEAR(B12)</f>
        <v>Q1-2024</v>
      </c>
      <c r="G12" s="32">
        <v>45331</v>
      </c>
      <c r="H12" s="32">
        <f>IF(G12&lt;B12, B12+3, G12)</f>
        <v>45331</v>
      </c>
      <c r="I12" s="33">
        <f>H12-B12</f>
        <v>12</v>
      </c>
      <c r="J12" s="33">
        <f t="shared" si="0"/>
        <v>0</v>
      </c>
      <c r="K12" s="33">
        <f t="shared" si="1"/>
        <v>0</v>
      </c>
      <c r="L12" s="34" t="s">
        <v>649</v>
      </c>
      <c r="M12" s="34" t="s">
        <v>656</v>
      </c>
      <c r="N12" s="34" t="s">
        <v>671</v>
      </c>
      <c r="O12" s="34" t="s">
        <v>701</v>
      </c>
      <c r="P12" s="34" t="s">
        <v>708</v>
      </c>
      <c r="Q12" s="34" t="s">
        <v>715</v>
      </c>
      <c r="R12" s="34" t="s">
        <v>733</v>
      </c>
      <c r="S12" s="34" t="s">
        <v>744</v>
      </c>
      <c r="T12" s="35">
        <v>644.16999999999996</v>
      </c>
      <c r="U12" s="35">
        <v>700.12</v>
      </c>
      <c r="V12" s="35">
        <f t="shared" si="2"/>
        <v>6.0000000000000001E-3</v>
      </c>
      <c r="W12" s="35">
        <v>6.0000000000000001E-3</v>
      </c>
      <c r="X12" s="33">
        <f>IF(Table2[[#This Row],[DiscountPct]]&gt;0.2,1,0)</f>
        <v>0</v>
      </c>
      <c r="Y12" s="33">
        <v>23</v>
      </c>
      <c r="Z12" s="30">
        <f>Table2[[#This Row],[UnitPrice]]*Y12*(1-V12)</f>
        <v>16006.14344</v>
      </c>
      <c r="AA12" s="31">
        <f>T12*Y12</f>
        <v>14815.91</v>
      </c>
      <c r="AB12" s="31">
        <f t="shared" si="3"/>
        <v>1190.23344</v>
      </c>
      <c r="AC12" s="31">
        <f t="shared" si="4"/>
        <v>7.436103796405813E-2</v>
      </c>
      <c r="AD12" s="31" t="e">
        <f>_xlfn.PERCENTILE.INC(S:S, 0.33)</f>
        <v>#NUM!</v>
      </c>
      <c r="AE12" s="31" t="e">
        <f>_xlfn.PERCENTILE.INC(S:S, 0.66)</f>
        <v>#NUM!</v>
      </c>
      <c r="AF12" s="30" t="e">
        <f t="shared" si="5"/>
        <v>#NUM!</v>
      </c>
    </row>
    <row r="13" spans="1:33" x14ac:dyDescent="0.3">
      <c r="A13" s="2" t="s">
        <v>26</v>
      </c>
      <c r="B13" s="4">
        <v>45660</v>
      </c>
      <c r="C13" s="46">
        <f>EOMONTH(Table2[[#This Row],[OrderDate]],-1)+1</f>
        <v>45658</v>
      </c>
      <c r="D13" s="45">
        <f>EOMONTH(_xlfn.MINIFS(B13:B643,M13:M643,Table2[[#This Row],[Country]]), -1) + 1</f>
        <v>44986</v>
      </c>
      <c r="E13" s="46"/>
      <c r="F13" s="4" t="str">
        <f>"Q"&amp;ROUNDUP(MONTH(B13)/3,0)&amp;"-"&amp;YEAR(B13)</f>
        <v>Q1-2025</v>
      </c>
      <c r="G13" s="4">
        <v>45680</v>
      </c>
      <c r="H13" s="4">
        <f>IF(G13&lt;B13, B13+3, G13)</f>
        <v>45680</v>
      </c>
      <c r="I13" s="10">
        <f>H13-B13</f>
        <v>20</v>
      </c>
      <c r="J13" s="10">
        <f t="shared" si="0"/>
        <v>0</v>
      </c>
      <c r="K13" s="10">
        <f t="shared" si="1"/>
        <v>0</v>
      </c>
      <c r="L13" s="6" t="s">
        <v>647</v>
      </c>
      <c r="M13" s="6" t="s">
        <v>652</v>
      </c>
      <c r="N13" s="6" t="s">
        <v>666</v>
      </c>
      <c r="O13" s="6" t="s">
        <v>701</v>
      </c>
      <c r="P13" s="6" t="s">
        <v>710</v>
      </c>
      <c r="Q13" s="6" t="s">
        <v>721</v>
      </c>
      <c r="R13" s="6" t="s">
        <v>730</v>
      </c>
      <c r="S13" s="6" t="s">
        <v>745</v>
      </c>
      <c r="T13" s="8">
        <v>908.6</v>
      </c>
      <c r="U13" s="8">
        <v>691.37</v>
      </c>
      <c r="V13" s="8">
        <f t="shared" si="2"/>
        <v>0.25</v>
      </c>
      <c r="W13" s="8">
        <v>0.25</v>
      </c>
      <c r="X13" s="10">
        <f>IF(Table2[[#This Row],[DiscountPct]]&gt;0.2,1,0)</f>
        <v>1</v>
      </c>
      <c r="Y13" s="10">
        <v>20</v>
      </c>
      <c r="Z13" s="30">
        <f>Table2[[#This Row],[UnitPrice]]*Y13*(1-V13)</f>
        <v>10370.549999999999</v>
      </c>
      <c r="AA13" s="2">
        <f>T13*Y13</f>
        <v>18172</v>
      </c>
      <c r="AB13" s="2">
        <f t="shared" si="3"/>
        <v>-7801.4500000000007</v>
      </c>
      <c r="AC13" s="2">
        <f t="shared" si="4"/>
        <v>-0.75226964818645115</v>
      </c>
      <c r="AD13" s="2" t="e">
        <f>_xlfn.PERCENTILE.INC(S:S, 0.33)</f>
        <v>#NUM!</v>
      </c>
      <c r="AE13" s="2" t="e">
        <f>_xlfn.PERCENTILE.INC(S:S, 0.66)</f>
        <v>#NUM!</v>
      </c>
      <c r="AF13" s="30" t="e">
        <f t="shared" si="5"/>
        <v>#NUM!</v>
      </c>
    </row>
    <row r="14" spans="1:33" x14ac:dyDescent="0.3">
      <c r="A14" s="31" t="s">
        <v>27</v>
      </c>
      <c r="B14" s="32">
        <v>45722</v>
      </c>
      <c r="C14" s="47">
        <f>EOMONTH(Table2[[#This Row],[OrderDate]],-1)+1</f>
        <v>45717</v>
      </c>
      <c r="D14" s="45">
        <f>EOMONTH(_xlfn.MINIFS(B14:B644,M14:M644,Table2[[#This Row],[Country]]), -1) + 1</f>
        <v>44927</v>
      </c>
      <c r="E14" s="47"/>
      <c r="F14" s="32" t="str">
        <f>"Q"&amp;ROUNDUP(MONTH(B14)/3,0)&amp;"-"&amp;YEAR(B14)</f>
        <v>Q1-2025</v>
      </c>
      <c r="G14" s="32">
        <v>45747</v>
      </c>
      <c r="H14" s="32">
        <f>IF(G14&lt;B14, B14+3, G14)</f>
        <v>45747</v>
      </c>
      <c r="I14" s="33">
        <f>H14-B14</f>
        <v>25</v>
      </c>
      <c r="J14" s="33">
        <f t="shared" si="0"/>
        <v>0</v>
      </c>
      <c r="K14" s="33">
        <f t="shared" si="1"/>
        <v>0</v>
      </c>
      <c r="L14" s="34" t="s">
        <v>648</v>
      </c>
      <c r="M14" s="34" t="s">
        <v>655</v>
      </c>
      <c r="N14" s="34" t="s">
        <v>672</v>
      </c>
      <c r="O14" s="34" t="s">
        <v>703</v>
      </c>
      <c r="P14" s="34" t="s">
        <v>708</v>
      </c>
      <c r="Q14" s="34" t="s">
        <v>713</v>
      </c>
      <c r="R14" s="34" t="s">
        <v>727</v>
      </c>
      <c r="S14" s="34" t="s">
        <v>746</v>
      </c>
      <c r="T14" s="35">
        <v>331.57</v>
      </c>
      <c r="U14" s="35">
        <v>548.4</v>
      </c>
      <c r="V14" s="35">
        <f t="shared" si="2"/>
        <v>9.4E-2</v>
      </c>
      <c r="W14" s="35">
        <v>9.4E-2</v>
      </c>
      <c r="X14" s="33">
        <f>IF(Table2[[#This Row],[DiscountPct]]&gt;0.2,1,0)</f>
        <v>0</v>
      </c>
      <c r="Y14" s="33">
        <v>10</v>
      </c>
      <c r="Z14" s="30">
        <f>Table2[[#This Row],[UnitPrice]]*Y14*(1-V14)</f>
        <v>4968.5039999999999</v>
      </c>
      <c r="AA14" s="31">
        <f>T14*Y14</f>
        <v>3315.7</v>
      </c>
      <c r="AB14" s="31">
        <f t="shared" si="3"/>
        <v>1652.8040000000001</v>
      </c>
      <c r="AC14" s="31">
        <f t="shared" si="4"/>
        <v>0.33265626836568918</v>
      </c>
      <c r="AD14" s="31" t="e">
        <f>_xlfn.PERCENTILE.INC(S:S, 0.33)</f>
        <v>#NUM!</v>
      </c>
      <c r="AE14" s="31" t="e">
        <f>_xlfn.PERCENTILE.INC(S:S, 0.66)</f>
        <v>#NUM!</v>
      </c>
      <c r="AF14" s="30" t="e">
        <f t="shared" si="5"/>
        <v>#NUM!</v>
      </c>
    </row>
    <row r="15" spans="1:33" x14ac:dyDescent="0.3">
      <c r="A15" s="2" t="s">
        <v>28</v>
      </c>
      <c r="B15" s="4">
        <v>45311</v>
      </c>
      <c r="C15" s="46">
        <f>EOMONTH(Table2[[#This Row],[OrderDate]],-1)+1</f>
        <v>45292</v>
      </c>
      <c r="D15" s="45">
        <f>EOMONTH(_xlfn.MINIFS(B15:B645,M15:M645,Table2[[#This Row],[Country]]), -1) + 1</f>
        <v>44927</v>
      </c>
      <c r="E15" s="46"/>
      <c r="F15" s="4" t="str">
        <f>"Q"&amp;ROUNDUP(MONTH(B15)/3,0)&amp;"-"&amp;YEAR(B15)</f>
        <v>Q1-2024</v>
      </c>
      <c r="G15" s="4">
        <v>45335</v>
      </c>
      <c r="H15" s="4">
        <f>IF(G15&lt;B15, B15+3, G15)</f>
        <v>45335</v>
      </c>
      <c r="I15" s="10">
        <f>H15-B15</f>
        <v>24</v>
      </c>
      <c r="J15" s="10">
        <f t="shared" si="0"/>
        <v>0</v>
      </c>
      <c r="K15" s="10">
        <f t="shared" si="1"/>
        <v>0</v>
      </c>
      <c r="L15" s="6" t="s">
        <v>649</v>
      </c>
      <c r="M15" s="6" t="s">
        <v>657</v>
      </c>
      <c r="N15" s="6" t="s">
        <v>673</v>
      </c>
      <c r="O15" s="6" t="s">
        <v>701</v>
      </c>
      <c r="P15" s="6" t="s">
        <v>707</v>
      </c>
      <c r="Q15" s="6" t="s">
        <v>722</v>
      </c>
      <c r="R15" s="6" t="s">
        <v>728</v>
      </c>
      <c r="S15" s="6" t="s">
        <v>747</v>
      </c>
      <c r="T15" s="8">
        <v>643.53</v>
      </c>
      <c r="U15" s="8">
        <v>1439.01</v>
      </c>
      <c r="V15" s="8">
        <f t="shared" si="2"/>
        <v>0</v>
      </c>
      <c r="W15" s="8">
        <v>0</v>
      </c>
      <c r="X15" s="10">
        <f>IF(Table2[[#This Row],[DiscountPct]]&gt;0.2,1,0)</f>
        <v>0</v>
      </c>
      <c r="Y15" s="10">
        <v>15</v>
      </c>
      <c r="Z15" s="30">
        <f>Table2[[#This Row],[UnitPrice]]*Y15*(1-V15)</f>
        <v>21585.15</v>
      </c>
      <c r="AA15" s="2">
        <f>T15*Y15</f>
        <v>9652.9499999999989</v>
      </c>
      <c r="AB15" s="2">
        <f t="shared" si="3"/>
        <v>11932.200000000003</v>
      </c>
      <c r="AC15" s="2">
        <f t="shared" si="4"/>
        <v>0.55279671440782208</v>
      </c>
      <c r="AD15" s="2" t="e">
        <f>_xlfn.PERCENTILE.INC(S:S, 0.33)</f>
        <v>#NUM!</v>
      </c>
      <c r="AE15" s="2" t="e">
        <f>_xlfn.PERCENTILE.INC(S:S, 0.66)</f>
        <v>#NUM!</v>
      </c>
      <c r="AF15" s="30" t="e">
        <f t="shared" si="5"/>
        <v>#NUM!</v>
      </c>
    </row>
    <row r="16" spans="1:33" x14ac:dyDescent="0.3">
      <c r="A16" s="31" t="s">
        <v>29</v>
      </c>
      <c r="B16" s="32">
        <v>45901</v>
      </c>
      <c r="C16" s="47">
        <f>EOMONTH(Table2[[#This Row],[OrderDate]],-1)+1</f>
        <v>45901</v>
      </c>
      <c r="D16" s="45">
        <f>EOMONTH(_xlfn.MINIFS(B16:B646,M16:M646,Table2[[#This Row],[Country]]), -1) + 1</f>
        <v>44927</v>
      </c>
      <c r="E16" s="47"/>
      <c r="F16" s="32" t="str">
        <f>"Q"&amp;ROUNDUP(MONTH(B16)/3,0)&amp;"-"&amp;YEAR(B16)</f>
        <v>Q3-2025</v>
      </c>
      <c r="G16" s="32">
        <v>45930</v>
      </c>
      <c r="H16" s="32">
        <f>IF(G16&lt;B16, B16+3, G16)</f>
        <v>45930</v>
      </c>
      <c r="I16" s="33">
        <f>H16-B16</f>
        <v>29</v>
      </c>
      <c r="J16" s="33">
        <f t="shared" si="0"/>
        <v>0</v>
      </c>
      <c r="K16" s="33">
        <f t="shared" si="1"/>
        <v>0</v>
      </c>
      <c r="L16" s="34" t="s">
        <v>648</v>
      </c>
      <c r="M16" s="34" t="s">
        <v>655</v>
      </c>
      <c r="N16" s="34" t="s">
        <v>672</v>
      </c>
      <c r="O16" s="34" t="s">
        <v>702</v>
      </c>
      <c r="P16" s="34" t="s">
        <v>707</v>
      </c>
      <c r="Q16" s="34" t="s">
        <v>723</v>
      </c>
      <c r="R16" s="34" t="s">
        <v>733</v>
      </c>
      <c r="S16" s="34" t="s">
        <v>748</v>
      </c>
      <c r="T16" s="35">
        <v>780.59</v>
      </c>
      <c r="U16" s="35">
        <v>631.57000000000005</v>
      </c>
      <c r="V16" s="35">
        <f t="shared" si="2"/>
        <v>0</v>
      </c>
      <c r="W16" s="35">
        <v>0</v>
      </c>
      <c r="X16" s="33">
        <f>IF(Table2[[#This Row],[DiscountPct]]&gt;0.2,1,0)</f>
        <v>0</v>
      </c>
      <c r="Y16" s="33">
        <v>12</v>
      </c>
      <c r="Z16" s="30">
        <f>Table2[[#This Row],[UnitPrice]]*Y16*(1-V16)</f>
        <v>7578.84</v>
      </c>
      <c r="AA16" s="31">
        <f>T16*Y16</f>
        <v>9367.08</v>
      </c>
      <c r="AB16" s="31">
        <f t="shared" si="3"/>
        <v>-1788.2399999999998</v>
      </c>
      <c r="AC16" s="31">
        <f t="shared" si="4"/>
        <v>-0.23595167598207639</v>
      </c>
      <c r="AD16" s="31" t="e">
        <f>_xlfn.PERCENTILE.INC(S:S, 0.33)</f>
        <v>#NUM!</v>
      </c>
      <c r="AE16" s="31" t="e">
        <f>_xlfn.PERCENTILE.INC(S:S, 0.66)</f>
        <v>#NUM!</v>
      </c>
      <c r="AF16" s="30" t="e">
        <f t="shared" si="5"/>
        <v>#NUM!</v>
      </c>
    </row>
    <row r="17" spans="1:32" x14ac:dyDescent="0.3">
      <c r="A17" s="2" t="s">
        <v>30</v>
      </c>
      <c r="B17" s="4">
        <v>45039</v>
      </c>
      <c r="C17" s="46">
        <f>EOMONTH(Table2[[#This Row],[OrderDate]],-1)+1</f>
        <v>45017</v>
      </c>
      <c r="D17" s="45">
        <f>EOMONTH(_xlfn.MINIFS(B17:B647,M17:M647,Table2[[#This Row],[Country]]), -1) + 1</f>
        <v>44927</v>
      </c>
      <c r="E17" s="46"/>
      <c r="F17" s="4" t="str">
        <f>"Q"&amp;ROUNDUP(MONTH(B17)/3,0)&amp;"-"&amp;YEAR(B17)</f>
        <v>Q2-2023</v>
      </c>
      <c r="G17" s="4">
        <v>45038</v>
      </c>
      <c r="H17" s="4">
        <f>IF(G17&lt;B17, B17+3, G17)</f>
        <v>45042</v>
      </c>
      <c r="I17" s="10">
        <f>H17-B17</f>
        <v>3</v>
      </c>
      <c r="J17" s="10">
        <f t="shared" si="0"/>
        <v>1</v>
      </c>
      <c r="K17" s="10">
        <f t="shared" si="1"/>
        <v>1</v>
      </c>
      <c r="L17" s="6" t="s">
        <v>646</v>
      </c>
      <c r="M17" s="6" t="s">
        <v>650</v>
      </c>
      <c r="N17" s="6" t="s">
        <v>664</v>
      </c>
      <c r="O17" s="6" t="s">
        <v>705</v>
      </c>
      <c r="P17" s="6" t="s">
        <v>711</v>
      </c>
      <c r="Q17" s="6" t="s">
        <v>718</v>
      </c>
      <c r="R17" s="6" t="s">
        <v>731</v>
      </c>
      <c r="S17" s="6" t="s">
        <v>749</v>
      </c>
      <c r="T17" s="8">
        <v>756.51</v>
      </c>
      <c r="U17" s="8">
        <v>850.8</v>
      </c>
      <c r="V17" s="8">
        <f t="shared" si="2"/>
        <v>7.3999999999999996E-2</v>
      </c>
      <c r="W17" s="8">
        <v>7.3999999999999996E-2</v>
      </c>
      <c r="X17" s="10">
        <f>IF(Table2[[#This Row],[DiscountPct]]&gt;0.2,1,0)</f>
        <v>0</v>
      </c>
      <c r="Y17" s="10">
        <v>9</v>
      </c>
      <c r="Z17" s="30">
        <f>Table2[[#This Row],[UnitPrice]]*Y17*(1-V17)</f>
        <v>7090.5672000000004</v>
      </c>
      <c r="AA17" s="2">
        <f>T17*Y17</f>
        <v>6808.59</v>
      </c>
      <c r="AB17" s="2">
        <f t="shared" si="3"/>
        <v>281.97720000000027</v>
      </c>
      <c r="AC17" s="2">
        <f t="shared" si="4"/>
        <v>3.9767932810791252E-2</v>
      </c>
      <c r="AD17" s="2" t="e">
        <f>_xlfn.PERCENTILE.INC(S:S, 0.33)</f>
        <v>#NUM!</v>
      </c>
      <c r="AE17" s="2" t="e">
        <f>_xlfn.PERCENTILE.INC(S:S, 0.66)</f>
        <v>#NUM!</v>
      </c>
      <c r="AF17" s="30" t="e">
        <f t="shared" si="5"/>
        <v>#NUM!</v>
      </c>
    </row>
    <row r="18" spans="1:32" x14ac:dyDescent="0.3">
      <c r="A18" s="31" t="s">
        <v>31</v>
      </c>
      <c r="B18" s="32">
        <v>45636</v>
      </c>
      <c r="C18" s="47">
        <f>EOMONTH(Table2[[#This Row],[OrderDate]],-1)+1</f>
        <v>45627</v>
      </c>
      <c r="D18" s="45">
        <f>EOMONTH(_xlfn.MINIFS(B18:B648,M18:M648,Table2[[#This Row],[Country]]), -1) + 1</f>
        <v>44927</v>
      </c>
      <c r="E18" s="47"/>
      <c r="F18" s="32" t="str">
        <f>"Q"&amp;ROUNDUP(MONTH(B18)/3,0)&amp;"-"&amp;YEAR(B18)</f>
        <v>Q4-2024</v>
      </c>
      <c r="G18" s="32">
        <v>45665</v>
      </c>
      <c r="H18" s="32">
        <f>IF(G18&lt;B18, B18+3, G18)</f>
        <v>45665</v>
      </c>
      <c r="I18" s="33">
        <f>H18-B18</f>
        <v>29</v>
      </c>
      <c r="J18" s="33">
        <f t="shared" si="0"/>
        <v>0</v>
      </c>
      <c r="K18" s="33">
        <f t="shared" si="1"/>
        <v>0</v>
      </c>
      <c r="L18" s="34" t="s">
        <v>649</v>
      </c>
      <c r="M18" s="34" t="s">
        <v>657</v>
      </c>
      <c r="N18" s="34" t="s">
        <v>673</v>
      </c>
      <c r="O18" s="34" t="s">
        <v>705</v>
      </c>
      <c r="P18" s="34" t="s">
        <v>707</v>
      </c>
      <c r="Q18" s="34" t="s">
        <v>723</v>
      </c>
      <c r="R18" s="34" t="s">
        <v>728</v>
      </c>
      <c r="S18" s="34" t="s">
        <v>750</v>
      </c>
      <c r="T18" s="35">
        <v>891.08</v>
      </c>
      <c r="U18" s="35">
        <v>1040.0999999999999</v>
      </c>
      <c r="V18" s="35">
        <f t="shared" si="2"/>
        <v>0.109</v>
      </c>
      <c r="W18" s="35">
        <v>0.109</v>
      </c>
      <c r="X18" s="33">
        <f>IF(Table2[[#This Row],[DiscountPct]]&gt;0.2,1,0)</f>
        <v>0</v>
      </c>
      <c r="Y18" s="33">
        <v>28</v>
      </c>
      <c r="Z18" s="30">
        <f>Table2[[#This Row],[UnitPrice]]*Y18*(1-V18)</f>
        <v>25948.414799999995</v>
      </c>
      <c r="AA18" s="31">
        <f>T18*Y18</f>
        <v>24950.240000000002</v>
      </c>
      <c r="AB18" s="31">
        <f t="shared" si="3"/>
        <v>998.17479999999341</v>
      </c>
      <c r="AC18" s="31">
        <f t="shared" si="4"/>
        <v>3.8467660074556598E-2</v>
      </c>
      <c r="AD18" s="31" t="e">
        <f>_xlfn.PERCENTILE.INC(S:S, 0.33)</f>
        <v>#NUM!</v>
      </c>
      <c r="AE18" s="31" t="e">
        <f>_xlfn.PERCENTILE.INC(S:S, 0.66)</f>
        <v>#NUM!</v>
      </c>
      <c r="AF18" s="30" t="e">
        <f t="shared" si="5"/>
        <v>#NUM!</v>
      </c>
    </row>
    <row r="19" spans="1:32" x14ac:dyDescent="0.3">
      <c r="A19" s="2" t="s">
        <v>32</v>
      </c>
      <c r="B19" s="4">
        <v>45908</v>
      </c>
      <c r="C19" s="46">
        <f>EOMONTH(Table2[[#This Row],[OrderDate]],-1)+1</f>
        <v>45901</v>
      </c>
      <c r="D19" s="45">
        <f>EOMONTH(_xlfn.MINIFS(B19:B649,M19:M649,Table2[[#This Row],[Country]]), -1) + 1</f>
        <v>44986</v>
      </c>
      <c r="E19" s="46"/>
      <c r="F19" s="4" t="str">
        <f>"Q"&amp;ROUNDUP(MONTH(B19)/3,0)&amp;"-"&amp;YEAR(B19)</f>
        <v>Q3-2025</v>
      </c>
      <c r="G19" s="4">
        <v>45916</v>
      </c>
      <c r="H19" s="4">
        <f>IF(G19&lt;B19, B19+3, G19)</f>
        <v>45916</v>
      </c>
      <c r="I19" s="10">
        <f>H19-B19</f>
        <v>8</v>
      </c>
      <c r="J19" s="10">
        <f t="shared" si="0"/>
        <v>0</v>
      </c>
      <c r="K19" s="10">
        <f t="shared" si="1"/>
        <v>0</v>
      </c>
      <c r="L19" s="6" t="s">
        <v>647</v>
      </c>
      <c r="M19" s="6" t="s">
        <v>652</v>
      </c>
      <c r="N19" s="6" t="s">
        <v>666</v>
      </c>
      <c r="O19" s="6" t="s">
        <v>701</v>
      </c>
      <c r="P19" s="6" t="s">
        <v>710</v>
      </c>
      <c r="Q19" s="6" t="s">
        <v>712</v>
      </c>
      <c r="R19" s="6" t="s">
        <v>730</v>
      </c>
      <c r="S19" s="6" t="s">
        <v>751</v>
      </c>
      <c r="T19" s="8">
        <v>1225.57</v>
      </c>
      <c r="U19" s="8">
        <v>2705.57</v>
      </c>
      <c r="V19" s="8">
        <f t="shared" si="2"/>
        <v>0.183</v>
      </c>
      <c r="W19" s="8">
        <v>0.183</v>
      </c>
      <c r="X19" s="10">
        <f>IF(Table2[[#This Row],[DiscountPct]]&gt;0.2,1,0)</f>
        <v>0</v>
      </c>
      <c r="Y19" s="10">
        <v>16</v>
      </c>
      <c r="Z19" s="30">
        <f>Table2[[#This Row],[UnitPrice]]*Y19*(1-V19)</f>
        <v>35367.211040000002</v>
      </c>
      <c r="AA19" s="2">
        <f>T19*Y19</f>
        <v>19609.12</v>
      </c>
      <c r="AB19" s="2">
        <f t="shared" si="3"/>
        <v>15758.091040000003</v>
      </c>
      <c r="AC19" s="2">
        <f t="shared" si="4"/>
        <v>0.44555650775453404</v>
      </c>
      <c r="AD19" s="2" t="e">
        <f>_xlfn.PERCENTILE.INC(S:S, 0.33)</f>
        <v>#NUM!</v>
      </c>
      <c r="AE19" s="2" t="e">
        <f>_xlfn.PERCENTILE.INC(S:S, 0.66)</f>
        <v>#NUM!</v>
      </c>
      <c r="AF19" s="30" t="e">
        <f t="shared" si="5"/>
        <v>#NUM!</v>
      </c>
    </row>
    <row r="20" spans="1:32" x14ac:dyDescent="0.3">
      <c r="A20" s="31" t="s">
        <v>33</v>
      </c>
      <c r="B20" s="32">
        <v>45858</v>
      </c>
      <c r="C20" s="47">
        <f>EOMONTH(Table2[[#This Row],[OrderDate]],-1)+1</f>
        <v>45839</v>
      </c>
      <c r="D20" s="45">
        <f>EOMONTH(_xlfn.MINIFS(B20:B650,M20:M650,Table2[[#This Row],[Country]]), -1) + 1</f>
        <v>44927</v>
      </c>
      <c r="E20" s="47"/>
      <c r="F20" s="32" t="str">
        <f>"Q"&amp;ROUNDUP(MONTH(B20)/3,0)&amp;"-"&amp;YEAR(B20)</f>
        <v>Q3-2025</v>
      </c>
      <c r="G20" s="32">
        <v>45874</v>
      </c>
      <c r="H20" s="32">
        <f>IF(G20&lt;B20, B20+3, G20)</f>
        <v>45874</v>
      </c>
      <c r="I20" s="33">
        <f>H20-B20</f>
        <v>16</v>
      </c>
      <c r="J20" s="33">
        <f t="shared" si="0"/>
        <v>0</v>
      </c>
      <c r="K20" s="33">
        <f t="shared" si="1"/>
        <v>0</v>
      </c>
      <c r="L20" s="34" t="s">
        <v>648</v>
      </c>
      <c r="M20" s="34" t="s">
        <v>655</v>
      </c>
      <c r="N20" s="34" t="s">
        <v>672</v>
      </c>
      <c r="O20" s="34" t="s">
        <v>706</v>
      </c>
      <c r="P20" s="34" t="s">
        <v>709</v>
      </c>
      <c r="Q20" s="34" t="s">
        <v>715</v>
      </c>
      <c r="R20" s="34" t="s">
        <v>733</v>
      </c>
      <c r="S20" s="34" t="s">
        <v>752</v>
      </c>
      <c r="T20" s="35">
        <v>1068.17</v>
      </c>
      <c r="U20" s="35">
        <v>2375.37</v>
      </c>
      <c r="V20" s="35">
        <f t="shared" si="2"/>
        <v>0.109</v>
      </c>
      <c r="W20" s="35">
        <v>0.109</v>
      </c>
      <c r="X20" s="33">
        <f>IF(Table2[[#This Row],[DiscountPct]]&gt;0.2,1,0)</f>
        <v>0</v>
      </c>
      <c r="Y20" s="33">
        <v>18</v>
      </c>
      <c r="Z20" s="30">
        <f>Table2[[#This Row],[UnitPrice]]*Y20*(1-V20)</f>
        <v>38096.18406</v>
      </c>
      <c r="AA20" s="31">
        <f>T20*Y20</f>
        <v>19227.060000000001</v>
      </c>
      <c r="AB20" s="31">
        <f t="shared" si="3"/>
        <v>18869.124059999998</v>
      </c>
      <c r="AC20" s="31">
        <f t="shared" si="4"/>
        <v>0.49530220744108822</v>
      </c>
      <c r="AD20" s="31" t="e">
        <f>_xlfn.PERCENTILE.INC(S:S, 0.33)</f>
        <v>#NUM!</v>
      </c>
      <c r="AE20" s="31" t="e">
        <f>_xlfn.PERCENTILE.INC(S:S, 0.66)</f>
        <v>#NUM!</v>
      </c>
      <c r="AF20" s="30" t="e">
        <f t="shared" si="5"/>
        <v>#NUM!</v>
      </c>
    </row>
    <row r="21" spans="1:32" x14ac:dyDescent="0.3">
      <c r="A21" s="2" t="s">
        <v>34</v>
      </c>
      <c r="B21" s="4">
        <v>45798</v>
      </c>
      <c r="C21" s="46">
        <f>EOMONTH(Table2[[#This Row],[OrderDate]],-1)+1</f>
        <v>45778</v>
      </c>
      <c r="D21" s="45">
        <f>EOMONTH(_xlfn.MINIFS(B21:B651,M21:M651,Table2[[#This Row],[Country]]), -1) + 1</f>
        <v>44927</v>
      </c>
      <c r="E21" s="46"/>
      <c r="F21" s="4" t="str">
        <f>"Q"&amp;ROUNDUP(MONTH(B21)/3,0)&amp;"-"&amp;YEAR(B21)</f>
        <v>Q2-2025</v>
      </c>
      <c r="G21" s="4">
        <v>45796</v>
      </c>
      <c r="H21" s="4">
        <f>IF(G21&lt;B21, B21+3, G21)</f>
        <v>45801</v>
      </c>
      <c r="I21" s="10">
        <f>H21-B21</f>
        <v>3</v>
      </c>
      <c r="J21" s="10">
        <f t="shared" si="0"/>
        <v>1</v>
      </c>
      <c r="K21" s="10">
        <f t="shared" si="1"/>
        <v>1</v>
      </c>
      <c r="L21" s="6" t="s">
        <v>649</v>
      </c>
      <c r="M21" s="6" t="s">
        <v>658</v>
      </c>
      <c r="N21" s="6" t="s">
        <v>674</v>
      </c>
      <c r="O21" s="6" t="s">
        <v>706</v>
      </c>
      <c r="P21" s="6" t="s">
        <v>708</v>
      </c>
      <c r="Q21" s="6" t="s">
        <v>724</v>
      </c>
      <c r="R21" s="6" t="s">
        <v>731</v>
      </c>
      <c r="S21" s="6" t="s">
        <v>753</v>
      </c>
      <c r="T21" s="8">
        <v>1015.16</v>
      </c>
      <c r="U21" s="8">
        <v>2148.14</v>
      </c>
      <c r="V21" s="8">
        <f t="shared" si="2"/>
        <v>3.7999999999999999E-2</v>
      </c>
      <c r="W21" s="8">
        <v>3.7999999999999999E-2</v>
      </c>
      <c r="X21" s="10">
        <f>IF(Table2[[#This Row],[DiscountPct]]&gt;0.2,1,0)</f>
        <v>0</v>
      </c>
      <c r="Y21" s="10">
        <v>19</v>
      </c>
      <c r="Z21" s="30">
        <f>Table2[[#This Row],[UnitPrice]]*Y21*(1-V21)</f>
        <v>39263.702919999996</v>
      </c>
      <c r="AA21" s="2">
        <f>T21*Y21</f>
        <v>19288.04</v>
      </c>
      <c r="AB21" s="2">
        <f t="shared" si="3"/>
        <v>19975.662919999995</v>
      </c>
      <c r="AC21" s="2">
        <f t="shared" si="4"/>
        <v>0.50875647059322227</v>
      </c>
      <c r="AD21" s="2" t="e">
        <f>_xlfn.PERCENTILE.INC(S:S, 0.33)</f>
        <v>#NUM!</v>
      </c>
      <c r="AE21" s="2" t="e">
        <f>_xlfn.PERCENTILE.INC(S:S, 0.66)</f>
        <v>#NUM!</v>
      </c>
      <c r="AF21" s="30" t="e">
        <f t="shared" si="5"/>
        <v>#NUM!</v>
      </c>
    </row>
    <row r="22" spans="1:32" x14ac:dyDescent="0.3">
      <c r="A22" s="31" t="s">
        <v>35</v>
      </c>
      <c r="B22" s="32">
        <v>45498</v>
      </c>
      <c r="C22" s="47">
        <f>EOMONTH(Table2[[#This Row],[OrderDate]],-1)+1</f>
        <v>45474</v>
      </c>
      <c r="D22" s="45">
        <f>EOMONTH(_xlfn.MINIFS(B22:B652,M22:M652,Table2[[#This Row],[Country]]), -1) + 1</f>
        <v>44927</v>
      </c>
      <c r="E22" s="47"/>
      <c r="F22" s="32" t="str">
        <f>"Q"&amp;ROUNDUP(MONTH(B22)/3,0)&amp;"-"&amp;YEAR(B22)</f>
        <v>Q3-2024</v>
      </c>
      <c r="G22" s="32">
        <v>45497</v>
      </c>
      <c r="H22" s="32">
        <f>IF(G22&lt;B22, B22+3, G22)</f>
        <v>45501</v>
      </c>
      <c r="I22" s="33">
        <f>H22-B22</f>
        <v>3</v>
      </c>
      <c r="J22" s="33">
        <f t="shared" si="0"/>
        <v>1</v>
      </c>
      <c r="K22" s="33">
        <f t="shared" si="1"/>
        <v>1</v>
      </c>
      <c r="L22" s="34" t="s">
        <v>646</v>
      </c>
      <c r="M22" s="34" t="s">
        <v>650</v>
      </c>
      <c r="N22" s="34" t="s">
        <v>675</v>
      </c>
      <c r="O22" s="34" t="s">
        <v>703</v>
      </c>
      <c r="P22" s="34" t="s">
        <v>711</v>
      </c>
      <c r="Q22" s="34" t="s">
        <v>713</v>
      </c>
      <c r="R22" s="34" t="s">
        <v>731</v>
      </c>
      <c r="S22" s="34" t="s">
        <v>754</v>
      </c>
      <c r="T22" s="35">
        <v>1494.4</v>
      </c>
      <c r="U22" s="35">
        <v>3661.07</v>
      </c>
      <c r="V22" s="35">
        <f t="shared" si="2"/>
        <v>7.1999999999999995E-2</v>
      </c>
      <c r="W22" s="35">
        <v>7.1999999999999995E-2</v>
      </c>
      <c r="X22" s="33">
        <f>IF(Table2[[#This Row],[DiscountPct]]&gt;0.2,1,0)</f>
        <v>0</v>
      </c>
      <c r="Y22" s="33">
        <v>7</v>
      </c>
      <c r="Z22" s="30">
        <f>Table2[[#This Row],[UnitPrice]]*Y22*(1-V22)</f>
        <v>23782.310720000001</v>
      </c>
      <c r="AA22" s="31">
        <f>T22*Y22</f>
        <v>10460.800000000001</v>
      </c>
      <c r="AB22" s="31">
        <f t="shared" si="3"/>
        <v>13321.51072</v>
      </c>
      <c r="AC22" s="31">
        <f t="shared" si="4"/>
        <v>0.56014366630897339</v>
      </c>
      <c r="AD22" s="31" t="e">
        <f>_xlfn.PERCENTILE.INC(S:S, 0.33)</f>
        <v>#NUM!</v>
      </c>
      <c r="AE22" s="31" t="e">
        <f>_xlfn.PERCENTILE.INC(S:S, 0.66)</f>
        <v>#NUM!</v>
      </c>
      <c r="AF22" s="30" t="e">
        <f t="shared" si="5"/>
        <v>#NUM!</v>
      </c>
    </row>
    <row r="23" spans="1:32" x14ac:dyDescent="0.3">
      <c r="A23" s="2" t="s">
        <v>36</v>
      </c>
      <c r="B23" s="4">
        <v>45057</v>
      </c>
      <c r="C23" s="46">
        <f>EOMONTH(Table2[[#This Row],[OrderDate]],-1)+1</f>
        <v>45047</v>
      </c>
      <c r="D23" s="45">
        <f>EOMONTH(_xlfn.MINIFS(B23:B653,M23:M653,Table2[[#This Row],[Country]]), -1) + 1</f>
        <v>44927</v>
      </c>
      <c r="E23" s="46"/>
      <c r="F23" s="4" t="str">
        <f>"Q"&amp;ROUNDUP(MONTH(B23)/3,0)&amp;"-"&amp;YEAR(B23)</f>
        <v>Q2-2023</v>
      </c>
      <c r="G23" s="4">
        <v>45074</v>
      </c>
      <c r="H23" s="4">
        <f>IF(G23&lt;B23, B23+3, G23)</f>
        <v>45074</v>
      </c>
      <c r="I23" s="10">
        <f>H23-B23</f>
        <v>17</v>
      </c>
      <c r="J23" s="10">
        <f t="shared" si="0"/>
        <v>0</v>
      </c>
      <c r="K23" s="10">
        <f t="shared" si="1"/>
        <v>0</v>
      </c>
      <c r="L23" s="6" t="s">
        <v>647</v>
      </c>
      <c r="M23" s="6" t="s">
        <v>659</v>
      </c>
      <c r="N23" s="6" t="s">
        <v>676</v>
      </c>
      <c r="O23" s="6" t="s">
        <v>706</v>
      </c>
      <c r="P23" s="6" t="s">
        <v>709</v>
      </c>
      <c r="Q23" s="6" t="s">
        <v>718</v>
      </c>
      <c r="R23" s="6" t="s">
        <v>729</v>
      </c>
      <c r="S23" s="6" t="s">
        <v>755</v>
      </c>
      <c r="T23" s="8">
        <v>1331.19</v>
      </c>
      <c r="U23" s="8">
        <v>2903.09</v>
      </c>
      <c r="V23" s="8">
        <f t="shared" si="2"/>
        <v>0.14299999999999999</v>
      </c>
      <c r="W23" s="8">
        <v>0.14299999999999999</v>
      </c>
      <c r="X23" s="10">
        <f>IF(Table2[[#This Row],[DiscountPct]]&gt;0.2,1,0)</f>
        <v>0</v>
      </c>
      <c r="Y23" s="10">
        <v>8</v>
      </c>
      <c r="Z23" s="30">
        <f>Table2[[#This Row],[UnitPrice]]*Y23*(1-V23)</f>
        <v>19903.585040000002</v>
      </c>
      <c r="AA23" s="2">
        <f>T23*Y23</f>
        <v>10649.52</v>
      </c>
      <c r="AB23" s="2">
        <f t="shared" si="3"/>
        <v>9254.0650400000013</v>
      </c>
      <c r="AC23" s="2">
        <f t="shared" si="4"/>
        <v>0.46494463290920784</v>
      </c>
      <c r="AD23" s="2" t="e">
        <f>_xlfn.PERCENTILE.INC(S:S, 0.33)</f>
        <v>#NUM!</v>
      </c>
      <c r="AE23" s="2" t="e">
        <f>_xlfn.PERCENTILE.INC(S:S, 0.66)</f>
        <v>#NUM!</v>
      </c>
      <c r="AF23" s="30" t="e">
        <f t="shared" si="5"/>
        <v>#NUM!</v>
      </c>
    </row>
    <row r="24" spans="1:32" x14ac:dyDescent="0.3">
      <c r="A24" s="31" t="s">
        <v>37</v>
      </c>
      <c r="B24" s="32">
        <v>45822</v>
      </c>
      <c r="C24" s="47">
        <f>EOMONTH(Table2[[#This Row],[OrderDate]],-1)+1</f>
        <v>45809</v>
      </c>
      <c r="D24" s="45">
        <f>EOMONTH(_xlfn.MINIFS(B24:B654,M24:M654,Table2[[#This Row],[Country]]), -1) + 1</f>
        <v>44958</v>
      </c>
      <c r="E24" s="47"/>
      <c r="F24" s="32" t="str">
        <f>"Q"&amp;ROUNDUP(MONTH(B24)/3,0)&amp;"-"&amp;YEAR(B24)</f>
        <v>Q2-2025</v>
      </c>
      <c r="G24" s="32">
        <v>45837</v>
      </c>
      <c r="H24" s="32">
        <f>IF(G24&lt;B24, B24+3, G24)</f>
        <v>45837</v>
      </c>
      <c r="I24" s="33">
        <f>H24-B24</f>
        <v>15</v>
      </c>
      <c r="J24" s="33">
        <f t="shared" si="0"/>
        <v>0</v>
      </c>
      <c r="K24" s="33">
        <f t="shared" si="1"/>
        <v>0</v>
      </c>
      <c r="L24" s="34" t="s">
        <v>646</v>
      </c>
      <c r="M24" s="34" t="s">
        <v>651</v>
      </c>
      <c r="N24" s="34" t="s">
        <v>663</v>
      </c>
      <c r="O24" s="34" t="s">
        <v>704</v>
      </c>
      <c r="P24" s="34" t="s">
        <v>709</v>
      </c>
      <c r="Q24" s="34" t="s">
        <v>724</v>
      </c>
      <c r="R24" s="34" t="s">
        <v>733</v>
      </c>
      <c r="S24" s="34" t="s">
        <v>756</v>
      </c>
      <c r="T24" s="35">
        <v>730.99</v>
      </c>
      <c r="U24" s="35">
        <v>1242.8399999999999</v>
      </c>
      <c r="V24" s="35">
        <f t="shared" si="2"/>
        <v>0.12</v>
      </c>
      <c r="W24" s="35">
        <v>0.12</v>
      </c>
      <c r="X24" s="33">
        <f>IF(Table2[[#This Row],[DiscountPct]]&gt;0.2,1,0)</f>
        <v>0</v>
      </c>
      <c r="Y24" s="33">
        <v>10</v>
      </c>
      <c r="Z24" s="30">
        <f>Table2[[#This Row],[UnitPrice]]*Y24*(1-V24)</f>
        <v>10936.992</v>
      </c>
      <c r="AA24" s="31">
        <f>T24*Y24</f>
        <v>7309.9</v>
      </c>
      <c r="AB24" s="31">
        <f t="shared" si="3"/>
        <v>3627.0920000000006</v>
      </c>
      <c r="AC24" s="31">
        <f t="shared" si="4"/>
        <v>0.33163524303574515</v>
      </c>
      <c r="AD24" s="31" t="e">
        <f>_xlfn.PERCENTILE.INC(S:S, 0.33)</f>
        <v>#NUM!</v>
      </c>
      <c r="AE24" s="31" t="e">
        <f>_xlfn.PERCENTILE.INC(S:S, 0.66)</f>
        <v>#NUM!</v>
      </c>
      <c r="AF24" s="30" t="e">
        <f t="shared" si="5"/>
        <v>#NUM!</v>
      </c>
    </row>
    <row r="25" spans="1:32" x14ac:dyDescent="0.3">
      <c r="A25" s="2" t="s">
        <v>38</v>
      </c>
      <c r="B25" s="4">
        <v>45430</v>
      </c>
      <c r="C25" s="46">
        <f>EOMONTH(Table2[[#This Row],[OrderDate]],-1)+1</f>
        <v>45413</v>
      </c>
      <c r="D25" s="45">
        <f>EOMONTH(_xlfn.MINIFS(B25:B655,M25:M655,Table2[[#This Row],[Country]]), -1) + 1</f>
        <v>44927</v>
      </c>
      <c r="E25" s="46"/>
      <c r="F25" s="4" t="str">
        <f>"Q"&amp;ROUNDUP(MONTH(B25)/3,0)&amp;"-"&amp;YEAR(B25)</f>
        <v>Q2-2024</v>
      </c>
      <c r="G25" s="4">
        <v>45435</v>
      </c>
      <c r="H25" s="4">
        <f>IF(G25&lt;B25, B25+3, G25)</f>
        <v>45435</v>
      </c>
      <c r="I25" s="10">
        <f>H25-B25</f>
        <v>5</v>
      </c>
      <c r="J25" s="10">
        <f t="shared" si="0"/>
        <v>1</v>
      </c>
      <c r="K25" s="10">
        <f t="shared" si="1"/>
        <v>1</v>
      </c>
      <c r="L25" s="6" t="s">
        <v>648</v>
      </c>
      <c r="M25" s="6" t="s">
        <v>660</v>
      </c>
      <c r="N25" s="6" t="s">
        <v>677</v>
      </c>
      <c r="O25" s="6" t="s">
        <v>706</v>
      </c>
      <c r="P25" s="6" t="s">
        <v>707</v>
      </c>
      <c r="Q25" s="6" t="s">
        <v>722</v>
      </c>
      <c r="R25" s="6" t="s">
        <v>731</v>
      </c>
      <c r="S25" s="6" t="s">
        <v>757</v>
      </c>
      <c r="T25" s="8">
        <v>1274.5899999999999</v>
      </c>
      <c r="U25" s="8">
        <v>2553.69</v>
      </c>
      <c r="V25" s="8">
        <f t="shared" si="2"/>
        <v>0.01</v>
      </c>
      <c r="W25" s="8">
        <v>0.01</v>
      </c>
      <c r="X25" s="10">
        <f>IF(Table2[[#This Row],[DiscountPct]]&gt;0.2,1,0)</f>
        <v>0</v>
      </c>
      <c r="Y25" s="10">
        <v>8</v>
      </c>
      <c r="Z25" s="30">
        <f>Table2[[#This Row],[UnitPrice]]*Y25*(1-V25)</f>
        <v>20225.2248</v>
      </c>
      <c r="AA25" s="2">
        <f>T25*Y25</f>
        <v>10196.719999999999</v>
      </c>
      <c r="AB25" s="2">
        <f t="shared" si="3"/>
        <v>10028.504800000001</v>
      </c>
      <c r="AC25" s="2">
        <f t="shared" si="4"/>
        <v>0.49584145042481803</v>
      </c>
      <c r="AD25" s="2" t="e">
        <f>_xlfn.PERCENTILE.INC(S:S, 0.33)</f>
        <v>#NUM!</v>
      </c>
      <c r="AE25" s="2" t="e">
        <f>_xlfn.PERCENTILE.INC(S:S, 0.66)</f>
        <v>#NUM!</v>
      </c>
      <c r="AF25" s="30" t="e">
        <f t="shared" si="5"/>
        <v>#NUM!</v>
      </c>
    </row>
    <row r="26" spans="1:32" x14ac:dyDescent="0.3">
      <c r="A26" s="31" t="s">
        <v>39</v>
      </c>
      <c r="B26" s="32">
        <v>44964</v>
      </c>
      <c r="C26" s="47">
        <f>EOMONTH(Table2[[#This Row],[OrderDate]],-1)+1</f>
        <v>44958</v>
      </c>
      <c r="D26" s="45">
        <f>EOMONTH(_xlfn.MINIFS(B26:B656,M26:M656,Table2[[#This Row],[Country]]), -1) + 1</f>
        <v>44927</v>
      </c>
      <c r="E26" s="47"/>
      <c r="F26" s="32" t="str">
        <f>"Q"&amp;ROUNDUP(MONTH(B26)/3,0)&amp;"-"&amp;YEAR(B26)</f>
        <v>Q1-2023</v>
      </c>
      <c r="G26" s="32">
        <v>44969</v>
      </c>
      <c r="H26" s="32">
        <f>IF(G26&lt;B26, B26+3, G26)</f>
        <v>44969</v>
      </c>
      <c r="I26" s="33">
        <f>H26-B26</f>
        <v>5</v>
      </c>
      <c r="J26" s="33">
        <f t="shared" si="0"/>
        <v>1</v>
      </c>
      <c r="K26" s="33">
        <f t="shared" si="1"/>
        <v>1</v>
      </c>
      <c r="L26" s="34" t="s">
        <v>648</v>
      </c>
      <c r="M26" s="34" t="s">
        <v>655</v>
      </c>
      <c r="N26" s="34" t="s">
        <v>670</v>
      </c>
      <c r="O26" s="34" t="s">
        <v>702</v>
      </c>
      <c r="P26" s="34" t="s">
        <v>708</v>
      </c>
      <c r="Q26" s="34" t="s">
        <v>725</v>
      </c>
      <c r="R26" s="34" t="s">
        <v>727</v>
      </c>
      <c r="S26" s="34" t="s">
        <v>758</v>
      </c>
      <c r="T26" s="35">
        <v>948.55</v>
      </c>
      <c r="U26" s="35">
        <v>2089.16</v>
      </c>
      <c r="V26" s="35">
        <f t="shared" si="2"/>
        <v>7.0000000000000001E-3</v>
      </c>
      <c r="W26" s="35">
        <v>7.0000000000000001E-3</v>
      </c>
      <c r="X26" s="33">
        <f>IF(Table2[[#This Row],[DiscountPct]]&gt;0.2,1,0)</f>
        <v>0</v>
      </c>
      <c r="Y26" s="33">
        <v>12</v>
      </c>
      <c r="Z26" s="30">
        <f>Table2[[#This Row],[UnitPrice]]*Y26*(1-V26)</f>
        <v>24894.430559999997</v>
      </c>
      <c r="AA26" s="31">
        <f>T26*Y26</f>
        <v>11382.599999999999</v>
      </c>
      <c r="AB26" s="31">
        <f t="shared" si="3"/>
        <v>13511.830559999999</v>
      </c>
      <c r="AC26" s="31">
        <f t="shared" si="4"/>
        <v>0.54276519912492427</v>
      </c>
      <c r="AD26" s="31" t="e">
        <f>_xlfn.PERCENTILE.INC(S:S, 0.33)</f>
        <v>#NUM!</v>
      </c>
      <c r="AE26" s="31" t="e">
        <f>_xlfn.PERCENTILE.INC(S:S, 0.66)</f>
        <v>#NUM!</v>
      </c>
      <c r="AF26" s="30" t="e">
        <f t="shared" si="5"/>
        <v>#NUM!</v>
      </c>
    </row>
    <row r="27" spans="1:32" x14ac:dyDescent="0.3">
      <c r="A27" s="2" t="s">
        <v>40</v>
      </c>
      <c r="B27" s="4">
        <v>45473</v>
      </c>
      <c r="C27" s="46">
        <f>EOMONTH(Table2[[#This Row],[OrderDate]],-1)+1</f>
        <v>45444</v>
      </c>
      <c r="D27" s="45">
        <f>EOMONTH(_xlfn.MINIFS(B27:B657,M27:M657,Table2[[#This Row],[Country]]), -1) + 1</f>
        <v>44927</v>
      </c>
      <c r="E27" s="46"/>
      <c r="F27" s="4" t="str">
        <f>"Q"&amp;ROUNDUP(MONTH(B27)/3,0)&amp;"-"&amp;YEAR(B27)</f>
        <v>Q2-2024</v>
      </c>
      <c r="G27" s="4">
        <v>45487</v>
      </c>
      <c r="H27" s="4">
        <f>IF(G27&lt;B27, B27+3, G27)</f>
        <v>45487</v>
      </c>
      <c r="I27" s="10">
        <f>H27-B27</f>
        <v>14</v>
      </c>
      <c r="J27" s="10">
        <f t="shared" si="0"/>
        <v>0</v>
      </c>
      <c r="K27" s="10">
        <f t="shared" si="1"/>
        <v>0</v>
      </c>
      <c r="L27" s="6" t="s">
        <v>648</v>
      </c>
      <c r="M27" s="6" t="s">
        <v>655</v>
      </c>
      <c r="N27" s="6" t="s">
        <v>672</v>
      </c>
      <c r="O27" s="6" t="s">
        <v>702</v>
      </c>
      <c r="P27" s="6" t="s">
        <v>707</v>
      </c>
      <c r="Q27" s="6" t="s">
        <v>712</v>
      </c>
      <c r="R27" s="6" t="s">
        <v>733</v>
      </c>
      <c r="S27" s="6" t="s">
        <v>759</v>
      </c>
      <c r="T27" s="8">
        <v>1491.85</v>
      </c>
      <c r="U27" s="8">
        <v>2583.02</v>
      </c>
      <c r="V27" s="8">
        <f t="shared" si="2"/>
        <v>0.16800000000000001</v>
      </c>
      <c r="W27" s="8">
        <v>0.16800000000000001</v>
      </c>
      <c r="X27" s="10">
        <f>IF(Table2[[#This Row],[DiscountPct]]&gt;0.2,1,0)</f>
        <v>0</v>
      </c>
      <c r="Y27" s="10">
        <v>4</v>
      </c>
      <c r="Z27" s="30">
        <f>Table2[[#This Row],[UnitPrice]]*Y27*(1-V27)</f>
        <v>8596.2905599999995</v>
      </c>
      <c r="AA27" s="2">
        <f>T27*Y27</f>
        <v>5967.4</v>
      </c>
      <c r="AB27" s="2">
        <f t="shared" si="3"/>
        <v>2628.8905599999998</v>
      </c>
      <c r="AC27" s="2">
        <f t="shared" si="4"/>
        <v>0.30581685689321325</v>
      </c>
      <c r="AD27" s="2" t="e">
        <f>_xlfn.PERCENTILE.INC(S:S, 0.33)</f>
        <v>#NUM!</v>
      </c>
      <c r="AE27" s="2" t="e">
        <f>_xlfn.PERCENTILE.INC(S:S, 0.66)</f>
        <v>#NUM!</v>
      </c>
      <c r="AF27" s="30" t="e">
        <f t="shared" si="5"/>
        <v>#NUM!</v>
      </c>
    </row>
    <row r="28" spans="1:32" x14ac:dyDescent="0.3">
      <c r="A28" s="31" t="s">
        <v>41</v>
      </c>
      <c r="B28" s="32">
        <v>45626</v>
      </c>
      <c r="C28" s="47">
        <f>EOMONTH(Table2[[#This Row],[OrderDate]],-1)+1</f>
        <v>45597</v>
      </c>
      <c r="D28" s="45">
        <f>EOMONTH(_xlfn.MINIFS(B28:B658,M28:M658,Table2[[#This Row],[Country]]), -1) + 1</f>
        <v>44927</v>
      </c>
      <c r="E28" s="47"/>
      <c r="F28" s="32" t="str">
        <f>"Q"&amp;ROUNDUP(MONTH(B28)/3,0)&amp;"-"&amp;YEAR(B28)</f>
        <v>Q4-2024</v>
      </c>
      <c r="G28" s="32">
        <v>45656</v>
      </c>
      <c r="H28" s="32">
        <f>IF(G28&lt;B28, B28+3, G28)</f>
        <v>45656</v>
      </c>
      <c r="I28" s="33">
        <f>H28-B28</f>
        <v>30</v>
      </c>
      <c r="J28" s="33">
        <f t="shared" si="0"/>
        <v>0</v>
      </c>
      <c r="K28" s="33">
        <f t="shared" si="1"/>
        <v>0</v>
      </c>
      <c r="L28" s="34" t="s">
        <v>649</v>
      </c>
      <c r="M28" s="34" t="s">
        <v>657</v>
      </c>
      <c r="N28" s="34" t="s">
        <v>673</v>
      </c>
      <c r="O28" s="34" t="s">
        <v>704</v>
      </c>
      <c r="P28" s="34" t="s">
        <v>709</v>
      </c>
      <c r="Q28" s="34" t="s">
        <v>721</v>
      </c>
      <c r="R28" s="34" t="s">
        <v>728</v>
      </c>
      <c r="S28" s="34" t="s">
        <v>760</v>
      </c>
      <c r="T28" s="35">
        <v>117.64</v>
      </c>
      <c r="U28" s="35">
        <v>175.67</v>
      </c>
      <c r="V28" s="35">
        <f t="shared" si="2"/>
        <v>0</v>
      </c>
      <c r="W28" s="35">
        <v>0</v>
      </c>
      <c r="X28" s="33">
        <f>IF(Table2[[#This Row],[DiscountPct]]&gt;0.2,1,0)</f>
        <v>0</v>
      </c>
      <c r="Y28" s="33">
        <v>10</v>
      </c>
      <c r="Z28" s="30">
        <f>Table2[[#This Row],[UnitPrice]]*Y28*(1-V28)</f>
        <v>1756.6999999999998</v>
      </c>
      <c r="AA28" s="31">
        <f>T28*Y28</f>
        <v>1176.4000000000001</v>
      </c>
      <c r="AB28" s="31">
        <f t="shared" si="3"/>
        <v>580.29999999999973</v>
      </c>
      <c r="AC28" s="31">
        <f t="shared" si="4"/>
        <v>0.33033528775545046</v>
      </c>
      <c r="AD28" s="31" t="e">
        <f>_xlfn.PERCENTILE.INC(S:S, 0.33)</f>
        <v>#NUM!</v>
      </c>
      <c r="AE28" s="31" t="e">
        <f>_xlfn.PERCENTILE.INC(S:S, 0.66)</f>
        <v>#NUM!</v>
      </c>
      <c r="AF28" s="30" t="e">
        <f t="shared" si="5"/>
        <v>#NUM!</v>
      </c>
    </row>
    <row r="29" spans="1:32" x14ac:dyDescent="0.3">
      <c r="A29" s="2" t="s">
        <v>42</v>
      </c>
      <c r="B29" s="4">
        <v>45492</v>
      </c>
      <c r="C29" s="46">
        <f>EOMONTH(Table2[[#This Row],[OrderDate]],-1)+1</f>
        <v>45474</v>
      </c>
      <c r="D29" s="45">
        <f>EOMONTH(_xlfn.MINIFS(B29:B659,M29:M659,Table2[[#This Row],[Country]]), -1) + 1</f>
        <v>44927</v>
      </c>
      <c r="E29" s="46"/>
      <c r="F29" s="4" t="str">
        <f>"Q"&amp;ROUNDUP(MONTH(B29)/3,0)&amp;"-"&amp;YEAR(B29)</f>
        <v>Q3-2024</v>
      </c>
      <c r="G29" s="4">
        <v>45492</v>
      </c>
      <c r="H29" s="4">
        <f>IF(G29&lt;B29, B29+3, G29)</f>
        <v>45492</v>
      </c>
      <c r="I29" s="10">
        <f>H29-B29</f>
        <v>0</v>
      </c>
      <c r="J29" s="10">
        <f t="shared" si="0"/>
        <v>1</v>
      </c>
      <c r="K29" s="10">
        <f t="shared" si="1"/>
        <v>1</v>
      </c>
      <c r="L29" s="6" t="s">
        <v>646</v>
      </c>
      <c r="M29" s="6" t="s">
        <v>650</v>
      </c>
      <c r="N29" s="6" t="s">
        <v>662</v>
      </c>
      <c r="O29" s="6" t="s">
        <v>705</v>
      </c>
      <c r="P29" s="6" t="s">
        <v>707</v>
      </c>
      <c r="Q29" s="6" t="s">
        <v>720</v>
      </c>
      <c r="R29" s="6" t="s">
        <v>730</v>
      </c>
      <c r="S29" s="6" t="s">
        <v>761</v>
      </c>
      <c r="T29" s="8">
        <v>857.24</v>
      </c>
      <c r="U29" s="8">
        <v>758.23</v>
      </c>
      <c r="V29" s="8">
        <f t="shared" si="2"/>
        <v>0.125</v>
      </c>
      <c r="W29" s="8">
        <v>0.125</v>
      </c>
      <c r="X29" s="10">
        <f>IF(Table2[[#This Row],[DiscountPct]]&gt;0.2,1,0)</f>
        <v>0</v>
      </c>
      <c r="Y29" s="10">
        <v>6</v>
      </c>
      <c r="Z29" s="30">
        <f>Table2[[#This Row],[UnitPrice]]*Y29*(1-V29)</f>
        <v>3980.7075</v>
      </c>
      <c r="AA29" s="2">
        <f>T29*Y29</f>
        <v>5143.4400000000005</v>
      </c>
      <c r="AB29" s="2">
        <f t="shared" si="3"/>
        <v>-1162.7325000000005</v>
      </c>
      <c r="AC29" s="2">
        <f t="shared" si="4"/>
        <v>-0.29209192084572921</v>
      </c>
      <c r="AD29" s="2" t="e">
        <f>_xlfn.PERCENTILE.INC(S:S, 0.33)</f>
        <v>#NUM!</v>
      </c>
      <c r="AE29" s="2" t="e">
        <f>_xlfn.PERCENTILE.INC(S:S, 0.66)</f>
        <v>#NUM!</v>
      </c>
      <c r="AF29" s="30" t="e">
        <f t="shared" si="5"/>
        <v>#NUM!</v>
      </c>
    </row>
    <row r="30" spans="1:32" x14ac:dyDescent="0.3">
      <c r="A30" s="31" t="s">
        <v>43</v>
      </c>
      <c r="B30" s="32">
        <v>45030</v>
      </c>
      <c r="C30" s="47">
        <f>EOMONTH(Table2[[#This Row],[OrderDate]],-1)+1</f>
        <v>45017</v>
      </c>
      <c r="D30" s="45">
        <f>EOMONTH(_xlfn.MINIFS(B30:B660,M30:M660,Table2[[#This Row],[Country]]), -1) + 1</f>
        <v>44927</v>
      </c>
      <c r="E30" s="47"/>
      <c r="F30" s="32" t="str">
        <f>"Q"&amp;ROUNDUP(MONTH(B30)/3,0)&amp;"-"&amp;YEAR(B30)</f>
        <v>Q2-2023</v>
      </c>
      <c r="G30" s="32">
        <v>45060</v>
      </c>
      <c r="H30" s="32">
        <f>IF(G30&lt;B30, B30+3, G30)</f>
        <v>45060</v>
      </c>
      <c r="I30" s="33">
        <f>H30-B30</f>
        <v>30</v>
      </c>
      <c r="J30" s="33">
        <f t="shared" si="0"/>
        <v>0</v>
      </c>
      <c r="K30" s="33">
        <f t="shared" si="1"/>
        <v>0</v>
      </c>
      <c r="L30" s="34" t="s">
        <v>646</v>
      </c>
      <c r="M30" s="34" t="s">
        <v>650</v>
      </c>
      <c r="N30" s="34" t="s">
        <v>678</v>
      </c>
      <c r="O30" s="34" t="s">
        <v>704</v>
      </c>
      <c r="P30" s="34" t="s">
        <v>709</v>
      </c>
      <c r="Q30" s="34" t="s">
        <v>724</v>
      </c>
      <c r="R30" s="34" t="s">
        <v>730</v>
      </c>
      <c r="S30" s="34" t="s">
        <v>762</v>
      </c>
      <c r="T30" s="35">
        <v>209.25</v>
      </c>
      <c r="U30" s="35">
        <v>434.8</v>
      </c>
      <c r="V30" s="35">
        <f t="shared" si="2"/>
        <v>0</v>
      </c>
      <c r="W30" s="35">
        <v>0</v>
      </c>
      <c r="X30" s="33">
        <f>IF(Table2[[#This Row],[DiscountPct]]&gt;0.2,1,0)</f>
        <v>0</v>
      </c>
      <c r="Y30" s="33">
        <v>9</v>
      </c>
      <c r="Z30" s="30">
        <f>Table2[[#This Row],[UnitPrice]]*Y30*(1-V30)</f>
        <v>3913.2000000000003</v>
      </c>
      <c r="AA30" s="31">
        <f>T30*Y30</f>
        <v>1883.25</v>
      </c>
      <c r="AB30" s="31">
        <f t="shared" si="3"/>
        <v>2029.9500000000003</v>
      </c>
      <c r="AC30" s="31">
        <f t="shared" si="4"/>
        <v>0.51874425022999082</v>
      </c>
      <c r="AD30" s="31" t="e">
        <f>_xlfn.PERCENTILE.INC(S:S, 0.33)</f>
        <v>#NUM!</v>
      </c>
      <c r="AE30" s="31" t="e">
        <f>_xlfn.PERCENTILE.INC(S:S, 0.66)</f>
        <v>#NUM!</v>
      </c>
      <c r="AF30" s="30" t="e">
        <f t="shared" si="5"/>
        <v>#NUM!</v>
      </c>
    </row>
    <row r="31" spans="1:32" x14ac:dyDescent="0.3">
      <c r="A31" s="2" t="s">
        <v>44</v>
      </c>
      <c r="B31" s="4">
        <v>45754</v>
      </c>
      <c r="C31" s="46">
        <f>EOMONTH(Table2[[#This Row],[OrderDate]],-1)+1</f>
        <v>45748</v>
      </c>
      <c r="D31" s="45">
        <f>EOMONTH(_xlfn.MINIFS(B31:B661,M31:M661,Table2[[#This Row],[Country]]), -1) + 1</f>
        <v>44927</v>
      </c>
      <c r="E31" s="46"/>
      <c r="F31" s="4" t="str">
        <f>"Q"&amp;ROUNDUP(MONTH(B31)/3,0)&amp;"-"&amp;YEAR(B31)</f>
        <v>Q2-2025</v>
      </c>
      <c r="G31" s="4">
        <v>45758</v>
      </c>
      <c r="H31" s="4">
        <f>IF(G31&lt;B31, B31+3, G31)</f>
        <v>45758</v>
      </c>
      <c r="I31" s="10">
        <f>H31-B31</f>
        <v>4</v>
      </c>
      <c r="J31" s="10">
        <f t="shared" si="0"/>
        <v>1</v>
      </c>
      <c r="K31" s="10">
        <f t="shared" si="1"/>
        <v>1</v>
      </c>
      <c r="L31" s="6" t="s">
        <v>649</v>
      </c>
      <c r="M31" s="6" t="s">
        <v>657</v>
      </c>
      <c r="N31" s="6" t="s">
        <v>679</v>
      </c>
      <c r="O31" s="6" t="s">
        <v>702</v>
      </c>
      <c r="P31" s="6" t="s">
        <v>707</v>
      </c>
      <c r="Q31" s="6" t="s">
        <v>718</v>
      </c>
      <c r="R31" s="6" t="s">
        <v>729</v>
      </c>
      <c r="S31" s="6" t="s">
        <v>763</v>
      </c>
      <c r="T31" s="8">
        <v>754.77</v>
      </c>
      <c r="U31" s="8">
        <v>1666.18</v>
      </c>
      <c r="V31" s="8">
        <f t="shared" si="2"/>
        <v>0.13900000000000001</v>
      </c>
      <c r="W31" s="8">
        <v>0.13900000000000001</v>
      </c>
      <c r="X31" s="10">
        <f>IF(Table2[[#This Row],[DiscountPct]]&gt;0.2,1,0)</f>
        <v>0</v>
      </c>
      <c r="Y31" s="10">
        <v>14</v>
      </c>
      <c r="Z31" s="30">
        <f>Table2[[#This Row],[UnitPrice]]*Y31*(1-V31)</f>
        <v>20084.133720000002</v>
      </c>
      <c r="AA31" s="2">
        <f>T31*Y31</f>
        <v>10566.779999999999</v>
      </c>
      <c r="AB31" s="2">
        <f t="shared" si="3"/>
        <v>9517.3537200000028</v>
      </c>
      <c r="AC31" s="2">
        <f t="shared" si="4"/>
        <v>0.47387424584424653</v>
      </c>
      <c r="AD31" s="2" t="e">
        <f>_xlfn.PERCENTILE.INC(S:S, 0.33)</f>
        <v>#NUM!</v>
      </c>
      <c r="AE31" s="2" t="e">
        <f>_xlfn.PERCENTILE.INC(S:S, 0.66)</f>
        <v>#NUM!</v>
      </c>
      <c r="AF31" s="30" t="e">
        <f t="shared" si="5"/>
        <v>#NUM!</v>
      </c>
    </row>
    <row r="32" spans="1:32" x14ac:dyDescent="0.3">
      <c r="A32" s="31" t="s">
        <v>45</v>
      </c>
      <c r="B32" s="32">
        <v>45653</v>
      </c>
      <c r="C32" s="47">
        <f>EOMONTH(Table2[[#This Row],[OrderDate]],-1)+1</f>
        <v>45627</v>
      </c>
      <c r="D32" s="45">
        <f>EOMONTH(_xlfn.MINIFS(B32:B662,M32:M662,Table2[[#This Row],[Country]]), -1) + 1</f>
        <v>44958</v>
      </c>
      <c r="E32" s="47"/>
      <c r="F32" s="32" t="str">
        <f>"Q"&amp;ROUNDUP(MONTH(B32)/3,0)&amp;"-"&amp;YEAR(B32)</f>
        <v>Q4-2024</v>
      </c>
      <c r="G32" s="32">
        <v>45672</v>
      </c>
      <c r="H32" s="32">
        <f>IF(G32&lt;B32, B32+3, G32)</f>
        <v>45672</v>
      </c>
      <c r="I32" s="33">
        <f>H32-B32</f>
        <v>19</v>
      </c>
      <c r="J32" s="33">
        <f t="shared" si="0"/>
        <v>0</v>
      </c>
      <c r="K32" s="33">
        <f t="shared" si="1"/>
        <v>0</v>
      </c>
      <c r="L32" s="34" t="s">
        <v>647</v>
      </c>
      <c r="M32" s="34" t="s">
        <v>654</v>
      </c>
      <c r="N32" s="34" t="s">
        <v>680</v>
      </c>
      <c r="O32" s="34" t="s">
        <v>703</v>
      </c>
      <c r="P32" s="34" t="s">
        <v>710</v>
      </c>
      <c r="Q32" s="34" t="s">
        <v>715</v>
      </c>
      <c r="R32" s="34" t="s">
        <v>727</v>
      </c>
      <c r="S32" s="34" t="s">
        <v>764</v>
      </c>
      <c r="T32" s="35">
        <v>495.59</v>
      </c>
      <c r="U32" s="35">
        <v>631.78</v>
      </c>
      <c r="V32" s="35">
        <f t="shared" si="2"/>
        <v>8.6999999999999994E-2</v>
      </c>
      <c r="W32" s="35">
        <v>8.6999999999999994E-2</v>
      </c>
      <c r="X32" s="33">
        <f>IF(Table2[[#This Row],[DiscountPct]]&gt;0.2,1,0)</f>
        <v>0</v>
      </c>
      <c r="Y32" s="33">
        <v>17</v>
      </c>
      <c r="Z32" s="30">
        <f>Table2[[#This Row],[UnitPrice]]*Y32*(1-V32)</f>
        <v>9805.8573800000013</v>
      </c>
      <c r="AA32" s="31">
        <f>T32*Y32</f>
        <v>8425.0299999999988</v>
      </c>
      <c r="AB32" s="31">
        <f t="shared" si="3"/>
        <v>1380.8273800000024</v>
      </c>
      <c r="AC32" s="31">
        <f t="shared" si="4"/>
        <v>0.14081658813601899</v>
      </c>
      <c r="AD32" s="31" t="e">
        <f>_xlfn.PERCENTILE.INC(S:S, 0.33)</f>
        <v>#NUM!</v>
      </c>
      <c r="AE32" s="31" t="e">
        <f>_xlfn.PERCENTILE.INC(S:S, 0.66)</f>
        <v>#NUM!</v>
      </c>
      <c r="AF32" s="30" t="e">
        <f t="shared" si="5"/>
        <v>#NUM!</v>
      </c>
    </row>
    <row r="33" spans="1:32" x14ac:dyDescent="0.3">
      <c r="A33" s="2" t="s">
        <v>46</v>
      </c>
      <c r="B33" s="4">
        <v>44980</v>
      </c>
      <c r="C33" s="46">
        <f>EOMONTH(Table2[[#This Row],[OrderDate]],-1)+1</f>
        <v>44958</v>
      </c>
      <c r="D33" s="45">
        <f>EOMONTH(_xlfn.MINIFS(B33:B663,M33:M663,Table2[[#This Row],[Country]]), -1) + 1</f>
        <v>44958</v>
      </c>
      <c r="E33" s="46"/>
      <c r="F33" s="4" t="str">
        <f>"Q"&amp;ROUNDUP(MONTH(B33)/3,0)&amp;"-"&amp;YEAR(B33)</f>
        <v>Q1-2023</v>
      </c>
      <c r="G33" s="4">
        <v>45010</v>
      </c>
      <c r="H33" s="4">
        <f>IF(G33&lt;B33, B33+3, G33)</f>
        <v>45010</v>
      </c>
      <c r="I33" s="10">
        <f>H33-B33</f>
        <v>30</v>
      </c>
      <c r="J33" s="10">
        <f t="shared" si="0"/>
        <v>0</v>
      </c>
      <c r="K33" s="10">
        <f t="shared" si="1"/>
        <v>0</v>
      </c>
      <c r="L33" s="6" t="s">
        <v>648</v>
      </c>
      <c r="M33" s="6" t="s">
        <v>653</v>
      </c>
      <c r="N33" s="6" t="s">
        <v>681</v>
      </c>
      <c r="O33" s="6" t="s">
        <v>706</v>
      </c>
      <c r="P33" s="6" t="s">
        <v>708</v>
      </c>
      <c r="Q33" s="6" t="s">
        <v>726</v>
      </c>
      <c r="R33" s="6" t="s">
        <v>730</v>
      </c>
      <c r="S33" s="6" t="s">
        <v>765</v>
      </c>
      <c r="T33" s="8">
        <v>1242.6600000000001</v>
      </c>
      <c r="U33" s="8">
        <v>1794.07</v>
      </c>
      <c r="V33" s="8">
        <f t="shared" si="2"/>
        <v>8.8999999999999996E-2</v>
      </c>
      <c r="W33" s="8">
        <v>8.8999999999999996E-2</v>
      </c>
      <c r="X33" s="10">
        <f>IF(Table2[[#This Row],[DiscountPct]]&gt;0.2,1,0)</f>
        <v>0</v>
      </c>
      <c r="Y33" s="10">
        <v>16</v>
      </c>
      <c r="Z33" s="30">
        <f>Table2[[#This Row],[UnitPrice]]*Y33*(1-V33)</f>
        <v>26150.364320000001</v>
      </c>
      <c r="AA33" s="2">
        <f>T33*Y33</f>
        <v>19882.560000000001</v>
      </c>
      <c r="AB33" s="2">
        <f t="shared" si="3"/>
        <v>6267.8043199999993</v>
      </c>
      <c r="AC33" s="2">
        <f t="shared" si="4"/>
        <v>0.23968325042440553</v>
      </c>
      <c r="AD33" s="2" t="e">
        <f>_xlfn.PERCENTILE.INC(S:S, 0.33)</f>
        <v>#NUM!</v>
      </c>
      <c r="AE33" s="2" t="e">
        <f>_xlfn.PERCENTILE.INC(S:S, 0.66)</f>
        <v>#NUM!</v>
      </c>
      <c r="AF33" s="30" t="e">
        <f t="shared" si="5"/>
        <v>#NUM!</v>
      </c>
    </row>
    <row r="34" spans="1:32" x14ac:dyDescent="0.3">
      <c r="A34" s="31" t="s">
        <v>47</v>
      </c>
      <c r="B34" s="32">
        <v>45862</v>
      </c>
      <c r="C34" s="47">
        <f>EOMONTH(Table2[[#This Row],[OrderDate]],-1)+1</f>
        <v>45839</v>
      </c>
      <c r="D34" s="45">
        <f>EOMONTH(_xlfn.MINIFS(B34:B664,M34:M664,Table2[[#This Row],[Country]]), -1) + 1</f>
        <v>44927</v>
      </c>
      <c r="E34" s="47"/>
      <c r="F34" s="32" t="str">
        <f>"Q"&amp;ROUNDUP(MONTH(B34)/3,0)&amp;"-"&amp;YEAR(B34)</f>
        <v>Q3-2025</v>
      </c>
      <c r="G34" s="32">
        <v>45875</v>
      </c>
      <c r="H34" s="32">
        <f>IF(G34&lt;B34, B34+3, G34)</f>
        <v>45875</v>
      </c>
      <c r="I34" s="33">
        <f>H34-B34</f>
        <v>13</v>
      </c>
      <c r="J34" s="33">
        <f t="shared" si="0"/>
        <v>0</v>
      </c>
      <c r="K34" s="33">
        <f t="shared" si="1"/>
        <v>0</v>
      </c>
      <c r="L34" s="34" t="s">
        <v>646</v>
      </c>
      <c r="M34" s="34" t="s">
        <v>661</v>
      </c>
      <c r="N34" s="34" t="s">
        <v>682</v>
      </c>
      <c r="O34" s="34" t="s">
        <v>702</v>
      </c>
      <c r="P34" s="34" t="s">
        <v>709</v>
      </c>
      <c r="Q34" s="34" t="s">
        <v>726</v>
      </c>
      <c r="R34" s="34" t="s">
        <v>729</v>
      </c>
      <c r="S34" s="34" t="s">
        <v>766</v>
      </c>
      <c r="T34" s="35">
        <v>1463.9</v>
      </c>
      <c r="U34" s="35">
        <v>2633.02</v>
      </c>
      <c r="V34" s="35">
        <f t="shared" si="2"/>
        <v>8.4000000000000005E-2</v>
      </c>
      <c r="W34" s="35">
        <v>8.4000000000000005E-2</v>
      </c>
      <c r="X34" s="33">
        <f>IF(Table2[[#This Row],[DiscountPct]]&gt;0.2,1,0)</f>
        <v>0</v>
      </c>
      <c r="Y34" s="33">
        <v>4</v>
      </c>
      <c r="Z34" s="30">
        <f>Table2[[#This Row],[UnitPrice]]*Y34*(1-V34)</f>
        <v>9647.3852800000004</v>
      </c>
      <c r="AA34" s="31">
        <f>T34*Y34</f>
        <v>5855.6</v>
      </c>
      <c r="AB34" s="31">
        <f t="shared" si="3"/>
        <v>3791.7852800000001</v>
      </c>
      <c r="AC34" s="31">
        <f t="shared" si="4"/>
        <v>0.39303761277791527</v>
      </c>
      <c r="AD34" s="31" t="e">
        <f>_xlfn.PERCENTILE.INC(S:S, 0.33)</f>
        <v>#NUM!</v>
      </c>
      <c r="AE34" s="31" t="e">
        <f>_xlfn.PERCENTILE.INC(S:S, 0.66)</f>
        <v>#NUM!</v>
      </c>
      <c r="AF34" s="30" t="e">
        <f t="shared" si="5"/>
        <v>#NUM!</v>
      </c>
    </row>
    <row r="35" spans="1:32" x14ac:dyDescent="0.3">
      <c r="A35" s="2" t="s">
        <v>48</v>
      </c>
      <c r="B35" s="4">
        <v>45400</v>
      </c>
      <c r="C35" s="46">
        <f>EOMONTH(Table2[[#This Row],[OrderDate]],-1)+1</f>
        <v>45383</v>
      </c>
      <c r="D35" s="45">
        <f>EOMONTH(_xlfn.MINIFS(B35:B665,M35:M665,Table2[[#This Row],[Country]]), -1) + 1</f>
        <v>44927</v>
      </c>
      <c r="E35" s="46"/>
      <c r="F35" s="4" t="str">
        <f>"Q"&amp;ROUNDUP(MONTH(B35)/3,0)&amp;"-"&amp;YEAR(B35)</f>
        <v>Q2-2024</v>
      </c>
      <c r="G35" s="4">
        <v>45420</v>
      </c>
      <c r="H35" s="4">
        <f>IF(G35&lt;B35, B35+3, G35)</f>
        <v>45420</v>
      </c>
      <c r="I35" s="10">
        <f>H35-B35</f>
        <v>20</v>
      </c>
      <c r="J35" s="10">
        <f t="shared" si="0"/>
        <v>0</v>
      </c>
      <c r="K35" s="10">
        <f t="shared" si="1"/>
        <v>0</v>
      </c>
      <c r="L35" s="6" t="s">
        <v>649</v>
      </c>
      <c r="M35" s="6" t="s">
        <v>658</v>
      </c>
      <c r="N35" s="6" t="s">
        <v>683</v>
      </c>
      <c r="O35" s="6" t="s">
        <v>703</v>
      </c>
      <c r="P35" s="6" t="s">
        <v>709</v>
      </c>
      <c r="Q35" s="6" t="s">
        <v>726</v>
      </c>
      <c r="R35" s="6" t="s">
        <v>731</v>
      </c>
      <c r="S35" s="6" t="s">
        <v>767</v>
      </c>
      <c r="T35" s="8">
        <v>645.33000000000004</v>
      </c>
      <c r="U35" s="8">
        <v>1321.85</v>
      </c>
      <c r="V35" s="8">
        <f t="shared" si="2"/>
        <v>0</v>
      </c>
      <c r="W35" s="8">
        <v>0</v>
      </c>
      <c r="X35" s="10">
        <f>IF(Table2[[#This Row],[DiscountPct]]&gt;0.2,1,0)</f>
        <v>0</v>
      </c>
      <c r="Y35" s="10">
        <v>10</v>
      </c>
      <c r="Z35" s="30">
        <f>Table2[[#This Row],[UnitPrice]]*Y35*(1-V35)</f>
        <v>13218.5</v>
      </c>
      <c r="AA35" s="2">
        <f>T35*Y35</f>
        <v>6453.3</v>
      </c>
      <c r="AB35" s="2">
        <f t="shared" si="3"/>
        <v>6765.2</v>
      </c>
      <c r="AC35" s="2">
        <f t="shared" si="4"/>
        <v>0.51179785906116426</v>
      </c>
      <c r="AD35" s="2" t="e">
        <f>_xlfn.PERCENTILE.INC(S:S, 0.33)</f>
        <v>#NUM!</v>
      </c>
      <c r="AE35" s="2" t="e">
        <f>_xlfn.PERCENTILE.INC(S:S, 0.66)</f>
        <v>#NUM!</v>
      </c>
      <c r="AF35" s="30" t="e">
        <f t="shared" si="5"/>
        <v>#NUM!</v>
      </c>
    </row>
    <row r="36" spans="1:32" x14ac:dyDescent="0.3">
      <c r="A36" s="31" t="s">
        <v>49</v>
      </c>
      <c r="B36" s="32">
        <v>45527</v>
      </c>
      <c r="C36" s="47">
        <f>EOMONTH(Table2[[#This Row],[OrderDate]],-1)+1</f>
        <v>45505</v>
      </c>
      <c r="D36" s="45">
        <f>EOMONTH(_xlfn.MINIFS(B36:B666,M36:M666,Table2[[#This Row],[Country]]), -1) + 1</f>
        <v>44927</v>
      </c>
      <c r="E36" s="47"/>
      <c r="F36" s="32" t="str">
        <f>"Q"&amp;ROUNDUP(MONTH(B36)/3,0)&amp;"-"&amp;YEAR(B36)</f>
        <v>Q3-2024</v>
      </c>
      <c r="G36" s="32">
        <v>45525</v>
      </c>
      <c r="H36" s="32">
        <f>IF(G36&lt;B36, B36+3, G36)</f>
        <v>45530</v>
      </c>
      <c r="I36" s="33">
        <f>H36-B36</f>
        <v>3</v>
      </c>
      <c r="J36" s="33">
        <f t="shared" si="0"/>
        <v>1</v>
      </c>
      <c r="K36" s="33">
        <f t="shared" si="1"/>
        <v>1</v>
      </c>
      <c r="L36" s="34" t="s">
        <v>646</v>
      </c>
      <c r="M36" s="34" t="s">
        <v>661</v>
      </c>
      <c r="N36" s="34" t="s">
        <v>682</v>
      </c>
      <c r="O36" s="34" t="s">
        <v>702</v>
      </c>
      <c r="P36" s="34" t="s">
        <v>707</v>
      </c>
      <c r="Q36" s="34" t="s">
        <v>718</v>
      </c>
      <c r="R36" s="34" t="s">
        <v>727</v>
      </c>
      <c r="S36" s="34" t="s">
        <v>768</v>
      </c>
      <c r="T36" s="35">
        <v>1432.52</v>
      </c>
      <c r="U36" s="35">
        <v>3036.87</v>
      </c>
      <c r="V36" s="35">
        <f t="shared" si="2"/>
        <v>0</v>
      </c>
      <c r="W36" s="35">
        <v>0</v>
      </c>
      <c r="X36" s="33">
        <f>IF(Table2[[#This Row],[DiscountPct]]&gt;0.2,1,0)</f>
        <v>0</v>
      </c>
      <c r="Y36" s="33">
        <v>9</v>
      </c>
      <c r="Z36" s="30">
        <f>Table2[[#This Row],[UnitPrice]]*Y36*(1-V36)</f>
        <v>27331.829999999998</v>
      </c>
      <c r="AA36" s="31">
        <f>T36*Y36</f>
        <v>12892.68</v>
      </c>
      <c r="AB36" s="31">
        <f t="shared" si="3"/>
        <v>14439.149999999998</v>
      </c>
      <c r="AC36" s="31">
        <f t="shared" si="4"/>
        <v>0.52829064135112791</v>
      </c>
      <c r="AD36" s="31" t="e">
        <f>_xlfn.PERCENTILE.INC(S:S, 0.33)</f>
        <v>#NUM!</v>
      </c>
      <c r="AE36" s="31" t="e">
        <f>_xlfn.PERCENTILE.INC(S:S, 0.66)</f>
        <v>#NUM!</v>
      </c>
      <c r="AF36" s="30" t="e">
        <f t="shared" si="5"/>
        <v>#NUM!</v>
      </c>
    </row>
    <row r="37" spans="1:32" x14ac:dyDescent="0.3">
      <c r="A37" s="2" t="s">
        <v>50</v>
      </c>
      <c r="B37" s="4">
        <v>45012</v>
      </c>
      <c r="C37" s="46">
        <f>EOMONTH(Table2[[#This Row],[OrderDate]],-1)+1</f>
        <v>44986</v>
      </c>
      <c r="D37" s="45">
        <f>EOMONTH(_xlfn.MINIFS(B37:B667,M37:M667,Table2[[#This Row],[Country]]), -1) + 1</f>
        <v>44958</v>
      </c>
      <c r="E37" s="46"/>
      <c r="F37" s="4" t="str">
        <f>"Q"&amp;ROUNDUP(MONTH(B37)/3,0)&amp;"-"&amp;YEAR(B37)</f>
        <v>Q1-2023</v>
      </c>
      <c r="G37" s="4">
        <v>45038</v>
      </c>
      <c r="H37" s="4">
        <f>IF(G37&lt;B37, B37+3, G37)</f>
        <v>45038</v>
      </c>
      <c r="I37" s="10">
        <f>H37-B37</f>
        <v>26</v>
      </c>
      <c r="J37" s="10">
        <f t="shared" si="0"/>
        <v>0</v>
      </c>
      <c r="K37" s="10">
        <f t="shared" si="1"/>
        <v>0</v>
      </c>
      <c r="L37" s="6" t="s">
        <v>647</v>
      </c>
      <c r="M37" s="6" t="s">
        <v>654</v>
      </c>
      <c r="N37" s="6" t="s">
        <v>680</v>
      </c>
      <c r="O37" s="6" t="s">
        <v>703</v>
      </c>
      <c r="P37" s="6" t="s">
        <v>709</v>
      </c>
      <c r="Q37" s="6" t="s">
        <v>713</v>
      </c>
      <c r="R37" s="6" t="s">
        <v>728</v>
      </c>
      <c r="S37" s="6" t="s">
        <v>769</v>
      </c>
      <c r="T37" s="8">
        <v>178.53</v>
      </c>
      <c r="U37" s="8">
        <v>199.37</v>
      </c>
      <c r="V37" s="8">
        <f t="shared" si="2"/>
        <v>0.10100000000000001</v>
      </c>
      <c r="W37" s="8">
        <v>0.10100000000000001</v>
      </c>
      <c r="X37" s="10">
        <f>IF(Table2[[#This Row],[DiscountPct]]&gt;0.2,1,0)</f>
        <v>0</v>
      </c>
      <c r="Y37" s="10">
        <v>37</v>
      </c>
      <c r="Z37" s="30">
        <f>Table2[[#This Row],[UnitPrice]]*Y37*(1-V37)</f>
        <v>6631.6443100000006</v>
      </c>
      <c r="AA37" s="2">
        <f>T37*Y37</f>
        <v>6605.61</v>
      </c>
      <c r="AB37" s="2">
        <f t="shared" si="3"/>
        <v>26.034310000000914</v>
      </c>
      <c r="AC37" s="2">
        <f t="shared" si="4"/>
        <v>3.9257699573457538E-3</v>
      </c>
      <c r="AD37" s="2" t="e">
        <f>_xlfn.PERCENTILE.INC(S:S, 0.33)</f>
        <v>#NUM!</v>
      </c>
      <c r="AE37" s="2" t="e">
        <f>_xlfn.PERCENTILE.INC(S:S, 0.66)</f>
        <v>#NUM!</v>
      </c>
      <c r="AF37" s="30" t="e">
        <f t="shared" si="5"/>
        <v>#NUM!</v>
      </c>
    </row>
    <row r="38" spans="1:32" x14ac:dyDescent="0.3">
      <c r="A38" s="31" t="s">
        <v>51</v>
      </c>
      <c r="B38" s="32">
        <v>45358</v>
      </c>
      <c r="C38" s="47">
        <f>EOMONTH(Table2[[#This Row],[OrderDate]],-1)+1</f>
        <v>45352</v>
      </c>
      <c r="D38" s="45">
        <f>EOMONTH(_xlfn.MINIFS(B38:B668,M38:M668,Table2[[#This Row],[Country]]), -1) + 1</f>
        <v>44927</v>
      </c>
      <c r="E38" s="47"/>
      <c r="F38" s="32" t="str">
        <f>"Q"&amp;ROUNDUP(MONTH(B38)/3,0)&amp;"-"&amp;YEAR(B38)</f>
        <v>Q1-2024</v>
      </c>
      <c r="G38" s="32">
        <v>45376</v>
      </c>
      <c r="H38" s="32">
        <f>IF(G38&lt;B38, B38+3, G38)</f>
        <v>45376</v>
      </c>
      <c r="I38" s="33">
        <f>H38-B38</f>
        <v>18</v>
      </c>
      <c r="J38" s="33">
        <f t="shared" si="0"/>
        <v>0</v>
      </c>
      <c r="K38" s="33">
        <f t="shared" si="1"/>
        <v>0</v>
      </c>
      <c r="L38" s="34" t="s">
        <v>649</v>
      </c>
      <c r="M38" s="34" t="s">
        <v>656</v>
      </c>
      <c r="N38" s="34" t="s">
        <v>684</v>
      </c>
      <c r="O38" s="34" t="s">
        <v>701</v>
      </c>
      <c r="P38" s="34" t="s">
        <v>708</v>
      </c>
      <c r="Q38" s="34" t="s">
        <v>717</v>
      </c>
      <c r="R38" s="34" t="s">
        <v>727</v>
      </c>
      <c r="S38" s="34" t="s">
        <v>770</v>
      </c>
      <c r="T38" s="35">
        <v>712.84</v>
      </c>
      <c r="U38" s="35">
        <v>927.51</v>
      </c>
      <c r="V38" s="35">
        <f t="shared" si="2"/>
        <v>0.24299999999999999</v>
      </c>
      <c r="W38" s="35">
        <v>0.24299999999999999</v>
      </c>
      <c r="X38" s="33">
        <f>IF(Table2[[#This Row],[DiscountPct]]&gt;0.2,1,0)</f>
        <v>1</v>
      </c>
      <c r="Y38" s="33">
        <v>27</v>
      </c>
      <c r="Z38" s="30">
        <f>Table2[[#This Row],[UnitPrice]]*Y38*(1-V38)</f>
        <v>18957.37689</v>
      </c>
      <c r="AA38" s="31">
        <f>T38*Y38</f>
        <v>19246.68</v>
      </c>
      <c r="AB38" s="31">
        <f t="shared" si="3"/>
        <v>-289.30311000000074</v>
      </c>
      <c r="AC38" s="31">
        <f t="shared" si="4"/>
        <v>-1.5260714163076427E-2</v>
      </c>
      <c r="AD38" s="31" t="e">
        <f>_xlfn.PERCENTILE.INC(S:S, 0.33)</f>
        <v>#NUM!</v>
      </c>
      <c r="AE38" s="31" t="e">
        <f>_xlfn.PERCENTILE.INC(S:S, 0.66)</f>
        <v>#NUM!</v>
      </c>
      <c r="AF38" s="30" t="e">
        <f t="shared" si="5"/>
        <v>#NUM!</v>
      </c>
    </row>
    <row r="39" spans="1:32" x14ac:dyDescent="0.3">
      <c r="A39" s="2" t="s">
        <v>52</v>
      </c>
      <c r="B39" s="4">
        <v>45832</v>
      </c>
      <c r="C39" s="46">
        <f>EOMONTH(Table2[[#This Row],[OrderDate]],-1)+1</f>
        <v>45809</v>
      </c>
      <c r="D39" s="45">
        <f>EOMONTH(_xlfn.MINIFS(B39:B669,M39:M669,Table2[[#This Row],[Country]]), -1) + 1</f>
        <v>44927</v>
      </c>
      <c r="E39" s="46"/>
      <c r="F39" s="4" t="str">
        <f>"Q"&amp;ROUNDUP(MONTH(B39)/3,0)&amp;"-"&amp;YEAR(B39)</f>
        <v>Q2-2025</v>
      </c>
      <c r="G39" s="4">
        <v>45848</v>
      </c>
      <c r="H39" s="4">
        <f>IF(G39&lt;B39, B39+3, G39)</f>
        <v>45848</v>
      </c>
      <c r="I39" s="10">
        <f>H39-B39</f>
        <v>16</v>
      </c>
      <c r="J39" s="10">
        <f t="shared" si="0"/>
        <v>0</v>
      </c>
      <c r="K39" s="10">
        <f t="shared" si="1"/>
        <v>0</v>
      </c>
      <c r="L39" s="6" t="s">
        <v>647</v>
      </c>
      <c r="M39" s="6" t="s">
        <v>659</v>
      </c>
      <c r="N39" s="6" t="s">
        <v>685</v>
      </c>
      <c r="O39" s="6" t="s">
        <v>706</v>
      </c>
      <c r="P39" s="6" t="s">
        <v>711</v>
      </c>
      <c r="Q39" s="6" t="s">
        <v>725</v>
      </c>
      <c r="R39" s="6" t="s">
        <v>727</v>
      </c>
      <c r="S39" s="6" t="s">
        <v>771</v>
      </c>
      <c r="T39" s="8">
        <v>757.19</v>
      </c>
      <c r="U39" s="8">
        <v>1735.41</v>
      </c>
      <c r="V39" s="8">
        <f t="shared" si="2"/>
        <v>0.13600000000000001</v>
      </c>
      <c r="W39" s="8">
        <v>0.13600000000000001</v>
      </c>
      <c r="X39" s="10">
        <f>IF(Table2[[#This Row],[DiscountPct]]&gt;0.2,1,0)</f>
        <v>0</v>
      </c>
      <c r="Y39" s="10">
        <v>8</v>
      </c>
      <c r="Z39" s="30">
        <f>Table2[[#This Row],[UnitPrice]]*Y39*(1-V39)</f>
        <v>11995.153920000001</v>
      </c>
      <c r="AA39" s="2">
        <f>T39*Y39</f>
        <v>6057.52</v>
      </c>
      <c r="AB39" s="2">
        <f t="shared" si="3"/>
        <v>5937.6339200000002</v>
      </c>
      <c r="AC39" s="2">
        <f t="shared" si="4"/>
        <v>0.4950027285685718</v>
      </c>
      <c r="AD39" s="2" t="e">
        <f>_xlfn.PERCENTILE.INC(S:S, 0.33)</f>
        <v>#NUM!</v>
      </c>
      <c r="AE39" s="2" t="e">
        <f>_xlfn.PERCENTILE.INC(S:S, 0.66)</f>
        <v>#NUM!</v>
      </c>
      <c r="AF39" s="30" t="e">
        <f t="shared" si="5"/>
        <v>#NUM!</v>
      </c>
    </row>
    <row r="40" spans="1:32" x14ac:dyDescent="0.3">
      <c r="A40" s="31" t="s">
        <v>53</v>
      </c>
      <c r="B40" s="32">
        <v>45401</v>
      </c>
      <c r="C40" s="47">
        <f>EOMONTH(Table2[[#This Row],[OrderDate]],-1)+1</f>
        <v>45383</v>
      </c>
      <c r="D40" s="45">
        <f>EOMONTH(_xlfn.MINIFS(B40:B670,M40:M670,Table2[[#This Row],[Country]]), -1) + 1</f>
        <v>44958</v>
      </c>
      <c r="E40" s="47"/>
      <c r="F40" s="32" t="str">
        <f>"Q"&amp;ROUNDUP(MONTH(B40)/3,0)&amp;"-"&amp;YEAR(B40)</f>
        <v>Q2-2024</v>
      </c>
      <c r="G40" s="32">
        <v>45418</v>
      </c>
      <c r="H40" s="32">
        <f>IF(G40&lt;B40, B40+3, G40)</f>
        <v>45418</v>
      </c>
      <c r="I40" s="33">
        <f>H40-B40</f>
        <v>17</v>
      </c>
      <c r="J40" s="33">
        <f t="shared" si="0"/>
        <v>0</v>
      </c>
      <c r="K40" s="33">
        <f t="shared" si="1"/>
        <v>0</v>
      </c>
      <c r="L40" s="34" t="s">
        <v>646</v>
      </c>
      <c r="M40" s="34" t="s">
        <v>651</v>
      </c>
      <c r="N40" s="34" t="s">
        <v>663</v>
      </c>
      <c r="O40" s="34" t="s">
        <v>703</v>
      </c>
      <c r="P40" s="34" t="s">
        <v>708</v>
      </c>
      <c r="Q40" s="34" t="s">
        <v>720</v>
      </c>
      <c r="R40" s="34" t="s">
        <v>728</v>
      </c>
      <c r="S40" s="34" t="s">
        <v>772</v>
      </c>
      <c r="T40" s="35">
        <v>865.33</v>
      </c>
      <c r="U40" s="35">
        <v>1395.64</v>
      </c>
      <c r="V40" s="35">
        <f t="shared" si="2"/>
        <v>0.17499999999999999</v>
      </c>
      <c r="W40" s="35">
        <v>0.17499999999999999</v>
      </c>
      <c r="X40" s="33">
        <f>IF(Table2[[#This Row],[DiscountPct]]&gt;0.2,1,0)</f>
        <v>0</v>
      </c>
      <c r="Y40" s="33">
        <v>13</v>
      </c>
      <c r="Z40" s="30">
        <f>Table2[[#This Row],[UnitPrice]]*Y40*(1-V40)</f>
        <v>14968.239</v>
      </c>
      <c r="AA40" s="31">
        <f>T40*Y40</f>
        <v>11249.29</v>
      </c>
      <c r="AB40" s="31">
        <f t="shared" si="3"/>
        <v>3718.9489999999987</v>
      </c>
      <c r="AC40" s="31">
        <f t="shared" si="4"/>
        <v>0.24845601409758347</v>
      </c>
      <c r="AD40" s="31" t="e">
        <f>_xlfn.PERCENTILE.INC(S:S, 0.33)</f>
        <v>#NUM!</v>
      </c>
      <c r="AE40" s="31" t="e">
        <f>_xlfn.PERCENTILE.INC(S:S, 0.66)</f>
        <v>#NUM!</v>
      </c>
      <c r="AF40" s="30" t="e">
        <f t="shared" si="5"/>
        <v>#NUM!</v>
      </c>
    </row>
    <row r="41" spans="1:32" x14ac:dyDescent="0.3">
      <c r="A41" s="2" t="s">
        <v>54</v>
      </c>
      <c r="B41" s="4">
        <v>45094</v>
      </c>
      <c r="C41" s="46">
        <f>EOMONTH(Table2[[#This Row],[OrderDate]],-1)+1</f>
        <v>45078</v>
      </c>
      <c r="D41" s="45">
        <f>EOMONTH(_xlfn.MINIFS(B41:B671,M41:M671,Table2[[#This Row],[Country]]), -1) + 1</f>
        <v>44927</v>
      </c>
      <c r="E41" s="46"/>
      <c r="F41" s="4" t="str">
        <f>"Q"&amp;ROUNDUP(MONTH(B41)/3,0)&amp;"-"&amp;YEAR(B41)</f>
        <v>Q2-2023</v>
      </c>
      <c r="G41" s="4">
        <v>45101</v>
      </c>
      <c r="H41" s="4">
        <f>IF(G41&lt;B41, B41+3, G41)</f>
        <v>45101</v>
      </c>
      <c r="I41" s="10">
        <f>H41-B41</f>
        <v>7</v>
      </c>
      <c r="J41" s="10">
        <f t="shared" si="0"/>
        <v>1</v>
      </c>
      <c r="K41" s="10">
        <f t="shared" si="1"/>
        <v>1</v>
      </c>
      <c r="L41" s="6" t="s">
        <v>648</v>
      </c>
      <c r="M41" s="6" t="s">
        <v>660</v>
      </c>
      <c r="N41" s="6" t="s">
        <v>686</v>
      </c>
      <c r="O41" s="6" t="s">
        <v>701</v>
      </c>
      <c r="P41" s="6" t="s">
        <v>707</v>
      </c>
      <c r="Q41" s="6" t="s">
        <v>714</v>
      </c>
      <c r="R41" s="6" t="s">
        <v>728</v>
      </c>
      <c r="S41" s="6" t="s">
        <v>773</v>
      </c>
      <c r="T41" s="8">
        <v>313.99</v>
      </c>
      <c r="U41" s="8">
        <v>454.42</v>
      </c>
      <c r="V41" s="8">
        <f t="shared" si="2"/>
        <v>0.129</v>
      </c>
      <c r="W41" s="8">
        <v>0.129</v>
      </c>
      <c r="X41" s="10">
        <f>IF(Table2[[#This Row],[DiscountPct]]&gt;0.2,1,0)</f>
        <v>0</v>
      </c>
      <c r="Y41" s="10">
        <v>9</v>
      </c>
      <c r="Z41" s="30">
        <f>Table2[[#This Row],[UnitPrice]]*Y41*(1-V41)</f>
        <v>3562.1983800000003</v>
      </c>
      <c r="AA41" s="2">
        <f>T41*Y41</f>
        <v>2825.91</v>
      </c>
      <c r="AB41" s="2">
        <f t="shared" si="3"/>
        <v>736.28838000000042</v>
      </c>
      <c r="AC41" s="2">
        <f t="shared" si="4"/>
        <v>0.20669493988147858</v>
      </c>
      <c r="AD41" s="2" t="e">
        <f>_xlfn.PERCENTILE.INC(S:S, 0.33)</f>
        <v>#NUM!</v>
      </c>
      <c r="AE41" s="2" t="e">
        <f>_xlfn.PERCENTILE.INC(S:S, 0.66)</f>
        <v>#NUM!</v>
      </c>
      <c r="AF41" s="30" t="e">
        <f t="shared" si="5"/>
        <v>#NUM!</v>
      </c>
    </row>
    <row r="42" spans="1:32" x14ac:dyDescent="0.3">
      <c r="A42" s="31" t="s">
        <v>55</v>
      </c>
      <c r="B42" s="32">
        <v>45531</v>
      </c>
      <c r="C42" s="47">
        <f>EOMONTH(Table2[[#This Row],[OrderDate]],-1)+1</f>
        <v>45505</v>
      </c>
      <c r="D42" s="45">
        <f>EOMONTH(_xlfn.MINIFS(B42:B672,M42:M672,Table2[[#This Row],[Country]]), -1) + 1</f>
        <v>44927</v>
      </c>
      <c r="E42" s="47"/>
      <c r="F42" s="32" t="str">
        <f>"Q"&amp;ROUNDUP(MONTH(B42)/3,0)&amp;"-"&amp;YEAR(B42)</f>
        <v>Q3-2024</v>
      </c>
      <c r="G42" s="32">
        <v>45554</v>
      </c>
      <c r="H42" s="32">
        <f>IF(G42&lt;B42, B42+3, G42)</f>
        <v>45554</v>
      </c>
      <c r="I42" s="33">
        <f>H42-B42</f>
        <v>23</v>
      </c>
      <c r="J42" s="33">
        <f t="shared" si="0"/>
        <v>0</v>
      </c>
      <c r="K42" s="33">
        <f t="shared" si="1"/>
        <v>0</v>
      </c>
      <c r="L42" s="34" t="s">
        <v>649</v>
      </c>
      <c r="M42" s="34" t="s">
        <v>656</v>
      </c>
      <c r="N42" s="34" t="s">
        <v>671</v>
      </c>
      <c r="O42" s="34" t="s">
        <v>705</v>
      </c>
      <c r="P42" s="34" t="s">
        <v>711</v>
      </c>
      <c r="Q42" s="34" t="s">
        <v>726</v>
      </c>
      <c r="R42" s="34" t="s">
        <v>732</v>
      </c>
      <c r="S42" s="34" t="s">
        <v>774</v>
      </c>
      <c r="T42" s="35">
        <v>1024.01</v>
      </c>
      <c r="U42" s="35">
        <v>1580.97</v>
      </c>
      <c r="V42" s="35">
        <f t="shared" si="2"/>
        <v>3.6999999999999998E-2</v>
      </c>
      <c r="W42" s="35">
        <v>3.6999999999999998E-2</v>
      </c>
      <c r="X42" s="33">
        <f>IF(Table2[[#This Row],[DiscountPct]]&gt;0.2,1,0)</f>
        <v>0</v>
      </c>
      <c r="Y42" s="33">
        <v>27</v>
      </c>
      <c r="Z42" s="30">
        <f>Table2[[#This Row],[UnitPrice]]*Y42*(1-V42)</f>
        <v>41106.800970000004</v>
      </c>
      <c r="AA42" s="31">
        <f>T42*Y42</f>
        <v>27648.27</v>
      </c>
      <c r="AB42" s="31">
        <f t="shared" si="3"/>
        <v>13458.530970000003</v>
      </c>
      <c r="AC42" s="31">
        <f t="shared" si="4"/>
        <v>0.3274039976942531</v>
      </c>
      <c r="AD42" s="31" t="e">
        <f>_xlfn.PERCENTILE.INC(S:S, 0.33)</f>
        <v>#NUM!</v>
      </c>
      <c r="AE42" s="31" t="e">
        <f>_xlfn.PERCENTILE.INC(S:S, 0.66)</f>
        <v>#NUM!</v>
      </c>
      <c r="AF42" s="30" t="e">
        <f t="shared" si="5"/>
        <v>#NUM!</v>
      </c>
    </row>
    <row r="43" spans="1:32" x14ac:dyDescent="0.3">
      <c r="A43" s="2" t="s">
        <v>56</v>
      </c>
      <c r="B43" s="4">
        <v>45302</v>
      </c>
      <c r="C43" s="46">
        <f>EOMONTH(Table2[[#This Row],[OrderDate]],-1)+1</f>
        <v>45292</v>
      </c>
      <c r="D43" s="45">
        <f>EOMONTH(_xlfn.MINIFS(B43:B673,M43:M673,Table2[[#This Row],[Country]]), -1) + 1</f>
        <v>44927</v>
      </c>
      <c r="E43" s="46"/>
      <c r="F43" s="4" t="str">
        <f>"Q"&amp;ROUNDUP(MONTH(B43)/3,0)&amp;"-"&amp;YEAR(B43)</f>
        <v>Q1-2024</v>
      </c>
      <c r="G43" s="4">
        <v>45324</v>
      </c>
      <c r="H43" s="4">
        <f>IF(G43&lt;B43, B43+3, G43)</f>
        <v>45324</v>
      </c>
      <c r="I43" s="10">
        <f>H43-B43</f>
        <v>22</v>
      </c>
      <c r="J43" s="10">
        <f t="shared" si="0"/>
        <v>0</v>
      </c>
      <c r="K43" s="10">
        <f t="shared" si="1"/>
        <v>0</v>
      </c>
      <c r="L43" s="6" t="s">
        <v>646</v>
      </c>
      <c r="M43" s="6" t="s">
        <v>661</v>
      </c>
      <c r="N43" s="6" t="s">
        <v>687</v>
      </c>
      <c r="O43" s="6" t="s">
        <v>704</v>
      </c>
      <c r="P43" s="6" t="s">
        <v>708</v>
      </c>
      <c r="Q43" s="6" t="s">
        <v>723</v>
      </c>
      <c r="R43" s="6" t="s">
        <v>729</v>
      </c>
      <c r="S43" s="6" t="s">
        <v>775</v>
      </c>
      <c r="T43" s="8">
        <v>1206.2</v>
      </c>
      <c r="U43" s="8">
        <v>1759.79</v>
      </c>
      <c r="V43" s="8">
        <f t="shared" si="2"/>
        <v>0</v>
      </c>
      <c r="W43" s="8">
        <v>0</v>
      </c>
      <c r="X43" s="10">
        <f>IF(Table2[[#This Row],[DiscountPct]]&gt;0.2,1,0)</f>
        <v>0</v>
      </c>
      <c r="Y43" s="10">
        <v>6</v>
      </c>
      <c r="Z43" s="30">
        <f>Table2[[#This Row],[UnitPrice]]*Y43*(1-V43)</f>
        <v>10558.74</v>
      </c>
      <c r="AA43" s="2">
        <f>T43*Y43</f>
        <v>7237.2000000000007</v>
      </c>
      <c r="AB43" s="2">
        <f t="shared" si="3"/>
        <v>3321.5399999999991</v>
      </c>
      <c r="AC43" s="2">
        <f t="shared" si="4"/>
        <v>0.31457730751964713</v>
      </c>
      <c r="AD43" s="2" t="e">
        <f>_xlfn.PERCENTILE.INC(S:S, 0.33)</f>
        <v>#NUM!</v>
      </c>
      <c r="AE43" s="2" t="e">
        <f>_xlfn.PERCENTILE.INC(S:S, 0.66)</f>
        <v>#NUM!</v>
      </c>
      <c r="AF43" s="30" t="e">
        <f t="shared" si="5"/>
        <v>#NUM!</v>
      </c>
    </row>
    <row r="44" spans="1:32" x14ac:dyDescent="0.3">
      <c r="A44" s="31" t="s">
        <v>57</v>
      </c>
      <c r="B44" s="32">
        <v>45590</v>
      </c>
      <c r="C44" s="47">
        <f>EOMONTH(Table2[[#This Row],[OrderDate]],-1)+1</f>
        <v>45566</v>
      </c>
      <c r="D44" s="45">
        <f>EOMONTH(_xlfn.MINIFS(B44:B674,M44:M674,Table2[[#This Row],[Country]]), -1) + 1</f>
        <v>44927</v>
      </c>
      <c r="E44" s="47"/>
      <c r="F44" s="32" t="str">
        <f>"Q"&amp;ROUNDUP(MONTH(B44)/3,0)&amp;"-"&amp;YEAR(B44)</f>
        <v>Q4-2024</v>
      </c>
      <c r="G44" s="32">
        <v>45610</v>
      </c>
      <c r="H44" s="32">
        <f>IF(G44&lt;B44, B44+3, G44)</f>
        <v>45610</v>
      </c>
      <c r="I44" s="33">
        <f>H44-B44</f>
        <v>20</v>
      </c>
      <c r="J44" s="33">
        <f t="shared" si="0"/>
        <v>0</v>
      </c>
      <c r="K44" s="33">
        <f t="shared" si="1"/>
        <v>0</v>
      </c>
      <c r="L44" s="34" t="s">
        <v>646</v>
      </c>
      <c r="M44" s="34" t="s">
        <v>650</v>
      </c>
      <c r="N44" s="34" t="s">
        <v>675</v>
      </c>
      <c r="O44" s="34" t="s">
        <v>701</v>
      </c>
      <c r="P44" s="34" t="s">
        <v>711</v>
      </c>
      <c r="Q44" s="34" t="s">
        <v>722</v>
      </c>
      <c r="R44" s="34" t="s">
        <v>728</v>
      </c>
      <c r="S44" s="34" t="s">
        <v>776</v>
      </c>
      <c r="T44" s="35">
        <v>1396.48</v>
      </c>
      <c r="U44" s="35">
        <v>3204.5</v>
      </c>
      <c r="V44" s="35">
        <f t="shared" si="2"/>
        <v>0.3</v>
      </c>
      <c r="W44" s="35">
        <v>0.318</v>
      </c>
      <c r="X44" s="33">
        <f>IF(Table2[[#This Row],[DiscountPct]]&gt;0.2,1,0)</f>
        <v>1</v>
      </c>
      <c r="Y44" s="33">
        <v>14</v>
      </c>
      <c r="Z44" s="30">
        <f>Table2[[#This Row],[UnitPrice]]*Y44*(1-V44)</f>
        <v>31404.1</v>
      </c>
      <c r="AA44" s="31">
        <f>T44*Y44</f>
        <v>19550.72</v>
      </c>
      <c r="AB44" s="31">
        <f t="shared" si="3"/>
        <v>11853.379999999997</v>
      </c>
      <c r="AC44" s="31">
        <f t="shared" si="4"/>
        <v>0.3774468938769141</v>
      </c>
      <c r="AD44" s="31" t="e">
        <f>_xlfn.PERCENTILE.INC(S:S, 0.33)</f>
        <v>#NUM!</v>
      </c>
      <c r="AE44" s="31" t="e">
        <f>_xlfn.PERCENTILE.INC(S:S, 0.66)</f>
        <v>#NUM!</v>
      </c>
      <c r="AF44" s="30" t="e">
        <f t="shared" si="5"/>
        <v>#NUM!</v>
      </c>
    </row>
    <row r="45" spans="1:32" x14ac:dyDescent="0.3">
      <c r="A45" s="2" t="s">
        <v>58</v>
      </c>
      <c r="B45" s="4">
        <v>45806</v>
      </c>
      <c r="C45" s="46">
        <f>EOMONTH(Table2[[#This Row],[OrderDate]],-1)+1</f>
        <v>45778</v>
      </c>
      <c r="D45" s="45">
        <f>EOMONTH(_xlfn.MINIFS(B45:B675,M45:M675,Table2[[#This Row],[Country]]), -1) + 1</f>
        <v>44927</v>
      </c>
      <c r="E45" s="46"/>
      <c r="F45" s="4" t="str">
        <f>"Q"&amp;ROUNDUP(MONTH(B45)/3,0)&amp;"-"&amp;YEAR(B45)</f>
        <v>Q2-2025</v>
      </c>
      <c r="G45" s="4">
        <v>45828</v>
      </c>
      <c r="H45" s="4">
        <f>IF(G45&lt;B45, B45+3, G45)</f>
        <v>45828</v>
      </c>
      <c r="I45" s="10">
        <f>H45-B45</f>
        <v>22</v>
      </c>
      <c r="J45" s="10">
        <f t="shared" si="0"/>
        <v>0</v>
      </c>
      <c r="K45" s="10">
        <f t="shared" si="1"/>
        <v>0</v>
      </c>
      <c r="L45" s="6" t="s">
        <v>649</v>
      </c>
      <c r="M45" s="6" t="s">
        <v>656</v>
      </c>
      <c r="N45" s="6" t="s">
        <v>671</v>
      </c>
      <c r="O45" s="6" t="s">
        <v>701</v>
      </c>
      <c r="P45" s="6" t="s">
        <v>711</v>
      </c>
      <c r="Q45" s="6" t="s">
        <v>720</v>
      </c>
      <c r="R45" s="6" t="s">
        <v>728</v>
      </c>
      <c r="S45" s="6" t="s">
        <v>777</v>
      </c>
      <c r="T45" s="8">
        <v>483.47</v>
      </c>
      <c r="U45" s="8">
        <v>1135.43</v>
      </c>
      <c r="V45" s="8">
        <f t="shared" si="2"/>
        <v>0.14599999999999999</v>
      </c>
      <c r="W45" s="8">
        <v>0.14599999999999999</v>
      </c>
      <c r="X45" s="10">
        <f>IF(Table2[[#This Row],[DiscountPct]]&gt;0.2,1,0)</f>
        <v>0</v>
      </c>
      <c r="Y45" s="10">
        <v>11</v>
      </c>
      <c r="Z45" s="30">
        <f>Table2[[#This Row],[UnitPrice]]*Y45*(1-V45)</f>
        <v>10666.229420000001</v>
      </c>
      <c r="AA45" s="2">
        <f>T45*Y45</f>
        <v>5318.17</v>
      </c>
      <c r="AB45" s="2">
        <f t="shared" si="3"/>
        <v>5348.0594200000014</v>
      </c>
      <c r="AC45" s="2">
        <f t="shared" si="4"/>
        <v>0.50140112399719983</v>
      </c>
      <c r="AD45" s="2" t="e">
        <f>_xlfn.PERCENTILE.INC(S:S, 0.33)</f>
        <v>#NUM!</v>
      </c>
      <c r="AE45" s="2" t="e">
        <f>_xlfn.PERCENTILE.INC(S:S, 0.66)</f>
        <v>#NUM!</v>
      </c>
      <c r="AF45" s="30" t="e">
        <f t="shared" si="5"/>
        <v>#NUM!</v>
      </c>
    </row>
    <row r="46" spans="1:32" x14ac:dyDescent="0.3">
      <c r="A46" s="31" t="s">
        <v>59</v>
      </c>
      <c r="B46" s="32">
        <v>45432</v>
      </c>
      <c r="C46" s="47">
        <f>EOMONTH(Table2[[#This Row],[OrderDate]],-1)+1</f>
        <v>45413</v>
      </c>
      <c r="D46" s="45">
        <f>EOMONTH(_xlfn.MINIFS(B46:B676,M46:M676,Table2[[#This Row],[Country]]), -1) + 1</f>
        <v>44986</v>
      </c>
      <c r="E46" s="47"/>
      <c r="F46" s="32" t="str">
        <f>"Q"&amp;ROUNDUP(MONTH(B46)/3,0)&amp;"-"&amp;YEAR(B46)</f>
        <v>Q2-2024</v>
      </c>
      <c r="G46" s="32">
        <v>45445</v>
      </c>
      <c r="H46" s="32">
        <f>IF(G46&lt;B46, B46+3, G46)</f>
        <v>45445</v>
      </c>
      <c r="I46" s="33">
        <f>H46-B46</f>
        <v>13</v>
      </c>
      <c r="J46" s="33">
        <f t="shared" si="0"/>
        <v>0</v>
      </c>
      <c r="K46" s="33">
        <f t="shared" si="1"/>
        <v>0</v>
      </c>
      <c r="L46" s="34" t="s">
        <v>648</v>
      </c>
      <c r="M46" s="34" t="s">
        <v>653</v>
      </c>
      <c r="N46" s="34" t="s">
        <v>688</v>
      </c>
      <c r="O46" s="34" t="s">
        <v>706</v>
      </c>
      <c r="P46" s="34" t="s">
        <v>709</v>
      </c>
      <c r="Q46" s="34" t="s">
        <v>723</v>
      </c>
      <c r="R46" s="34" t="s">
        <v>727</v>
      </c>
      <c r="S46" s="34" t="s">
        <v>778</v>
      </c>
      <c r="T46" s="35">
        <v>675.43</v>
      </c>
      <c r="U46" s="35">
        <v>996.36</v>
      </c>
      <c r="V46" s="35">
        <f t="shared" si="2"/>
        <v>0.182</v>
      </c>
      <c r="W46" s="35">
        <v>0.182</v>
      </c>
      <c r="X46" s="33">
        <f>IF(Table2[[#This Row],[DiscountPct]]&gt;0.2,1,0)</f>
        <v>0</v>
      </c>
      <c r="Y46" s="33">
        <v>22</v>
      </c>
      <c r="Z46" s="30">
        <f>Table2[[#This Row],[UnitPrice]]*Y46*(1-V46)</f>
        <v>17930.494560000003</v>
      </c>
      <c r="AA46" s="31">
        <f>T46*Y46</f>
        <v>14859.46</v>
      </c>
      <c r="AB46" s="31">
        <f t="shared" si="3"/>
        <v>3071.0345600000037</v>
      </c>
      <c r="AC46" s="31">
        <f t="shared" si="4"/>
        <v>0.17127439233332575</v>
      </c>
      <c r="AD46" s="31" t="e">
        <f>_xlfn.PERCENTILE.INC(S:S, 0.33)</f>
        <v>#NUM!</v>
      </c>
      <c r="AE46" s="31" t="e">
        <f>_xlfn.PERCENTILE.INC(S:S, 0.66)</f>
        <v>#NUM!</v>
      </c>
      <c r="AF46" s="30" t="e">
        <f t="shared" si="5"/>
        <v>#NUM!</v>
      </c>
    </row>
    <row r="47" spans="1:32" x14ac:dyDescent="0.3">
      <c r="A47" s="2" t="s">
        <v>60</v>
      </c>
      <c r="B47" s="4">
        <v>45035</v>
      </c>
      <c r="C47" s="46">
        <f>EOMONTH(Table2[[#This Row],[OrderDate]],-1)+1</f>
        <v>45017</v>
      </c>
      <c r="D47" s="45">
        <f>EOMONTH(_xlfn.MINIFS(B47:B677,M47:M677,Table2[[#This Row],[Country]]), -1) + 1</f>
        <v>44958</v>
      </c>
      <c r="E47" s="46"/>
      <c r="F47" s="4" t="str">
        <f>"Q"&amp;ROUNDUP(MONTH(B47)/3,0)&amp;"-"&amp;YEAR(B47)</f>
        <v>Q2-2023</v>
      </c>
      <c r="G47" s="4">
        <v>45046</v>
      </c>
      <c r="H47" s="4">
        <f>IF(G47&lt;B47, B47+3, G47)</f>
        <v>45046</v>
      </c>
      <c r="I47" s="10">
        <f>H47-B47</f>
        <v>11</v>
      </c>
      <c r="J47" s="10">
        <f t="shared" si="0"/>
        <v>0</v>
      </c>
      <c r="K47" s="10">
        <f t="shared" si="1"/>
        <v>0</v>
      </c>
      <c r="L47" s="6" t="s">
        <v>647</v>
      </c>
      <c r="M47" s="6" t="s">
        <v>654</v>
      </c>
      <c r="N47" s="6" t="s">
        <v>680</v>
      </c>
      <c r="O47" s="6" t="s">
        <v>705</v>
      </c>
      <c r="P47" s="6" t="s">
        <v>707</v>
      </c>
      <c r="Q47" s="6" t="s">
        <v>720</v>
      </c>
      <c r="R47" s="6" t="s">
        <v>729</v>
      </c>
      <c r="S47" s="6" t="s">
        <v>779</v>
      </c>
      <c r="T47" s="8">
        <v>826.55</v>
      </c>
      <c r="U47" s="8">
        <v>1397.05</v>
      </c>
      <c r="V47" s="8">
        <f t="shared" si="2"/>
        <v>0.16900000000000001</v>
      </c>
      <c r="W47" s="8">
        <v>0.16900000000000001</v>
      </c>
      <c r="X47" s="10">
        <f>IF(Table2[[#This Row],[DiscountPct]]&gt;0.2,1,0)</f>
        <v>0</v>
      </c>
      <c r="Y47" s="10">
        <v>28</v>
      </c>
      <c r="Z47" s="30">
        <f>Table2[[#This Row],[UnitPrice]]*Y47*(1-V47)</f>
        <v>32506.559399999998</v>
      </c>
      <c r="AA47" s="2">
        <f>T47*Y47</f>
        <v>23143.399999999998</v>
      </c>
      <c r="AB47" s="2">
        <f t="shared" si="3"/>
        <v>9363.1594000000005</v>
      </c>
      <c r="AC47" s="2">
        <f t="shared" si="4"/>
        <v>0.28803907804527601</v>
      </c>
      <c r="AD47" s="2" t="e">
        <f>_xlfn.PERCENTILE.INC(S:S, 0.33)</f>
        <v>#NUM!</v>
      </c>
      <c r="AE47" s="2" t="e">
        <f>_xlfn.PERCENTILE.INC(S:S, 0.66)</f>
        <v>#NUM!</v>
      </c>
      <c r="AF47" s="30" t="e">
        <f t="shared" si="5"/>
        <v>#NUM!</v>
      </c>
    </row>
    <row r="48" spans="1:32" x14ac:dyDescent="0.3">
      <c r="A48" s="31" t="s">
        <v>61</v>
      </c>
      <c r="B48" s="32">
        <v>45100</v>
      </c>
      <c r="C48" s="47">
        <f>EOMONTH(Table2[[#This Row],[OrderDate]],-1)+1</f>
        <v>45078</v>
      </c>
      <c r="D48" s="45">
        <f>EOMONTH(_xlfn.MINIFS(B48:B678,M48:M678,Table2[[#This Row],[Country]]), -1) + 1</f>
        <v>44958</v>
      </c>
      <c r="E48" s="47"/>
      <c r="F48" s="32" t="str">
        <f>"Q"&amp;ROUNDUP(MONTH(B48)/3,0)&amp;"-"&amp;YEAR(B48)</f>
        <v>Q2-2023</v>
      </c>
      <c r="G48" s="32">
        <v>45110</v>
      </c>
      <c r="H48" s="32">
        <f>IF(G48&lt;B48, B48+3, G48)</f>
        <v>45110</v>
      </c>
      <c r="I48" s="33">
        <f>H48-B48</f>
        <v>10</v>
      </c>
      <c r="J48" s="33">
        <f t="shared" si="0"/>
        <v>0</v>
      </c>
      <c r="K48" s="33">
        <f t="shared" si="1"/>
        <v>0</v>
      </c>
      <c r="L48" s="34" t="s">
        <v>646</v>
      </c>
      <c r="M48" s="34" t="s">
        <v>651</v>
      </c>
      <c r="N48" s="34" t="s">
        <v>669</v>
      </c>
      <c r="O48" s="34" t="s">
        <v>704</v>
      </c>
      <c r="P48" s="34" t="s">
        <v>708</v>
      </c>
      <c r="Q48" s="34" t="s">
        <v>713</v>
      </c>
      <c r="R48" s="34" t="s">
        <v>728</v>
      </c>
      <c r="S48" s="34" t="s">
        <v>780</v>
      </c>
      <c r="T48" s="35">
        <v>337.75</v>
      </c>
      <c r="U48" s="35">
        <v>548.89</v>
      </c>
      <c r="V48" s="35">
        <f t="shared" si="2"/>
        <v>0</v>
      </c>
      <c r="W48" s="35">
        <v>0</v>
      </c>
      <c r="X48" s="33">
        <f>IF(Table2[[#This Row],[DiscountPct]]&gt;0.2,1,0)</f>
        <v>0</v>
      </c>
      <c r="Y48" s="33">
        <v>13</v>
      </c>
      <c r="Z48" s="30">
        <f>Table2[[#This Row],[UnitPrice]]*Y48*(1-V48)</f>
        <v>7135.57</v>
      </c>
      <c r="AA48" s="31">
        <f>T48*Y48</f>
        <v>4390.75</v>
      </c>
      <c r="AB48" s="31">
        <f t="shared" si="3"/>
        <v>2744.8199999999997</v>
      </c>
      <c r="AC48" s="31">
        <f t="shared" si="4"/>
        <v>0.38466723751571352</v>
      </c>
      <c r="AD48" s="31" t="e">
        <f>_xlfn.PERCENTILE.INC(S:S, 0.33)</f>
        <v>#NUM!</v>
      </c>
      <c r="AE48" s="31" t="e">
        <f>_xlfn.PERCENTILE.INC(S:S, 0.66)</f>
        <v>#NUM!</v>
      </c>
      <c r="AF48" s="30" t="e">
        <f t="shared" si="5"/>
        <v>#NUM!</v>
      </c>
    </row>
    <row r="49" spans="1:32" x14ac:dyDescent="0.3">
      <c r="A49" s="2" t="s">
        <v>62</v>
      </c>
      <c r="B49" s="4">
        <v>45426</v>
      </c>
      <c r="C49" s="46">
        <f>EOMONTH(Table2[[#This Row],[OrderDate]],-1)+1</f>
        <v>45413</v>
      </c>
      <c r="D49" s="45">
        <f>EOMONTH(_xlfn.MINIFS(B49:B679,M49:M679,Table2[[#This Row],[Country]]), -1) + 1</f>
        <v>44927</v>
      </c>
      <c r="E49" s="46"/>
      <c r="F49" s="4" t="str">
        <f>"Q"&amp;ROUNDUP(MONTH(B49)/3,0)&amp;"-"&amp;YEAR(B49)</f>
        <v>Q2-2024</v>
      </c>
      <c r="G49" s="4">
        <v>45440</v>
      </c>
      <c r="H49" s="4">
        <f>IF(G49&lt;B49, B49+3, G49)</f>
        <v>45440</v>
      </c>
      <c r="I49" s="10">
        <f>H49-B49</f>
        <v>14</v>
      </c>
      <c r="J49" s="10">
        <f t="shared" si="0"/>
        <v>0</v>
      </c>
      <c r="K49" s="10">
        <f t="shared" si="1"/>
        <v>0</v>
      </c>
      <c r="L49" s="6" t="s">
        <v>649</v>
      </c>
      <c r="M49" s="6" t="s">
        <v>658</v>
      </c>
      <c r="N49" s="6" t="s">
        <v>674</v>
      </c>
      <c r="O49" s="6" t="s">
        <v>704</v>
      </c>
      <c r="P49" s="6" t="s">
        <v>707</v>
      </c>
      <c r="Q49" s="6" t="s">
        <v>717</v>
      </c>
      <c r="R49" s="6" t="s">
        <v>729</v>
      </c>
      <c r="S49" s="6" t="s">
        <v>781</v>
      </c>
      <c r="T49" s="8">
        <v>1421.14</v>
      </c>
      <c r="U49" s="8">
        <v>3524</v>
      </c>
      <c r="V49" s="8">
        <f t="shared" si="2"/>
        <v>0</v>
      </c>
      <c r="W49" s="8">
        <v>0</v>
      </c>
      <c r="X49" s="10">
        <f>IF(Table2[[#This Row],[DiscountPct]]&gt;0.2,1,0)</f>
        <v>0</v>
      </c>
      <c r="Y49" s="10">
        <v>31</v>
      </c>
      <c r="Z49" s="30">
        <f>Table2[[#This Row],[UnitPrice]]*Y49*(1-V49)</f>
        <v>109244</v>
      </c>
      <c r="AA49" s="2">
        <f>T49*Y49</f>
        <v>44055.340000000004</v>
      </c>
      <c r="AB49" s="2">
        <f t="shared" si="3"/>
        <v>65188.659999999996</v>
      </c>
      <c r="AC49" s="2">
        <f t="shared" si="4"/>
        <v>0.59672531214528945</v>
      </c>
      <c r="AD49" s="2" t="e">
        <f>_xlfn.PERCENTILE.INC(S:S, 0.33)</f>
        <v>#NUM!</v>
      </c>
      <c r="AE49" s="2" t="e">
        <f>_xlfn.PERCENTILE.INC(S:S, 0.66)</f>
        <v>#NUM!</v>
      </c>
      <c r="AF49" s="30" t="e">
        <f t="shared" si="5"/>
        <v>#NUM!</v>
      </c>
    </row>
    <row r="50" spans="1:32" x14ac:dyDescent="0.3">
      <c r="A50" s="31" t="s">
        <v>63</v>
      </c>
      <c r="B50" s="32">
        <v>45579</v>
      </c>
      <c r="C50" s="47">
        <f>EOMONTH(Table2[[#This Row],[OrderDate]],-1)+1</f>
        <v>45566</v>
      </c>
      <c r="D50" s="45">
        <f>EOMONTH(_xlfn.MINIFS(B50:B680,M50:M680,Table2[[#This Row],[Country]]), -1) + 1</f>
        <v>44958</v>
      </c>
      <c r="E50" s="47"/>
      <c r="F50" s="32" t="str">
        <f>"Q"&amp;ROUNDUP(MONTH(B50)/3,0)&amp;"-"&amp;YEAR(B50)</f>
        <v>Q4-2024</v>
      </c>
      <c r="G50" s="32">
        <v>45604</v>
      </c>
      <c r="H50" s="32">
        <f>IF(G50&lt;B50, B50+3, G50)</f>
        <v>45604</v>
      </c>
      <c r="I50" s="33">
        <f>H50-B50</f>
        <v>25</v>
      </c>
      <c r="J50" s="33">
        <f t="shared" si="0"/>
        <v>0</v>
      </c>
      <c r="K50" s="33">
        <f t="shared" si="1"/>
        <v>0</v>
      </c>
      <c r="L50" s="34" t="s">
        <v>646</v>
      </c>
      <c r="M50" s="34" t="s">
        <v>651</v>
      </c>
      <c r="N50" s="34" t="s">
        <v>665</v>
      </c>
      <c r="O50" s="34" t="s">
        <v>706</v>
      </c>
      <c r="P50" s="34" t="s">
        <v>708</v>
      </c>
      <c r="Q50" s="34" t="s">
        <v>719</v>
      </c>
      <c r="R50" s="34" t="s">
        <v>729</v>
      </c>
      <c r="S50" s="34" t="s">
        <v>782</v>
      </c>
      <c r="T50" s="35">
        <v>859.35</v>
      </c>
      <c r="U50" s="35">
        <v>1825.61</v>
      </c>
      <c r="V50" s="35">
        <f t="shared" si="2"/>
        <v>0.187</v>
      </c>
      <c r="W50" s="35">
        <v>0.187</v>
      </c>
      <c r="X50" s="33">
        <f>IF(Table2[[#This Row],[DiscountPct]]&gt;0.2,1,0)</f>
        <v>0</v>
      </c>
      <c r="Y50" s="33">
        <v>24</v>
      </c>
      <c r="Z50" s="30">
        <f>Table2[[#This Row],[UnitPrice]]*Y50*(1-V50)</f>
        <v>35621.302319999995</v>
      </c>
      <c r="AA50" s="31">
        <f>T50*Y50</f>
        <v>20624.400000000001</v>
      </c>
      <c r="AB50" s="31">
        <f t="shared" si="3"/>
        <v>14996.902319999994</v>
      </c>
      <c r="AC50" s="31">
        <f t="shared" si="4"/>
        <v>0.42100937762681989</v>
      </c>
      <c r="AD50" s="31" t="e">
        <f>_xlfn.PERCENTILE.INC(S:S, 0.33)</f>
        <v>#NUM!</v>
      </c>
      <c r="AE50" s="31" t="e">
        <f>_xlfn.PERCENTILE.INC(S:S, 0.66)</f>
        <v>#NUM!</v>
      </c>
      <c r="AF50" s="30" t="e">
        <f t="shared" si="5"/>
        <v>#NUM!</v>
      </c>
    </row>
    <row r="51" spans="1:32" x14ac:dyDescent="0.3">
      <c r="A51" s="2" t="s">
        <v>64</v>
      </c>
      <c r="B51" s="4">
        <v>45117</v>
      </c>
      <c r="C51" s="46">
        <f>EOMONTH(Table2[[#This Row],[OrderDate]],-1)+1</f>
        <v>45108</v>
      </c>
      <c r="D51" s="45">
        <f>EOMONTH(_xlfn.MINIFS(B51:B681,M51:M681,Table2[[#This Row],[Country]]), -1) + 1</f>
        <v>44927</v>
      </c>
      <c r="E51" s="46"/>
      <c r="F51" s="4" t="str">
        <f>"Q"&amp;ROUNDUP(MONTH(B51)/3,0)&amp;"-"&amp;YEAR(B51)</f>
        <v>Q3-2023</v>
      </c>
      <c r="G51" s="4">
        <v>45139</v>
      </c>
      <c r="H51" s="4">
        <f>IF(G51&lt;B51, B51+3, G51)</f>
        <v>45139</v>
      </c>
      <c r="I51" s="10">
        <f>H51-B51</f>
        <v>22</v>
      </c>
      <c r="J51" s="10">
        <f t="shared" si="0"/>
        <v>0</v>
      </c>
      <c r="K51" s="10">
        <f t="shared" si="1"/>
        <v>0</v>
      </c>
      <c r="L51" s="6" t="s">
        <v>649</v>
      </c>
      <c r="M51" s="6" t="s">
        <v>657</v>
      </c>
      <c r="N51" s="6" t="s">
        <v>673</v>
      </c>
      <c r="O51" s="6" t="s">
        <v>704</v>
      </c>
      <c r="P51" s="6" t="s">
        <v>709</v>
      </c>
      <c r="Q51" s="6" t="s">
        <v>717</v>
      </c>
      <c r="R51" s="6" t="s">
        <v>728</v>
      </c>
      <c r="S51" s="6" t="s">
        <v>783</v>
      </c>
      <c r="T51" s="8">
        <v>1303.56</v>
      </c>
      <c r="U51" s="8">
        <v>1791.37</v>
      </c>
      <c r="V51" s="8">
        <f t="shared" si="2"/>
        <v>0.126</v>
      </c>
      <c r="W51" s="8">
        <v>0.126</v>
      </c>
      <c r="X51" s="10">
        <f>IF(Table2[[#This Row],[DiscountPct]]&gt;0.2,1,0)</f>
        <v>0</v>
      </c>
      <c r="Y51" s="10">
        <v>22</v>
      </c>
      <c r="Z51" s="30">
        <f>Table2[[#This Row],[UnitPrice]]*Y51*(1-V51)</f>
        <v>34444.462359999998</v>
      </c>
      <c r="AA51" s="2">
        <f>T51*Y51</f>
        <v>28678.32</v>
      </c>
      <c r="AB51" s="2">
        <f t="shared" si="3"/>
        <v>5766.142359999998</v>
      </c>
      <c r="AC51" s="2">
        <f t="shared" si="4"/>
        <v>0.16740404596055358</v>
      </c>
      <c r="AD51" s="2" t="e">
        <f>_xlfn.PERCENTILE.INC(S:S, 0.33)</f>
        <v>#NUM!</v>
      </c>
      <c r="AE51" s="2" t="e">
        <f>_xlfn.PERCENTILE.INC(S:S, 0.66)</f>
        <v>#NUM!</v>
      </c>
      <c r="AF51" s="30" t="e">
        <f t="shared" si="5"/>
        <v>#NUM!</v>
      </c>
    </row>
    <row r="52" spans="1:32" x14ac:dyDescent="0.3">
      <c r="A52" s="31" t="s">
        <v>65</v>
      </c>
      <c r="B52" s="32">
        <v>45602</v>
      </c>
      <c r="C52" s="47">
        <f>EOMONTH(Table2[[#This Row],[OrderDate]],-1)+1</f>
        <v>45597</v>
      </c>
      <c r="D52" s="45">
        <f>EOMONTH(_xlfn.MINIFS(B52:B682,M52:M682,Table2[[#This Row],[Country]]), -1) + 1</f>
        <v>44986</v>
      </c>
      <c r="E52" s="47"/>
      <c r="F52" s="32" t="str">
        <f>"Q"&amp;ROUNDUP(MONTH(B52)/3,0)&amp;"-"&amp;YEAR(B52)</f>
        <v>Q4-2024</v>
      </c>
      <c r="G52" s="32">
        <v>45618</v>
      </c>
      <c r="H52" s="32">
        <f>IF(G52&lt;B52, B52+3, G52)</f>
        <v>45618</v>
      </c>
      <c r="I52" s="33">
        <f>H52-B52</f>
        <v>16</v>
      </c>
      <c r="J52" s="33">
        <f t="shared" si="0"/>
        <v>0</v>
      </c>
      <c r="K52" s="33">
        <f t="shared" si="1"/>
        <v>0</v>
      </c>
      <c r="L52" s="34" t="s">
        <v>648</v>
      </c>
      <c r="M52" s="34" t="s">
        <v>653</v>
      </c>
      <c r="N52" s="34" t="s">
        <v>667</v>
      </c>
      <c r="O52" s="34" t="s">
        <v>703</v>
      </c>
      <c r="P52" s="34" t="s">
        <v>710</v>
      </c>
      <c r="Q52" s="34" t="s">
        <v>726</v>
      </c>
      <c r="R52" s="34" t="s">
        <v>733</v>
      </c>
      <c r="S52" s="34" t="s">
        <v>784</v>
      </c>
      <c r="T52" s="35">
        <v>1454.11</v>
      </c>
      <c r="U52" s="35">
        <v>2629.75</v>
      </c>
      <c r="V52" s="35">
        <f t="shared" si="2"/>
        <v>0.29199999999999998</v>
      </c>
      <c r="W52" s="35">
        <v>0.29199999999999998</v>
      </c>
      <c r="X52" s="33">
        <f>IF(Table2[[#This Row],[DiscountPct]]&gt;0.2,1,0)</f>
        <v>1</v>
      </c>
      <c r="Y52" s="33">
        <v>8</v>
      </c>
      <c r="Z52" s="30">
        <f>Table2[[#This Row],[UnitPrice]]*Y52*(1-V52)</f>
        <v>14894.903999999999</v>
      </c>
      <c r="AA52" s="31">
        <f>T52*Y52</f>
        <v>11632.88</v>
      </c>
      <c r="AB52" s="31">
        <f t="shared" si="3"/>
        <v>3262.0239999999994</v>
      </c>
      <c r="AC52" s="31">
        <f t="shared" si="4"/>
        <v>0.21900268709351867</v>
      </c>
      <c r="AD52" s="31" t="e">
        <f>_xlfn.PERCENTILE.INC(S:S, 0.33)</f>
        <v>#NUM!</v>
      </c>
      <c r="AE52" s="31" t="e">
        <f>_xlfn.PERCENTILE.INC(S:S, 0.66)</f>
        <v>#NUM!</v>
      </c>
      <c r="AF52" s="30" t="e">
        <f t="shared" si="5"/>
        <v>#NUM!</v>
      </c>
    </row>
    <row r="53" spans="1:32" x14ac:dyDescent="0.3">
      <c r="A53" s="2" t="s">
        <v>66</v>
      </c>
      <c r="B53" s="4">
        <v>45582</v>
      </c>
      <c r="C53" s="46">
        <f>EOMONTH(Table2[[#This Row],[OrderDate]],-1)+1</f>
        <v>45566</v>
      </c>
      <c r="D53" s="45">
        <f>EOMONTH(_xlfn.MINIFS(B53:B683,M53:M683,Table2[[#This Row],[Country]]), -1) + 1</f>
        <v>44958</v>
      </c>
      <c r="E53" s="46"/>
      <c r="F53" s="4" t="str">
        <f>"Q"&amp;ROUNDUP(MONTH(B53)/3,0)&amp;"-"&amp;YEAR(B53)</f>
        <v>Q4-2024</v>
      </c>
      <c r="G53" s="4">
        <v>45602</v>
      </c>
      <c r="H53" s="4">
        <f>IF(G53&lt;B53, B53+3, G53)</f>
        <v>45602</v>
      </c>
      <c r="I53" s="10">
        <f>H53-B53</f>
        <v>20</v>
      </c>
      <c r="J53" s="10">
        <f t="shared" si="0"/>
        <v>0</v>
      </c>
      <c r="K53" s="10">
        <f t="shared" si="1"/>
        <v>0</v>
      </c>
      <c r="L53" s="6" t="s">
        <v>647</v>
      </c>
      <c r="M53" s="6" t="s">
        <v>654</v>
      </c>
      <c r="N53" s="6" t="s">
        <v>668</v>
      </c>
      <c r="O53" s="6" t="s">
        <v>706</v>
      </c>
      <c r="P53" s="6" t="s">
        <v>710</v>
      </c>
      <c r="Q53" s="6" t="s">
        <v>719</v>
      </c>
      <c r="R53" s="6" t="s">
        <v>732</v>
      </c>
      <c r="S53" s="6" t="s">
        <v>785</v>
      </c>
      <c r="T53" s="8">
        <v>72.94</v>
      </c>
      <c r="U53" s="8">
        <v>106.3</v>
      </c>
      <c r="V53" s="8">
        <f t="shared" si="2"/>
        <v>0.29499999999999998</v>
      </c>
      <c r="W53" s="8">
        <v>0.29499999999999998</v>
      </c>
      <c r="X53" s="10">
        <f>IF(Table2[[#This Row],[DiscountPct]]&gt;0.2,1,0)</f>
        <v>1</v>
      </c>
      <c r="Y53" s="10">
        <v>8</v>
      </c>
      <c r="Z53" s="30">
        <f>Table2[[#This Row],[UnitPrice]]*Y53*(1-V53)</f>
        <v>599.53200000000004</v>
      </c>
      <c r="AA53" s="2">
        <f>T53*Y53</f>
        <v>583.52</v>
      </c>
      <c r="AB53" s="2">
        <f t="shared" si="3"/>
        <v>16.012000000000057</v>
      </c>
      <c r="AC53" s="2">
        <f t="shared" si="4"/>
        <v>2.6707498515508857E-2</v>
      </c>
      <c r="AD53" s="2" t="e">
        <f>_xlfn.PERCENTILE.INC(S:S, 0.33)</f>
        <v>#NUM!</v>
      </c>
      <c r="AE53" s="2" t="e">
        <f>_xlfn.PERCENTILE.INC(S:S, 0.66)</f>
        <v>#NUM!</v>
      </c>
      <c r="AF53" s="30" t="e">
        <f t="shared" si="5"/>
        <v>#NUM!</v>
      </c>
    </row>
    <row r="54" spans="1:32" x14ac:dyDescent="0.3">
      <c r="A54" s="31" t="s">
        <v>67</v>
      </c>
      <c r="B54" s="32">
        <v>45016</v>
      </c>
      <c r="C54" s="47">
        <f>EOMONTH(Table2[[#This Row],[OrderDate]],-1)+1</f>
        <v>44986</v>
      </c>
      <c r="D54" s="45">
        <f>EOMONTH(_xlfn.MINIFS(B54:B684,M54:M684,Table2[[#This Row],[Country]]), -1) + 1</f>
        <v>44927</v>
      </c>
      <c r="E54" s="47"/>
      <c r="F54" s="32" t="str">
        <f>"Q"&amp;ROUNDUP(MONTH(B54)/3,0)&amp;"-"&amp;YEAR(B54)</f>
        <v>Q1-2023</v>
      </c>
      <c r="G54" s="32">
        <v>45021</v>
      </c>
      <c r="H54" s="32">
        <f>IF(G54&lt;B54, B54+3, G54)</f>
        <v>45021</v>
      </c>
      <c r="I54" s="33">
        <f>H54-B54</f>
        <v>5</v>
      </c>
      <c r="J54" s="33">
        <f t="shared" si="0"/>
        <v>1</v>
      </c>
      <c r="K54" s="33">
        <f t="shared" si="1"/>
        <v>1</v>
      </c>
      <c r="L54" s="34" t="s">
        <v>646</v>
      </c>
      <c r="M54" s="34" t="s">
        <v>650</v>
      </c>
      <c r="N54" s="34" t="s">
        <v>678</v>
      </c>
      <c r="O54" s="34" t="s">
        <v>702</v>
      </c>
      <c r="P54" s="34" t="s">
        <v>709</v>
      </c>
      <c r="Q54" s="34" t="s">
        <v>717</v>
      </c>
      <c r="R54" s="34" t="s">
        <v>731</v>
      </c>
      <c r="S54" s="34" t="s">
        <v>786</v>
      </c>
      <c r="T54" s="35">
        <v>533.26</v>
      </c>
      <c r="U54" s="35">
        <v>385.72</v>
      </c>
      <c r="V54" s="35">
        <f t="shared" si="2"/>
        <v>0</v>
      </c>
      <c r="W54" s="35">
        <v>0</v>
      </c>
      <c r="X54" s="33">
        <f>IF(Table2[[#This Row],[DiscountPct]]&gt;0.2,1,0)</f>
        <v>0</v>
      </c>
      <c r="Y54" s="33">
        <v>15</v>
      </c>
      <c r="Z54" s="30">
        <f>Table2[[#This Row],[UnitPrice]]*Y54*(1-V54)</f>
        <v>5785.8</v>
      </c>
      <c r="AA54" s="31">
        <f>T54*Y54</f>
        <v>7998.9</v>
      </c>
      <c r="AB54" s="31">
        <f t="shared" si="3"/>
        <v>-2213.0999999999995</v>
      </c>
      <c r="AC54" s="31">
        <f t="shared" si="4"/>
        <v>-0.38250544436378708</v>
      </c>
      <c r="AD54" s="31" t="e">
        <f>_xlfn.PERCENTILE.INC(S:S, 0.33)</f>
        <v>#NUM!</v>
      </c>
      <c r="AE54" s="31" t="e">
        <f>_xlfn.PERCENTILE.INC(S:S, 0.66)</f>
        <v>#NUM!</v>
      </c>
      <c r="AF54" s="30" t="e">
        <f t="shared" si="5"/>
        <v>#NUM!</v>
      </c>
    </row>
    <row r="55" spans="1:32" x14ac:dyDescent="0.3">
      <c r="A55" s="2" t="s">
        <v>68</v>
      </c>
      <c r="B55" s="4">
        <v>45678</v>
      </c>
      <c r="C55" s="46">
        <f>EOMONTH(Table2[[#This Row],[OrderDate]],-1)+1</f>
        <v>45658</v>
      </c>
      <c r="D55" s="45">
        <f>EOMONTH(_xlfn.MINIFS(B55:B685,M55:M685,Table2[[#This Row],[Country]]), -1) + 1</f>
        <v>44927</v>
      </c>
      <c r="E55" s="46"/>
      <c r="F55" s="4" t="str">
        <f>"Q"&amp;ROUNDUP(MONTH(B55)/3,0)&amp;"-"&amp;YEAR(B55)</f>
        <v>Q1-2025</v>
      </c>
      <c r="G55" s="4">
        <v>45704</v>
      </c>
      <c r="H55" s="4">
        <f>IF(G55&lt;B55, B55+3, G55)</f>
        <v>45704</v>
      </c>
      <c r="I55" s="10">
        <f>H55-B55</f>
        <v>26</v>
      </c>
      <c r="J55" s="10">
        <f t="shared" si="0"/>
        <v>0</v>
      </c>
      <c r="K55" s="10">
        <f t="shared" si="1"/>
        <v>0</v>
      </c>
      <c r="L55" s="6" t="s">
        <v>649</v>
      </c>
      <c r="M55" s="6" t="s">
        <v>657</v>
      </c>
      <c r="N55" s="6" t="s">
        <v>679</v>
      </c>
      <c r="O55" s="6" t="s">
        <v>701</v>
      </c>
      <c r="P55" s="6" t="s">
        <v>710</v>
      </c>
      <c r="Q55" s="6" t="s">
        <v>719</v>
      </c>
      <c r="R55" s="6" t="s">
        <v>731</v>
      </c>
      <c r="S55" s="6" t="s">
        <v>787</v>
      </c>
      <c r="T55" s="8">
        <v>204.11</v>
      </c>
      <c r="U55" s="8">
        <v>236.87</v>
      </c>
      <c r="V55" s="8">
        <f t="shared" si="2"/>
        <v>0.182</v>
      </c>
      <c r="W55" s="8">
        <v>0.182</v>
      </c>
      <c r="X55" s="10">
        <f>IF(Table2[[#This Row],[DiscountPct]]&gt;0.2,1,0)</f>
        <v>0</v>
      </c>
      <c r="Y55" s="10">
        <v>13</v>
      </c>
      <c r="Z55" s="30">
        <f>Table2[[#This Row],[UnitPrice]]*Y55*(1-V55)</f>
        <v>2518.8755800000004</v>
      </c>
      <c r="AA55" s="2">
        <f>T55*Y55</f>
        <v>2653.4300000000003</v>
      </c>
      <c r="AB55" s="2">
        <f t="shared" si="3"/>
        <v>-134.55441999999994</v>
      </c>
      <c r="AC55" s="2">
        <f t="shared" si="4"/>
        <v>-5.3418446337075494E-2</v>
      </c>
      <c r="AD55" s="2" t="e">
        <f>_xlfn.PERCENTILE.INC(S:S, 0.33)</f>
        <v>#NUM!</v>
      </c>
      <c r="AE55" s="2" t="e">
        <f>_xlfn.PERCENTILE.INC(S:S, 0.66)</f>
        <v>#NUM!</v>
      </c>
      <c r="AF55" s="30" t="e">
        <f t="shared" si="5"/>
        <v>#NUM!</v>
      </c>
    </row>
    <row r="56" spans="1:32" x14ac:dyDescent="0.3">
      <c r="A56" s="31" t="s">
        <v>69</v>
      </c>
      <c r="B56" s="32">
        <v>45168</v>
      </c>
      <c r="C56" s="47">
        <f>EOMONTH(Table2[[#This Row],[OrderDate]],-1)+1</f>
        <v>45139</v>
      </c>
      <c r="D56" s="45">
        <f>EOMONTH(_xlfn.MINIFS(B56:B686,M56:M686,Table2[[#This Row],[Country]]), -1) + 1</f>
        <v>44927</v>
      </c>
      <c r="E56" s="47"/>
      <c r="F56" s="32" t="str">
        <f>"Q"&amp;ROUNDUP(MONTH(B56)/3,0)&amp;"-"&amp;YEAR(B56)</f>
        <v>Q3-2023</v>
      </c>
      <c r="G56" s="32">
        <v>45170</v>
      </c>
      <c r="H56" s="32">
        <f>IF(G56&lt;B56, B56+3, G56)</f>
        <v>45170</v>
      </c>
      <c r="I56" s="33">
        <f>H56-B56</f>
        <v>2</v>
      </c>
      <c r="J56" s="33">
        <f t="shared" si="0"/>
        <v>1</v>
      </c>
      <c r="K56" s="33">
        <f t="shared" si="1"/>
        <v>1</v>
      </c>
      <c r="L56" s="34" t="s">
        <v>649</v>
      </c>
      <c r="M56" s="34" t="s">
        <v>656</v>
      </c>
      <c r="N56" s="34" t="s">
        <v>684</v>
      </c>
      <c r="O56" s="34" t="s">
        <v>701</v>
      </c>
      <c r="P56" s="34" t="s">
        <v>711</v>
      </c>
      <c r="Q56" s="34" t="s">
        <v>725</v>
      </c>
      <c r="R56" s="34" t="s">
        <v>729</v>
      </c>
      <c r="S56" s="34" t="s">
        <v>788</v>
      </c>
      <c r="T56" s="35">
        <v>44.42</v>
      </c>
      <c r="U56" s="35">
        <v>41.9</v>
      </c>
      <c r="V56" s="35">
        <f t="shared" si="2"/>
        <v>0.14399999999999999</v>
      </c>
      <c r="W56" s="35">
        <v>0.14399999999999999</v>
      </c>
      <c r="X56" s="33">
        <f>IF(Table2[[#This Row],[DiscountPct]]&gt;0.2,1,0)</f>
        <v>0</v>
      </c>
      <c r="Y56" s="33">
        <v>6</v>
      </c>
      <c r="Z56" s="30">
        <f>Table2[[#This Row],[UnitPrice]]*Y56*(1-V56)</f>
        <v>215.19839999999996</v>
      </c>
      <c r="AA56" s="31">
        <f>T56*Y56</f>
        <v>266.52</v>
      </c>
      <c r="AB56" s="31">
        <f t="shared" si="3"/>
        <v>-51.321600000000018</v>
      </c>
      <c r="AC56" s="31">
        <f t="shared" si="4"/>
        <v>-0.23848504449847224</v>
      </c>
      <c r="AD56" s="31" t="e">
        <f>_xlfn.PERCENTILE.INC(S:S, 0.33)</f>
        <v>#NUM!</v>
      </c>
      <c r="AE56" s="31" t="e">
        <f>_xlfn.PERCENTILE.INC(S:S, 0.66)</f>
        <v>#NUM!</v>
      </c>
      <c r="AF56" s="30" t="e">
        <f t="shared" si="5"/>
        <v>#NUM!</v>
      </c>
    </row>
    <row r="57" spans="1:32" x14ac:dyDescent="0.3">
      <c r="A57" s="2" t="s">
        <v>70</v>
      </c>
      <c r="B57" s="4">
        <v>45753</v>
      </c>
      <c r="C57" s="46">
        <f>EOMONTH(Table2[[#This Row],[OrderDate]],-1)+1</f>
        <v>45748</v>
      </c>
      <c r="D57" s="45">
        <f>EOMONTH(_xlfn.MINIFS(B57:B687,M57:M687,Table2[[#This Row],[Country]]), -1) + 1</f>
        <v>44927</v>
      </c>
      <c r="E57" s="46"/>
      <c r="F57" s="4" t="str">
        <f>"Q"&amp;ROUNDUP(MONTH(B57)/3,0)&amp;"-"&amp;YEAR(B57)</f>
        <v>Q2-2025</v>
      </c>
      <c r="G57" s="4">
        <v>45777</v>
      </c>
      <c r="H57" s="4">
        <f>IF(G57&lt;B57, B57+3, G57)</f>
        <v>45777</v>
      </c>
      <c r="I57" s="10">
        <f>H57-B57</f>
        <v>24</v>
      </c>
      <c r="J57" s="10">
        <f t="shared" si="0"/>
        <v>0</v>
      </c>
      <c r="K57" s="10">
        <f t="shared" si="1"/>
        <v>0</v>
      </c>
      <c r="L57" s="6" t="s">
        <v>648</v>
      </c>
      <c r="M57" s="6" t="s">
        <v>655</v>
      </c>
      <c r="N57" s="6" t="s">
        <v>672</v>
      </c>
      <c r="O57" s="6" t="s">
        <v>702</v>
      </c>
      <c r="P57" s="6" t="s">
        <v>708</v>
      </c>
      <c r="Q57" s="6" t="s">
        <v>723</v>
      </c>
      <c r="R57" s="6" t="s">
        <v>732</v>
      </c>
      <c r="S57" s="6" t="s">
        <v>789</v>
      </c>
      <c r="T57" s="8">
        <v>855.78</v>
      </c>
      <c r="U57" s="8">
        <v>977.38</v>
      </c>
      <c r="V57" s="8">
        <f t="shared" si="2"/>
        <v>0.14699999999999999</v>
      </c>
      <c r="W57" s="8">
        <v>0.14699999999999999</v>
      </c>
      <c r="X57" s="10">
        <f>IF(Table2[[#This Row],[DiscountPct]]&gt;0.2,1,0)</f>
        <v>0</v>
      </c>
      <c r="Y57" s="10">
        <v>38</v>
      </c>
      <c r="Z57" s="30">
        <f>Table2[[#This Row],[UnitPrice]]*Y57*(1-V57)</f>
        <v>31680.795320000001</v>
      </c>
      <c r="AA57" s="2">
        <f>T57*Y57</f>
        <v>32519.64</v>
      </c>
      <c r="AB57" s="2">
        <f t="shared" si="3"/>
        <v>-838.84467999999833</v>
      </c>
      <c r="AC57" s="2">
        <f t="shared" si="4"/>
        <v>-2.6478018355506307E-2</v>
      </c>
      <c r="AD57" s="2" t="e">
        <f>_xlfn.PERCENTILE.INC(S:S, 0.33)</f>
        <v>#NUM!</v>
      </c>
      <c r="AE57" s="2" t="e">
        <f>_xlfn.PERCENTILE.INC(S:S, 0.66)</f>
        <v>#NUM!</v>
      </c>
      <c r="AF57" s="30" t="e">
        <f t="shared" si="5"/>
        <v>#NUM!</v>
      </c>
    </row>
    <row r="58" spans="1:32" x14ac:dyDescent="0.3">
      <c r="A58" s="31" t="s">
        <v>71</v>
      </c>
      <c r="B58" s="32">
        <v>45697</v>
      </c>
      <c r="C58" s="47">
        <f>EOMONTH(Table2[[#This Row],[OrderDate]],-1)+1</f>
        <v>45689</v>
      </c>
      <c r="D58" s="45">
        <f>EOMONTH(_xlfn.MINIFS(B58:B688,M58:M688,Table2[[#This Row],[Country]]), -1) + 1</f>
        <v>44927</v>
      </c>
      <c r="E58" s="47"/>
      <c r="F58" s="32" t="str">
        <f>"Q"&amp;ROUNDUP(MONTH(B58)/3,0)&amp;"-"&amp;YEAR(B58)</f>
        <v>Q1-2025</v>
      </c>
      <c r="G58" s="32">
        <v>45717</v>
      </c>
      <c r="H58" s="32">
        <f>IF(G58&lt;B58, B58+3, G58)</f>
        <v>45717</v>
      </c>
      <c r="I58" s="33">
        <f>H58-B58</f>
        <v>20</v>
      </c>
      <c r="J58" s="33">
        <f t="shared" si="0"/>
        <v>0</v>
      </c>
      <c r="K58" s="33">
        <f t="shared" si="1"/>
        <v>0</v>
      </c>
      <c r="L58" s="34" t="s">
        <v>648</v>
      </c>
      <c r="M58" s="34" t="s">
        <v>655</v>
      </c>
      <c r="N58" s="34" t="s">
        <v>670</v>
      </c>
      <c r="O58" s="34" t="s">
        <v>701</v>
      </c>
      <c r="P58" s="34" t="s">
        <v>710</v>
      </c>
      <c r="Q58" s="34" t="s">
        <v>717</v>
      </c>
      <c r="R58" s="34" t="s">
        <v>731</v>
      </c>
      <c r="S58" s="34" t="s">
        <v>790</v>
      </c>
      <c r="T58" s="35">
        <v>1154.6400000000001</v>
      </c>
      <c r="U58" s="35">
        <v>2794.13</v>
      </c>
      <c r="V58" s="35">
        <f t="shared" si="2"/>
        <v>3.5000000000000003E-2</v>
      </c>
      <c r="W58" s="35">
        <v>3.5000000000000003E-2</v>
      </c>
      <c r="X58" s="33">
        <f>IF(Table2[[#This Row],[DiscountPct]]&gt;0.2,1,0)</f>
        <v>0</v>
      </c>
      <c r="Y58" s="33">
        <v>11</v>
      </c>
      <c r="Z58" s="30">
        <f>Table2[[#This Row],[UnitPrice]]*Y58*(1-V58)</f>
        <v>29659.68995</v>
      </c>
      <c r="AA58" s="31">
        <f>T58*Y58</f>
        <v>12701.04</v>
      </c>
      <c r="AB58" s="31">
        <f t="shared" si="3"/>
        <v>16958.649949999999</v>
      </c>
      <c r="AC58" s="31">
        <f t="shared" si="4"/>
        <v>0.57177435025749479</v>
      </c>
      <c r="AD58" s="31" t="e">
        <f>_xlfn.PERCENTILE.INC(S:S, 0.33)</f>
        <v>#NUM!</v>
      </c>
      <c r="AE58" s="31" t="e">
        <f>_xlfn.PERCENTILE.INC(S:S, 0.66)</f>
        <v>#NUM!</v>
      </c>
      <c r="AF58" s="30" t="e">
        <f t="shared" si="5"/>
        <v>#NUM!</v>
      </c>
    </row>
    <row r="59" spans="1:32" x14ac:dyDescent="0.3">
      <c r="A59" s="2" t="s">
        <v>72</v>
      </c>
      <c r="B59" s="4">
        <v>45643</v>
      </c>
      <c r="C59" s="46">
        <f>EOMONTH(Table2[[#This Row],[OrderDate]],-1)+1</f>
        <v>45627</v>
      </c>
      <c r="D59" s="45">
        <f>EOMONTH(_xlfn.MINIFS(B59:B689,M59:M689,Table2[[#This Row],[Country]]), -1) + 1</f>
        <v>44927</v>
      </c>
      <c r="E59" s="46"/>
      <c r="F59" s="4" t="str">
        <f>"Q"&amp;ROUNDUP(MONTH(B59)/3,0)&amp;"-"&amp;YEAR(B59)</f>
        <v>Q4-2024</v>
      </c>
      <c r="G59" s="4">
        <v>45644</v>
      </c>
      <c r="H59" s="4">
        <f>IF(G59&lt;B59, B59+3, G59)</f>
        <v>45644</v>
      </c>
      <c r="I59" s="10">
        <f>H59-B59</f>
        <v>1</v>
      </c>
      <c r="J59" s="10">
        <f t="shared" si="0"/>
        <v>1</v>
      </c>
      <c r="K59" s="10">
        <f t="shared" si="1"/>
        <v>1</v>
      </c>
      <c r="L59" s="6" t="s">
        <v>649</v>
      </c>
      <c r="M59" s="6" t="s">
        <v>656</v>
      </c>
      <c r="N59" s="6" t="s">
        <v>684</v>
      </c>
      <c r="O59" s="6" t="s">
        <v>702</v>
      </c>
      <c r="P59" s="6" t="s">
        <v>707</v>
      </c>
      <c r="Q59" s="6" t="s">
        <v>716</v>
      </c>
      <c r="R59" s="6" t="s">
        <v>733</v>
      </c>
      <c r="S59" s="6" t="s">
        <v>791</v>
      </c>
      <c r="T59" s="8">
        <v>346.82</v>
      </c>
      <c r="U59" s="8">
        <v>701.95</v>
      </c>
      <c r="V59" s="8">
        <f t="shared" si="2"/>
        <v>0.14699999999999999</v>
      </c>
      <c r="W59" s="8">
        <v>0.14699999999999999</v>
      </c>
      <c r="X59" s="10">
        <f>IF(Table2[[#This Row],[DiscountPct]]&gt;0.2,1,0)</f>
        <v>0</v>
      </c>
      <c r="Y59" s="10">
        <v>8</v>
      </c>
      <c r="Z59" s="30">
        <f>Table2[[#This Row],[UnitPrice]]*Y59*(1-V59)</f>
        <v>4790.1068000000005</v>
      </c>
      <c r="AA59" s="2">
        <f>T59*Y59</f>
        <v>2774.56</v>
      </c>
      <c r="AB59" s="2">
        <f t="shared" si="3"/>
        <v>2015.5468000000005</v>
      </c>
      <c r="AC59" s="2">
        <f t="shared" si="4"/>
        <v>0.42077283120284509</v>
      </c>
      <c r="AD59" s="2" t="e">
        <f>_xlfn.PERCENTILE.INC(S:S, 0.33)</f>
        <v>#NUM!</v>
      </c>
      <c r="AE59" s="2" t="e">
        <f>_xlfn.PERCENTILE.INC(S:S, 0.66)</f>
        <v>#NUM!</v>
      </c>
      <c r="AF59" s="30" t="e">
        <f t="shared" si="5"/>
        <v>#NUM!</v>
      </c>
    </row>
    <row r="60" spans="1:32" x14ac:dyDescent="0.3">
      <c r="A60" s="31" t="s">
        <v>73</v>
      </c>
      <c r="B60" s="32">
        <v>45817</v>
      </c>
      <c r="C60" s="47">
        <f>EOMONTH(Table2[[#This Row],[OrderDate]],-1)+1</f>
        <v>45809</v>
      </c>
      <c r="D60" s="45">
        <f>EOMONTH(_xlfn.MINIFS(B60:B690,M60:M690,Table2[[#This Row],[Country]]), -1) + 1</f>
        <v>44927</v>
      </c>
      <c r="E60" s="47"/>
      <c r="F60" s="32" t="str">
        <f>"Q"&amp;ROUNDUP(MONTH(B60)/3,0)&amp;"-"&amp;YEAR(B60)</f>
        <v>Q2-2025</v>
      </c>
      <c r="G60" s="32">
        <v>45826</v>
      </c>
      <c r="H60" s="32">
        <f>IF(G60&lt;B60, B60+3, G60)</f>
        <v>45826</v>
      </c>
      <c r="I60" s="33">
        <f>H60-B60</f>
        <v>9</v>
      </c>
      <c r="J60" s="33">
        <f t="shared" si="0"/>
        <v>0</v>
      </c>
      <c r="K60" s="33">
        <f t="shared" si="1"/>
        <v>0</v>
      </c>
      <c r="L60" s="34" t="s">
        <v>649</v>
      </c>
      <c r="M60" s="34" t="s">
        <v>657</v>
      </c>
      <c r="N60" s="34" t="s">
        <v>673</v>
      </c>
      <c r="O60" s="34" t="s">
        <v>705</v>
      </c>
      <c r="P60" s="34" t="s">
        <v>709</v>
      </c>
      <c r="Q60" s="34" t="s">
        <v>722</v>
      </c>
      <c r="R60" s="34" t="s">
        <v>733</v>
      </c>
      <c r="S60" s="34" t="s">
        <v>792</v>
      </c>
      <c r="T60" s="35">
        <v>1225.5</v>
      </c>
      <c r="U60" s="35">
        <v>5.27</v>
      </c>
      <c r="V60" s="35">
        <f t="shared" si="2"/>
        <v>7.4999999999999997E-2</v>
      </c>
      <c r="W60" s="35">
        <v>7.4999999999999997E-2</v>
      </c>
      <c r="X60" s="33">
        <f>IF(Table2[[#This Row],[DiscountPct]]&gt;0.2,1,0)</f>
        <v>0</v>
      </c>
      <c r="Y60" s="33">
        <v>56</v>
      </c>
      <c r="Z60" s="30">
        <f>Table2[[#This Row],[UnitPrice]]*Y60*(1-V60)</f>
        <v>272.98599999999999</v>
      </c>
      <c r="AA60" s="31">
        <f>T60*Y60</f>
        <v>68628</v>
      </c>
      <c r="AB60" s="31">
        <f t="shared" si="3"/>
        <v>-68355.013999999996</v>
      </c>
      <c r="AC60" s="31">
        <f t="shared" si="4"/>
        <v>-250.39750756449047</v>
      </c>
      <c r="AD60" s="31" t="e">
        <f>_xlfn.PERCENTILE.INC(S:S, 0.33)</f>
        <v>#NUM!</v>
      </c>
      <c r="AE60" s="31" t="e">
        <f>_xlfn.PERCENTILE.INC(S:S, 0.66)</f>
        <v>#NUM!</v>
      </c>
      <c r="AF60" s="30" t="e">
        <f t="shared" si="5"/>
        <v>#NUM!</v>
      </c>
    </row>
    <row r="61" spans="1:32" x14ac:dyDescent="0.3">
      <c r="A61" s="2" t="s">
        <v>74</v>
      </c>
      <c r="B61" s="4">
        <v>45779</v>
      </c>
      <c r="C61" s="46">
        <f>EOMONTH(Table2[[#This Row],[OrderDate]],-1)+1</f>
        <v>45778</v>
      </c>
      <c r="D61" s="45">
        <f>EOMONTH(_xlfn.MINIFS(B61:B691,M61:M691,Table2[[#This Row],[Country]]), -1) + 1</f>
        <v>44927</v>
      </c>
      <c r="E61" s="46"/>
      <c r="F61" s="4" t="str">
        <f>"Q"&amp;ROUNDUP(MONTH(B61)/3,0)&amp;"-"&amp;YEAR(B61)</f>
        <v>Q2-2025</v>
      </c>
      <c r="G61" s="4">
        <v>45790</v>
      </c>
      <c r="H61" s="4">
        <f>IF(G61&lt;B61, B61+3, G61)</f>
        <v>45790</v>
      </c>
      <c r="I61" s="10">
        <f>H61-B61</f>
        <v>11</v>
      </c>
      <c r="J61" s="10">
        <f t="shared" si="0"/>
        <v>0</v>
      </c>
      <c r="K61" s="10">
        <f t="shared" si="1"/>
        <v>0</v>
      </c>
      <c r="L61" s="6" t="s">
        <v>646</v>
      </c>
      <c r="M61" s="6" t="s">
        <v>650</v>
      </c>
      <c r="N61" s="6" t="s">
        <v>678</v>
      </c>
      <c r="O61" s="6" t="s">
        <v>705</v>
      </c>
      <c r="P61" s="6" t="s">
        <v>708</v>
      </c>
      <c r="Q61" s="6" t="s">
        <v>720</v>
      </c>
      <c r="R61" s="6" t="s">
        <v>733</v>
      </c>
      <c r="S61" s="6" t="s">
        <v>793</v>
      </c>
      <c r="T61" s="8">
        <v>1057.5999999999999</v>
      </c>
      <c r="U61" s="8">
        <v>1437.06</v>
      </c>
      <c r="V61" s="8">
        <f t="shared" si="2"/>
        <v>0.20499999999999999</v>
      </c>
      <c r="W61" s="8">
        <v>0.20499999999999999</v>
      </c>
      <c r="X61" s="10">
        <f>IF(Table2[[#This Row],[DiscountPct]]&gt;0.2,1,0)</f>
        <v>1</v>
      </c>
      <c r="Y61" s="10">
        <v>4</v>
      </c>
      <c r="Z61" s="30">
        <f>Table2[[#This Row],[UnitPrice]]*Y61*(1-V61)</f>
        <v>4569.8508000000002</v>
      </c>
      <c r="AA61" s="2">
        <f>T61*Y61</f>
        <v>4230.3999999999996</v>
      </c>
      <c r="AB61" s="2">
        <f t="shared" si="3"/>
        <v>339.45080000000053</v>
      </c>
      <c r="AC61" s="2">
        <f t="shared" si="4"/>
        <v>7.4280499485891424E-2</v>
      </c>
      <c r="AD61" s="2" t="e">
        <f>_xlfn.PERCENTILE.INC(S:S, 0.33)</f>
        <v>#NUM!</v>
      </c>
      <c r="AE61" s="2" t="e">
        <f>_xlfn.PERCENTILE.INC(S:S, 0.66)</f>
        <v>#NUM!</v>
      </c>
      <c r="AF61" s="30" t="e">
        <f t="shared" si="5"/>
        <v>#NUM!</v>
      </c>
    </row>
    <row r="62" spans="1:32" x14ac:dyDescent="0.3">
      <c r="A62" s="31" t="s">
        <v>75</v>
      </c>
      <c r="B62" s="32">
        <v>45361</v>
      </c>
      <c r="C62" s="47">
        <f>EOMONTH(Table2[[#This Row],[OrderDate]],-1)+1</f>
        <v>45352</v>
      </c>
      <c r="D62" s="45">
        <f>EOMONTH(_xlfn.MINIFS(B62:B692,M62:M692,Table2[[#This Row],[Country]]), -1) + 1</f>
        <v>44927</v>
      </c>
      <c r="E62" s="47"/>
      <c r="F62" s="32" t="str">
        <f>"Q"&amp;ROUNDUP(MONTH(B62)/3,0)&amp;"-"&amp;YEAR(B62)</f>
        <v>Q1-2024</v>
      </c>
      <c r="G62" s="32">
        <v>45391</v>
      </c>
      <c r="H62" s="32">
        <f>IF(G62&lt;B62, B62+3, G62)</f>
        <v>45391</v>
      </c>
      <c r="I62" s="33">
        <f>H62-B62</f>
        <v>30</v>
      </c>
      <c r="J62" s="33">
        <f t="shared" si="0"/>
        <v>0</v>
      </c>
      <c r="K62" s="33">
        <f t="shared" si="1"/>
        <v>0</v>
      </c>
      <c r="L62" s="34" t="s">
        <v>649</v>
      </c>
      <c r="M62" s="34" t="s">
        <v>657</v>
      </c>
      <c r="N62" s="34" t="s">
        <v>679</v>
      </c>
      <c r="O62" s="34" t="s">
        <v>701</v>
      </c>
      <c r="P62" s="34" t="s">
        <v>711</v>
      </c>
      <c r="Q62" s="34" t="s">
        <v>714</v>
      </c>
      <c r="R62" s="34" t="s">
        <v>727</v>
      </c>
      <c r="S62" s="34" t="s">
        <v>794</v>
      </c>
      <c r="T62" s="35">
        <v>1176.56</v>
      </c>
      <c r="U62" s="35">
        <v>1911.89</v>
      </c>
      <c r="V62" s="35">
        <f t="shared" si="2"/>
        <v>0.11899999999999999</v>
      </c>
      <c r="W62" s="35">
        <v>0.11899999999999999</v>
      </c>
      <c r="X62" s="33">
        <f>IF(Table2[[#This Row],[DiscountPct]]&gt;0.2,1,0)</f>
        <v>0</v>
      </c>
      <c r="Y62" s="33">
        <v>20</v>
      </c>
      <c r="Z62" s="30">
        <f>Table2[[#This Row],[UnitPrice]]*Y62*(1-V62)</f>
        <v>33687.501800000005</v>
      </c>
      <c r="AA62" s="31">
        <f>T62*Y62</f>
        <v>23531.199999999997</v>
      </c>
      <c r="AB62" s="31">
        <f t="shared" si="3"/>
        <v>10156.301800000008</v>
      </c>
      <c r="AC62" s="31">
        <f t="shared" si="4"/>
        <v>0.30148575160892477</v>
      </c>
      <c r="AD62" s="31" t="e">
        <f>_xlfn.PERCENTILE.INC(S:S, 0.33)</f>
        <v>#NUM!</v>
      </c>
      <c r="AE62" s="31" t="e">
        <f>_xlfn.PERCENTILE.INC(S:S, 0.66)</f>
        <v>#NUM!</v>
      </c>
      <c r="AF62" s="30" t="e">
        <f t="shared" si="5"/>
        <v>#NUM!</v>
      </c>
    </row>
    <row r="63" spans="1:32" x14ac:dyDescent="0.3">
      <c r="A63" s="2" t="s">
        <v>76</v>
      </c>
      <c r="B63" s="4">
        <v>45910</v>
      </c>
      <c r="C63" s="46">
        <f>EOMONTH(Table2[[#This Row],[OrderDate]],-1)+1</f>
        <v>45901</v>
      </c>
      <c r="D63" s="45">
        <f>EOMONTH(_xlfn.MINIFS(B63:B693,M63:M693,Table2[[#This Row],[Country]]), -1) + 1</f>
        <v>44986</v>
      </c>
      <c r="E63" s="46"/>
      <c r="F63" s="4" t="str">
        <f>"Q"&amp;ROUNDUP(MONTH(B63)/3,0)&amp;"-"&amp;YEAR(B63)</f>
        <v>Q3-2025</v>
      </c>
      <c r="G63" s="4">
        <v>45912</v>
      </c>
      <c r="H63" s="4">
        <f>IF(G63&lt;B63, B63+3, G63)</f>
        <v>45912</v>
      </c>
      <c r="I63" s="10">
        <f>H63-B63</f>
        <v>2</v>
      </c>
      <c r="J63" s="10">
        <f t="shared" si="0"/>
        <v>1</v>
      </c>
      <c r="K63" s="10">
        <f t="shared" si="1"/>
        <v>1</v>
      </c>
      <c r="L63" s="6" t="s">
        <v>647</v>
      </c>
      <c r="M63" s="6" t="s">
        <v>652</v>
      </c>
      <c r="N63" s="6" t="s">
        <v>689</v>
      </c>
      <c r="O63" s="6" t="s">
        <v>704</v>
      </c>
      <c r="P63" s="6" t="s">
        <v>708</v>
      </c>
      <c r="Q63" s="6" t="s">
        <v>719</v>
      </c>
      <c r="R63" s="6" t="s">
        <v>727</v>
      </c>
      <c r="S63" s="6" t="s">
        <v>795</v>
      </c>
      <c r="T63" s="8">
        <v>1470.15</v>
      </c>
      <c r="U63" s="8">
        <v>2593.7800000000002</v>
      </c>
      <c r="V63" s="8">
        <f t="shared" si="2"/>
        <v>0.11</v>
      </c>
      <c r="W63" s="8">
        <v>0.11</v>
      </c>
      <c r="X63" s="10">
        <f>IF(Table2[[#This Row],[DiscountPct]]&gt;0.2,1,0)</f>
        <v>0</v>
      </c>
      <c r="Y63" s="10">
        <v>12</v>
      </c>
      <c r="Z63" s="30">
        <f>Table2[[#This Row],[UnitPrice]]*Y63*(1-V63)</f>
        <v>27701.570400000001</v>
      </c>
      <c r="AA63" s="2">
        <f>T63*Y63</f>
        <v>17641.800000000003</v>
      </c>
      <c r="AB63" s="2">
        <f t="shared" si="3"/>
        <v>10059.770399999998</v>
      </c>
      <c r="AC63" s="2">
        <f t="shared" si="4"/>
        <v>0.36314801849645306</v>
      </c>
      <c r="AD63" s="2" t="e">
        <f>_xlfn.PERCENTILE.INC(S:S, 0.33)</f>
        <v>#NUM!</v>
      </c>
      <c r="AE63" s="2" t="e">
        <f>_xlfn.PERCENTILE.INC(S:S, 0.66)</f>
        <v>#NUM!</v>
      </c>
      <c r="AF63" s="30" t="e">
        <f t="shared" si="5"/>
        <v>#NUM!</v>
      </c>
    </row>
    <row r="64" spans="1:32" x14ac:dyDescent="0.3">
      <c r="A64" s="31" t="s">
        <v>77</v>
      </c>
      <c r="B64" s="32">
        <v>45774</v>
      </c>
      <c r="C64" s="47">
        <f>EOMONTH(Table2[[#This Row],[OrderDate]],-1)+1</f>
        <v>45748</v>
      </c>
      <c r="D64" s="45">
        <f>EOMONTH(_xlfn.MINIFS(B64:B694,M64:M694,Table2[[#This Row],[Country]]), -1) + 1</f>
        <v>44927</v>
      </c>
      <c r="E64" s="47"/>
      <c r="F64" s="32" t="str">
        <f>"Q"&amp;ROUNDUP(MONTH(B64)/3,0)&amp;"-"&amp;YEAR(B64)</f>
        <v>Q2-2025</v>
      </c>
      <c r="G64" s="32">
        <v>45802</v>
      </c>
      <c r="H64" s="32">
        <f>IF(G64&lt;B64, B64+3, G64)</f>
        <v>45802</v>
      </c>
      <c r="I64" s="33">
        <f>H64-B64</f>
        <v>28</v>
      </c>
      <c r="J64" s="33">
        <f t="shared" si="0"/>
        <v>0</v>
      </c>
      <c r="K64" s="33">
        <f t="shared" si="1"/>
        <v>0</v>
      </c>
      <c r="L64" s="34" t="s">
        <v>649</v>
      </c>
      <c r="M64" s="34" t="s">
        <v>657</v>
      </c>
      <c r="N64" s="34" t="s">
        <v>690</v>
      </c>
      <c r="O64" s="34" t="s">
        <v>705</v>
      </c>
      <c r="P64" s="34" t="s">
        <v>709</v>
      </c>
      <c r="Q64" s="34" t="s">
        <v>714</v>
      </c>
      <c r="R64" s="34" t="s">
        <v>730</v>
      </c>
      <c r="S64" s="34" t="s">
        <v>796</v>
      </c>
      <c r="T64" s="35">
        <v>603.45000000000005</v>
      </c>
      <c r="U64" s="35">
        <v>1244.08</v>
      </c>
      <c r="V64" s="35">
        <f t="shared" si="2"/>
        <v>0.2</v>
      </c>
      <c r="W64" s="35">
        <v>0.2</v>
      </c>
      <c r="X64" s="33">
        <f>IF(Table2[[#This Row],[DiscountPct]]&gt;0.2,1,0)</f>
        <v>0</v>
      </c>
      <c r="Y64" s="33">
        <v>11</v>
      </c>
      <c r="Z64" s="30">
        <f>Table2[[#This Row],[UnitPrice]]*Y64*(1-V64)</f>
        <v>10947.904</v>
      </c>
      <c r="AA64" s="31">
        <f>T64*Y64</f>
        <v>6637.9500000000007</v>
      </c>
      <c r="AB64" s="31">
        <f t="shared" si="3"/>
        <v>4309.9539999999997</v>
      </c>
      <c r="AC64" s="31">
        <f t="shared" si="4"/>
        <v>0.39367846119220623</v>
      </c>
      <c r="AD64" s="31" t="e">
        <f>_xlfn.PERCENTILE.INC(S:S, 0.33)</f>
        <v>#NUM!</v>
      </c>
      <c r="AE64" s="31" t="e">
        <f>_xlfn.PERCENTILE.INC(S:S, 0.66)</f>
        <v>#NUM!</v>
      </c>
      <c r="AF64" s="30" t="e">
        <f t="shared" si="5"/>
        <v>#NUM!</v>
      </c>
    </row>
    <row r="65" spans="1:32" x14ac:dyDescent="0.3">
      <c r="A65" s="2" t="s">
        <v>78</v>
      </c>
      <c r="B65" s="4">
        <v>45598</v>
      </c>
      <c r="C65" s="46">
        <f>EOMONTH(Table2[[#This Row],[OrderDate]],-1)+1</f>
        <v>45597</v>
      </c>
      <c r="D65" s="45">
        <f>EOMONTH(_xlfn.MINIFS(B65:B695,M65:M695,Table2[[#This Row],[Country]]), -1) + 1</f>
        <v>44958</v>
      </c>
      <c r="E65" s="46"/>
      <c r="F65" s="4" t="str">
        <f>"Q"&amp;ROUNDUP(MONTH(B65)/3,0)&amp;"-"&amp;YEAR(B65)</f>
        <v>Q4-2024</v>
      </c>
      <c r="G65" s="4">
        <v>45614</v>
      </c>
      <c r="H65" s="4">
        <f>IF(G65&lt;B65, B65+3, G65)</f>
        <v>45614</v>
      </c>
      <c r="I65" s="10">
        <f>H65-B65</f>
        <v>16</v>
      </c>
      <c r="J65" s="10">
        <f t="shared" si="0"/>
        <v>0</v>
      </c>
      <c r="K65" s="10">
        <f t="shared" si="1"/>
        <v>0</v>
      </c>
      <c r="L65" s="6" t="s">
        <v>647</v>
      </c>
      <c r="M65" s="6" t="s">
        <v>654</v>
      </c>
      <c r="N65" s="6" t="s">
        <v>691</v>
      </c>
      <c r="O65" s="6" t="s">
        <v>705</v>
      </c>
      <c r="P65" s="6" t="s">
        <v>710</v>
      </c>
      <c r="Q65" s="6" t="s">
        <v>719</v>
      </c>
      <c r="R65" s="6" t="s">
        <v>732</v>
      </c>
      <c r="S65" s="6" t="s">
        <v>797</v>
      </c>
      <c r="T65" s="8">
        <v>1233.58</v>
      </c>
      <c r="U65" s="8">
        <v>1912.51</v>
      </c>
      <c r="V65" s="8">
        <f t="shared" si="2"/>
        <v>0.255</v>
      </c>
      <c r="W65" s="8">
        <v>0.255</v>
      </c>
      <c r="X65" s="10">
        <f>IF(Table2[[#This Row],[DiscountPct]]&gt;0.2,1,0)</f>
        <v>1</v>
      </c>
      <c r="Y65" s="10">
        <v>51</v>
      </c>
      <c r="Z65" s="30">
        <f>Table2[[#This Row],[UnitPrice]]*Y65*(1-V65)</f>
        <v>72665.817450000002</v>
      </c>
      <c r="AA65" s="2">
        <f>T65*Y65</f>
        <v>62912.579999999994</v>
      </c>
      <c r="AB65" s="2">
        <f t="shared" si="3"/>
        <v>9753.2374500000078</v>
      </c>
      <c r="AC65" s="2">
        <f t="shared" si="4"/>
        <v>0.134220432553601</v>
      </c>
      <c r="AD65" s="2" t="e">
        <f>_xlfn.PERCENTILE.INC(S:S, 0.33)</f>
        <v>#NUM!</v>
      </c>
      <c r="AE65" s="2" t="e">
        <f>_xlfn.PERCENTILE.INC(S:S, 0.66)</f>
        <v>#NUM!</v>
      </c>
      <c r="AF65" s="30" t="e">
        <f t="shared" si="5"/>
        <v>#NUM!</v>
      </c>
    </row>
    <row r="66" spans="1:32" x14ac:dyDescent="0.3">
      <c r="A66" s="31" t="s">
        <v>79</v>
      </c>
      <c r="B66" s="32">
        <v>44972</v>
      </c>
      <c r="C66" s="47">
        <f>EOMONTH(Table2[[#This Row],[OrderDate]],-1)+1</f>
        <v>44958</v>
      </c>
      <c r="D66" s="45">
        <f>EOMONTH(_xlfn.MINIFS(B66:B696,M66:M696,Table2[[#This Row],[Country]]), -1) + 1</f>
        <v>44927</v>
      </c>
      <c r="E66" s="47"/>
      <c r="F66" s="32" t="str">
        <f>"Q"&amp;ROUNDUP(MONTH(B66)/3,0)&amp;"-"&amp;YEAR(B66)</f>
        <v>Q1-2023</v>
      </c>
      <c r="G66" s="32">
        <v>44983</v>
      </c>
      <c r="H66" s="32">
        <f>IF(G66&lt;B66, B66+3, G66)</f>
        <v>44983</v>
      </c>
      <c r="I66" s="33">
        <f>H66-B66</f>
        <v>11</v>
      </c>
      <c r="J66" s="33">
        <f t="shared" ref="J66:J129" si="6">IF(I66 &lt;= 7, 1, 0)</f>
        <v>0</v>
      </c>
      <c r="K66" s="33">
        <f t="shared" ref="K66:K129" si="7">IF(I66&lt;=7,1,0)</f>
        <v>0</v>
      </c>
      <c r="L66" s="34" t="s">
        <v>646</v>
      </c>
      <c r="M66" s="34" t="s">
        <v>661</v>
      </c>
      <c r="N66" s="34" t="s">
        <v>682</v>
      </c>
      <c r="O66" s="34" t="s">
        <v>703</v>
      </c>
      <c r="P66" s="34" t="s">
        <v>707</v>
      </c>
      <c r="Q66" s="34" t="s">
        <v>723</v>
      </c>
      <c r="R66" s="34" t="s">
        <v>731</v>
      </c>
      <c r="S66" s="34" t="s">
        <v>798</v>
      </c>
      <c r="T66" s="35">
        <v>498.5</v>
      </c>
      <c r="U66" s="35">
        <v>755.87</v>
      </c>
      <c r="V66" s="35">
        <f t="shared" si="2"/>
        <v>0.13</v>
      </c>
      <c r="W66" s="35">
        <v>0.13</v>
      </c>
      <c r="X66" s="33">
        <f>IF(Table2[[#This Row],[DiscountPct]]&gt;0.2,1,0)</f>
        <v>0</v>
      </c>
      <c r="Y66" s="33">
        <v>40</v>
      </c>
      <c r="Z66" s="30">
        <f>Table2[[#This Row],[UnitPrice]]*Y66*(1-V66)</f>
        <v>26304.275999999998</v>
      </c>
      <c r="AA66" s="31">
        <f>T66*Y66</f>
        <v>19940</v>
      </c>
      <c r="AB66" s="31">
        <f t="shared" si="3"/>
        <v>6364.275999999998</v>
      </c>
      <c r="AC66" s="31">
        <f t="shared" si="4"/>
        <v>0.24194834330357537</v>
      </c>
      <c r="AD66" s="31" t="e">
        <f>_xlfn.PERCENTILE.INC(S:S, 0.33)</f>
        <v>#NUM!</v>
      </c>
      <c r="AE66" s="31" t="e">
        <f>_xlfn.PERCENTILE.INC(S:S, 0.66)</f>
        <v>#NUM!</v>
      </c>
      <c r="AF66" s="30" t="e">
        <f t="shared" si="5"/>
        <v>#NUM!</v>
      </c>
    </row>
    <row r="67" spans="1:32" x14ac:dyDescent="0.3">
      <c r="A67" s="2" t="s">
        <v>80</v>
      </c>
      <c r="B67" s="4">
        <v>45263</v>
      </c>
      <c r="C67" s="46">
        <f>EOMONTH(Table2[[#This Row],[OrderDate]],-1)+1</f>
        <v>45261</v>
      </c>
      <c r="D67" s="45">
        <f>EOMONTH(_xlfn.MINIFS(B67:B697,M67:M697,Table2[[#This Row],[Country]]), -1) + 1</f>
        <v>44927</v>
      </c>
      <c r="E67" s="46"/>
      <c r="F67" s="4" t="str">
        <f>"Q"&amp;ROUNDUP(MONTH(B67)/3,0)&amp;"-"&amp;YEAR(B67)</f>
        <v>Q4-2023</v>
      </c>
      <c r="G67" s="4">
        <v>45286</v>
      </c>
      <c r="H67" s="4">
        <f>IF(G67&lt;B67, B67+3, G67)</f>
        <v>45286</v>
      </c>
      <c r="I67" s="10">
        <f>H67-B67</f>
        <v>23</v>
      </c>
      <c r="J67" s="10">
        <f t="shared" si="6"/>
        <v>0</v>
      </c>
      <c r="K67" s="10">
        <f t="shared" si="7"/>
        <v>0</v>
      </c>
      <c r="L67" s="6" t="s">
        <v>648</v>
      </c>
      <c r="M67" s="6" t="s">
        <v>655</v>
      </c>
      <c r="N67" s="6" t="s">
        <v>692</v>
      </c>
      <c r="O67" s="6" t="s">
        <v>702</v>
      </c>
      <c r="P67" s="6" t="s">
        <v>707</v>
      </c>
      <c r="Q67" s="6" t="s">
        <v>719</v>
      </c>
      <c r="R67" s="6" t="s">
        <v>730</v>
      </c>
      <c r="S67" s="6" t="s">
        <v>799</v>
      </c>
      <c r="T67" s="8">
        <v>1303.1099999999999</v>
      </c>
      <c r="U67" s="8">
        <v>1145.67</v>
      </c>
      <c r="V67" s="8">
        <f t="shared" ref="V67:V130" si="8">IF(W67&gt;0.3,0.3,W67)</f>
        <v>0.184</v>
      </c>
      <c r="W67" s="8">
        <v>0.184</v>
      </c>
      <c r="X67" s="10">
        <f>IF(Table2[[#This Row],[DiscountPct]]&gt;0.2,1,0)</f>
        <v>0</v>
      </c>
      <c r="Y67" s="10">
        <v>13</v>
      </c>
      <c r="Z67" s="30">
        <f>Table2[[#This Row],[UnitPrice]]*Y67*(1-V67)</f>
        <v>12153.267360000002</v>
      </c>
      <c r="AA67" s="2">
        <f>T67*Y67</f>
        <v>16940.43</v>
      </c>
      <c r="AB67" s="2">
        <f t="shared" ref="AB67:AB130" si="9">Z67-AA67</f>
        <v>-4787.1626399999986</v>
      </c>
      <c r="AC67" s="2">
        <f t="shared" ref="AC67:AC130" si="10">IF(Z67=0,0,AB67/Z67)</f>
        <v>-0.39389922875851208</v>
      </c>
      <c r="AD67" s="2" t="e">
        <f>_xlfn.PERCENTILE.INC(S:S, 0.33)</f>
        <v>#NUM!</v>
      </c>
      <c r="AE67" s="2" t="e">
        <f>_xlfn.PERCENTILE.INC(S:S, 0.66)</f>
        <v>#NUM!</v>
      </c>
      <c r="AF67" s="30" t="e">
        <f t="shared" ref="AF67:AF130" si="11">IF(Z67="","",
   IF(Z67&lt;=AD67,"Low",
      IF(Z67&lt;=AE67,"Medium","High")
   )
)</f>
        <v>#NUM!</v>
      </c>
    </row>
    <row r="68" spans="1:32" x14ac:dyDescent="0.3">
      <c r="A68" s="31" t="s">
        <v>81</v>
      </c>
      <c r="B68" s="32">
        <v>45004</v>
      </c>
      <c r="C68" s="47">
        <f>EOMONTH(Table2[[#This Row],[OrderDate]],-1)+1</f>
        <v>44986</v>
      </c>
      <c r="D68" s="45">
        <f>EOMONTH(_xlfn.MINIFS(B68:B698,M68:M698,Table2[[#This Row],[Country]]), -1) + 1</f>
        <v>44927</v>
      </c>
      <c r="E68" s="47"/>
      <c r="F68" s="32" t="str">
        <f>"Q"&amp;ROUNDUP(MONTH(B68)/3,0)&amp;"-"&amp;YEAR(B68)</f>
        <v>Q1-2023</v>
      </c>
      <c r="G68" s="32">
        <v>45025</v>
      </c>
      <c r="H68" s="32">
        <f>IF(G68&lt;B68, B68+3, G68)</f>
        <v>45025</v>
      </c>
      <c r="I68" s="33">
        <f>H68-B68</f>
        <v>21</v>
      </c>
      <c r="J68" s="33">
        <f t="shared" si="6"/>
        <v>0</v>
      </c>
      <c r="K68" s="33">
        <f t="shared" si="7"/>
        <v>0</v>
      </c>
      <c r="L68" s="34" t="s">
        <v>649</v>
      </c>
      <c r="M68" s="34" t="s">
        <v>658</v>
      </c>
      <c r="N68" s="34" t="s">
        <v>693</v>
      </c>
      <c r="O68" s="34" t="s">
        <v>704</v>
      </c>
      <c r="P68" s="34" t="s">
        <v>707</v>
      </c>
      <c r="Q68" s="34" t="s">
        <v>716</v>
      </c>
      <c r="R68" s="34" t="s">
        <v>733</v>
      </c>
      <c r="S68" s="34" t="s">
        <v>800</v>
      </c>
      <c r="T68" s="35">
        <v>1082.17</v>
      </c>
      <c r="U68" s="35">
        <v>1234.0999999999999</v>
      </c>
      <c r="V68" s="35">
        <f t="shared" si="8"/>
        <v>0.189</v>
      </c>
      <c r="W68" s="35">
        <v>0.189</v>
      </c>
      <c r="X68" s="33">
        <f>IF(Table2[[#This Row],[DiscountPct]]&gt;0.2,1,0)</f>
        <v>0</v>
      </c>
      <c r="Y68" s="33">
        <v>16</v>
      </c>
      <c r="Z68" s="30">
        <f>Table2[[#This Row],[UnitPrice]]*Y68*(1-V68)</f>
        <v>16013.681599999998</v>
      </c>
      <c r="AA68" s="31">
        <f>T68*Y68</f>
        <v>17314.72</v>
      </c>
      <c r="AB68" s="31">
        <f t="shared" si="9"/>
        <v>-1301.0384000000031</v>
      </c>
      <c r="AC68" s="31">
        <f t="shared" si="10"/>
        <v>-8.124542703534228E-2</v>
      </c>
      <c r="AD68" s="31" t="e">
        <f>_xlfn.PERCENTILE.INC(S:S, 0.33)</f>
        <v>#NUM!</v>
      </c>
      <c r="AE68" s="31" t="e">
        <f>_xlfn.PERCENTILE.INC(S:S, 0.66)</f>
        <v>#NUM!</v>
      </c>
      <c r="AF68" s="30" t="e">
        <f t="shared" si="11"/>
        <v>#NUM!</v>
      </c>
    </row>
    <row r="69" spans="1:32" x14ac:dyDescent="0.3">
      <c r="A69" s="2" t="s">
        <v>82</v>
      </c>
      <c r="B69" s="4">
        <v>45434</v>
      </c>
      <c r="C69" s="46">
        <f>EOMONTH(Table2[[#This Row],[OrderDate]],-1)+1</f>
        <v>45413</v>
      </c>
      <c r="D69" s="45">
        <f>EOMONTH(_xlfn.MINIFS(B69:B699,M69:M699,Table2[[#This Row],[Country]]), -1) + 1</f>
        <v>44986</v>
      </c>
      <c r="E69" s="46"/>
      <c r="F69" s="4" t="str">
        <f>"Q"&amp;ROUNDUP(MONTH(B69)/3,0)&amp;"-"&amp;YEAR(B69)</f>
        <v>Q2-2024</v>
      </c>
      <c r="G69" s="4">
        <v>45449</v>
      </c>
      <c r="H69" s="4">
        <f>IF(G69&lt;B69, B69+3, G69)</f>
        <v>45449</v>
      </c>
      <c r="I69" s="10">
        <f>H69-B69</f>
        <v>15</v>
      </c>
      <c r="J69" s="10">
        <f t="shared" si="6"/>
        <v>0</v>
      </c>
      <c r="K69" s="10">
        <f t="shared" si="7"/>
        <v>0</v>
      </c>
      <c r="L69" s="6" t="s">
        <v>647</v>
      </c>
      <c r="M69" s="6" t="s">
        <v>652</v>
      </c>
      <c r="N69" s="6" t="s">
        <v>694</v>
      </c>
      <c r="O69" s="6" t="s">
        <v>701</v>
      </c>
      <c r="P69" s="6" t="s">
        <v>710</v>
      </c>
      <c r="Q69" s="6" t="s">
        <v>712</v>
      </c>
      <c r="R69" s="6" t="s">
        <v>732</v>
      </c>
      <c r="S69" s="6" t="s">
        <v>801</v>
      </c>
      <c r="T69" s="8">
        <v>673.88</v>
      </c>
      <c r="U69" s="8">
        <v>1228.01</v>
      </c>
      <c r="V69" s="8">
        <f t="shared" si="8"/>
        <v>0.105</v>
      </c>
      <c r="W69" s="8">
        <v>0.105</v>
      </c>
      <c r="X69" s="10">
        <f>IF(Table2[[#This Row],[DiscountPct]]&gt;0.2,1,0)</f>
        <v>0</v>
      </c>
      <c r="Y69" s="10">
        <v>13</v>
      </c>
      <c r="Z69" s="30">
        <f>Table2[[#This Row],[UnitPrice]]*Y69*(1-V69)</f>
        <v>14287.896349999999</v>
      </c>
      <c r="AA69" s="2">
        <f>T69*Y69</f>
        <v>8760.44</v>
      </c>
      <c r="AB69" s="2">
        <f t="shared" si="9"/>
        <v>5527.4563499999986</v>
      </c>
      <c r="AC69" s="2">
        <f t="shared" si="10"/>
        <v>0.38686285332689996</v>
      </c>
      <c r="AD69" s="2" t="e">
        <f>_xlfn.PERCENTILE.INC(S:S, 0.33)</f>
        <v>#NUM!</v>
      </c>
      <c r="AE69" s="2" t="e">
        <f>_xlfn.PERCENTILE.INC(S:S, 0.66)</f>
        <v>#NUM!</v>
      </c>
      <c r="AF69" s="30" t="e">
        <f t="shared" si="11"/>
        <v>#NUM!</v>
      </c>
    </row>
    <row r="70" spans="1:32" x14ac:dyDescent="0.3">
      <c r="A70" s="31" t="s">
        <v>83</v>
      </c>
      <c r="B70" s="32">
        <v>45157</v>
      </c>
      <c r="C70" s="47">
        <f>EOMONTH(Table2[[#This Row],[OrderDate]],-1)+1</f>
        <v>45139</v>
      </c>
      <c r="D70" s="45">
        <f>EOMONTH(_xlfn.MINIFS(B70:B700,M70:M700,Table2[[#This Row],[Country]]), -1) + 1</f>
        <v>44927</v>
      </c>
      <c r="E70" s="47"/>
      <c r="F70" s="32" t="str">
        <f>"Q"&amp;ROUNDUP(MONTH(B70)/3,0)&amp;"-"&amp;YEAR(B70)</f>
        <v>Q3-2023</v>
      </c>
      <c r="G70" s="32">
        <v>45176</v>
      </c>
      <c r="H70" s="32">
        <f>IF(G70&lt;B70, B70+3, G70)</f>
        <v>45176</v>
      </c>
      <c r="I70" s="33">
        <f>H70-B70</f>
        <v>19</v>
      </c>
      <c r="J70" s="33">
        <f t="shared" si="6"/>
        <v>0</v>
      </c>
      <c r="K70" s="33">
        <f t="shared" si="7"/>
        <v>0</v>
      </c>
      <c r="L70" s="34" t="s">
        <v>646</v>
      </c>
      <c r="M70" s="34" t="s">
        <v>661</v>
      </c>
      <c r="N70" s="34" t="s">
        <v>682</v>
      </c>
      <c r="O70" s="34" t="s">
        <v>706</v>
      </c>
      <c r="P70" s="34" t="s">
        <v>707</v>
      </c>
      <c r="Q70" s="34" t="s">
        <v>726</v>
      </c>
      <c r="R70" s="34" t="s">
        <v>732</v>
      </c>
      <c r="S70" s="34" t="s">
        <v>802</v>
      </c>
      <c r="T70" s="35">
        <v>494.61</v>
      </c>
      <c r="U70" s="35">
        <v>605.23</v>
      </c>
      <c r="V70" s="35">
        <f t="shared" si="8"/>
        <v>0.20399999999999999</v>
      </c>
      <c r="W70" s="35">
        <v>0.20399999999999999</v>
      </c>
      <c r="X70" s="33">
        <f>IF(Table2[[#This Row],[DiscountPct]]&gt;0.2,1,0)</f>
        <v>1</v>
      </c>
      <c r="Y70" s="33">
        <v>18</v>
      </c>
      <c r="Z70" s="30">
        <f>Table2[[#This Row],[UnitPrice]]*Y70*(1-V70)</f>
        <v>8671.7354400000004</v>
      </c>
      <c r="AA70" s="31">
        <f>T70*Y70</f>
        <v>8902.98</v>
      </c>
      <c r="AB70" s="31">
        <f t="shared" si="9"/>
        <v>-231.24455999999918</v>
      </c>
      <c r="AC70" s="31">
        <f t="shared" si="10"/>
        <v>-2.6666468505639647E-2</v>
      </c>
      <c r="AD70" s="31" t="e">
        <f>_xlfn.PERCENTILE.INC(S:S, 0.33)</f>
        <v>#NUM!</v>
      </c>
      <c r="AE70" s="31" t="e">
        <f>_xlfn.PERCENTILE.INC(S:S, 0.66)</f>
        <v>#NUM!</v>
      </c>
      <c r="AF70" s="30" t="e">
        <f t="shared" si="11"/>
        <v>#NUM!</v>
      </c>
    </row>
    <row r="71" spans="1:32" x14ac:dyDescent="0.3">
      <c r="A71" s="2" t="s">
        <v>84</v>
      </c>
      <c r="B71" s="4">
        <v>45037</v>
      </c>
      <c r="C71" s="46">
        <f>EOMONTH(Table2[[#This Row],[OrderDate]],-1)+1</f>
        <v>45017</v>
      </c>
      <c r="D71" s="45">
        <f>EOMONTH(_xlfn.MINIFS(B71:B701,M71:M701,Table2[[#This Row],[Country]]), -1) + 1</f>
        <v>44927</v>
      </c>
      <c r="E71" s="46"/>
      <c r="F71" s="4" t="str">
        <f>"Q"&amp;ROUNDUP(MONTH(B71)/3,0)&amp;"-"&amp;YEAR(B71)</f>
        <v>Q2-2023</v>
      </c>
      <c r="G71" s="4">
        <v>45056</v>
      </c>
      <c r="H71" s="4">
        <f>IF(G71&lt;B71, B71+3, G71)</f>
        <v>45056</v>
      </c>
      <c r="I71" s="10">
        <f>H71-B71</f>
        <v>19</v>
      </c>
      <c r="J71" s="10">
        <f t="shared" si="6"/>
        <v>0</v>
      </c>
      <c r="K71" s="10">
        <f t="shared" si="7"/>
        <v>0</v>
      </c>
      <c r="L71" s="6" t="s">
        <v>647</v>
      </c>
      <c r="M71" s="6" t="s">
        <v>659</v>
      </c>
      <c r="N71" s="6" t="s">
        <v>685</v>
      </c>
      <c r="O71" s="6" t="s">
        <v>701</v>
      </c>
      <c r="P71" s="6" t="s">
        <v>707</v>
      </c>
      <c r="Q71" s="6" t="s">
        <v>720</v>
      </c>
      <c r="R71" s="6" t="s">
        <v>727</v>
      </c>
      <c r="S71" s="6" t="s">
        <v>803</v>
      </c>
      <c r="T71" s="8">
        <v>882.33</v>
      </c>
      <c r="U71" s="8">
        <v>1880.15</v>
      </c>
      <c r="V71" s="8">
        <f t="shared" si="8"/>
        <v>0.05</v>
      </c>
      <c r="W71" s="8">
        <v>0.05</v>
      </c>
      <c r="X71" s="10">
        <f>IF(Table2[[#This Row],[DiscountPct]]&gt;0.2,1,0)</f>
        <v>0</v>
      </c>
      <c r="Y71" s="10">
        <v>5</v>
      </c>
      <c r="Z71" s="30">
        <f>Table2[[#This Row],[UnitPrice]]*Y71*(1-V71)</f>
        <v>8930.7124999999996</v>
      </c>
      <c r="AA71" s="2">
        <f>T71*Y71</f>
        <v>4411.6500000000005</v>
      </c>
      <c r="AB71" s="2">
        <f t="shared" si="9"/>
        <v>4519.0624999999991</v>
      </c>
      <c r="AC71" s="2">
        <f t="shared" si="10"/>
        <v>0.50601365792482955</v>
      </c>
      <c r="AD71" s="2" t="e">
        <f>_xlfn.PERCENTILE.INC(S:S, 0.33)</f>
        <v>#NUM!</v>
      </c>
      <c r="AE71" s="2" t="e">
        <f>_xlfn.PERCENTILE.INC(S:S, 0.66)</f>
        <v>#NUM!</v>
      </c>
      <c r="AF71" s="30" t="e">
        <f t="shared" si="11"/>
        <v>#NUM!</v>
      </c>
    </row>
    <row r="72" spans="1:32" x14ac:dyDescent="0.3">
      <c r="A72" s="31" t="s">
        <v>85</v>
      </c>
      <c r="B72" s="32">
        <v>45369</v>
      </c>
      <c r="C72" s="47">
        <f>EOMONTH(Table2[[#This Row],[OrderDate]],-1)+1</f>
        <v>45352</v>
      </c>
      <c r="D72" s="45">
        <f>EOMONTH(_xlfn.MINIFS(B72:B702,M72:M702,Table2[[#This Row],[Country]]), -1) + 1</f>
        <v>44927</v>
      </c>
      <c r="E72" s="47"/>
      <c r="F72" s="32" t="str">
        <f>"Q"&amp;ROUNDUP(MONTH(B72)/3,0)&amp;"-"&amp;YEAR(B72)</f>
        <v>Q1-2024</v>
      </c>
      <c r="G72" s="32">
        <v>45372</v>
      </c>
      <c r="H72" s="32">
        <f>IF(G72&lt;B72, B72+3, G72)</f>
        <v>45372</v>
      </c>
      <c r="I72" s="33">
        <f>H72-B72</f>
        <v>3</v>
      </c>
      <c r="J72" s="33">
        <f t="shared" si="6"/>
        <v>1</v>
      </c>
      <c r="K72" s="33">
        <f t="shared" si="7"/>
        <v>1</v>
      </c>
      <c r="L72" s="34" t="s">
        <v>649</v>
      </c>
      <c r="M72" s="34" t="s">
        <v>656</v>
      </c>
      <c r="N72" s="34" t="s">
        <v>684</v>
      </c>
      <c r="O72" s="34" t="s">
        <v>705</v>
      </c>
      <c r="P72" s="34" t="s">
        <v>708</v>
      </c>
      <c r="Q72" s="34" t="s">
        <v>724</v>
      </c>
      <c r="R72" s="34" t="s">
        <v>733</v>
      </c>
      <c r="S72" s="34" t="s">
        <v>804</v>
      </c>
      <c r="T72" s="35">
        <v>910.63</v>
      </c>
      <c r="U72" s="35">
        <v>1269.4000000000001</v>
      </c>
      <c r="V72" s="35">
        <f t="shared" si="8"/>
        <v>6.8000000000000005E-2</v>
      </c>
      <c r="W72" s="35">
        <v>6.8000000000000005E-2</v>
      </c>
      <c r="X72" s="33">
        <f>IF(Table2[[#This Row],[DiscountPct]]&gt;0.2,1,0)</f>
        <v>0</v>
      </c>
      <c r="Y72" s="33">
        <v>9</v>
      </c>
      <c r="Z72" s="30">
        <f>Table2[[#This Row],[UnitPrice]]*Y72*(1-V72)</f>
        <v>10647.727199999999</v>
      </c>
      <c r="AA72" s="31">
        <f>T72*Y72</f>
        <v>8195.67</v>
      </c>
      <c r="AB72" s="31">
        <f t="shared" si="9"/>
        <v>2452.0571999999993</v>
      </c>
      <c r="AC72" s="31">
        <f t="shared" si="10"/>
        <v>0.23028925834989455</v>
      </c>
      <c r="AD72" s="31" t="e">
        <f>_xlfn.PERCENTILE.INC(S:S, 0.33)</f>
        <v>#NUM!</v>
      </c>
      <c r="AE72" s="31" t="e">
        <f>_xlfn.PERCENTILE.INC(S:S, 0.66)</f>
        <v>#NUM!</v>
      </c>
      <c r="AF72" s="30" t="e">
        <f t="shared" si="11"/>
        <v>#NUM!</v>
      </c>
    </row>
    <row r="73" spans="1:32" x14ac:dyDescent="0.3">
      <c r="A73" s="2" t="s">
        <v>86</v>
      </c>
      <c r="B73" s="4">
        <v>45756</v>
      </c>
      <c r="C73" s="46">
        <f>EOMONTH(Table2[[#This Row],[OrderDate]],-1)+1</f>
        <v>45748</v>
      </c>
      <c r="D73" s="45">
        <f>EOMONTH(_xlfn.MINIFS(B73:B703,M73:M703,Table2[[#This Row],[Country]]), -1) + 1</f>
        <v>44927</v>
      </c>
      <c r="E73" s="46"/>
      <c r="F73" s="4" t="str">
        <f>"Q"&amp;ROUNDUP(MONTH(B73)/3,0)&amp;"-"&amp;YEAR(B73)</f>
        <v>Q2-2025</v>
      </c>
      <c r="G73" s="4">
        <v>45783</v>
      </c>
      <c r="H73" s="4">
        <f>IF(G73&lt;B73, B73+3, G73)</f>
        <v>45783</v>
      </c>
      <c r="I73" s="10">
        <f>H73-B73</f>
        <v>27</v>
      </c>
      <c r="J73" s="10">
        <f t="shared" si="6"/>
        <v>0</v>
      </c>
      <c r="K73" s="10">
        <f t="shared" si="7"/>
        <v>0</v>
      </c>
      <c r="L73" s="6" t="s">
        <v>648</v>
      </c>
      <c r="M73" s="6" t="s">
        <v>655</v>
      </c>
      <c r="N73" s="6" t="s">
        <v>672</v>
      </c>
      <c r="O73" s="6" t="s">
        <v>706</v>
      </c>
      <c r="P73" s="6" t="s">
        <v>709</v>
      </c>
      <c r="Q73" s="6" t="s">
        <v>721</v>
      </c>
      <c r="R73" s="6" t="s">
        <v>731</v>
      </c>
      <c r="S73" s="6" t="s">
        <v>805</v>
      </c>
      <c r="T73" s="8">
        <v>264.19</v>
      </c>
      <c r="U73" s="8">
        <v>620.92999999999995</v>
      </c>
      <c r="V73" s="8">
        <f t="shared" si="8"/>
        <v>0.14199999999999999</v>
      </c>
      <c r="W73" s="8">
        <v>0.14199999999999999</v>
      </c>
      <c r="X73" s="10">
        <f>IF(Table2[[#This Row],[DiscountPct]]&gt;0.2,1,0)</f>
        <v>0</v>
      </c>
      <c r="Y73" s="10">
        <v>12</v>
      </c>
      <c r="Z73" s="30">
        <f>Table2[[#This Row],[UnitPrice]]*Y73*(1-V73)</f>
        <v>6393.0952799999995</v>
      </c>
      <c r="AA73" s="2">
        <f>T73*Y73</f>
        <v>3170.2799999999997</v>
      </c>
      <c r="AB73" s="2">
        <f t="shared" si="9"/>
        <v>3222.8152799999998</v>
      </c>
      <c r="AC73" s="2">
        <f t="shared" si="10"/>
        <v>0.50410875152794532</v>
      </c>
      <c r="AD73" s="2" t="e">
        <f>_xlfn.PERCENTILE.INC(S:S, 0.33)</f>
        <v>#NUM!</v>
      </c>
      <c r="AE73" s="2" t="e">
        <f>_xlfn.PERCENTILE.INC(S:S, 0.66)</f>
        <v>#NUM!</v>
      </c>
      <c r="AF73" s="30" t="e">
        <f t="shared" si="11"/>
        <v>#NUM!</v>
      </c>
    </row>
    <row r="74" spans="1:32" x14ac:dyDescent="0.3">
      <c r="A74" s="31" t="s">
        <v>87</v>
      </c>
      <c r="B74" s="32">
        <v>45394</v>
      </c>
      <c r="C74" s="47">
        <f>EOMONTH(Table2[[#This Row],[OrderDate]],-1)+1</f>
        <v>45383</v>
      </c>
      <c r="D74" s="45">
        <f>EOMONTH(_xlfn.MINIFS(B74:B704,M74:M704,Table2[[#This Row],[Country]]), -1) + 1</f>
        <v>44927</v>
      </c>
      <c r="E74" s="47"/>
      <c r="F74" s="32" t="str">
        <f>"Q"&amp;ROUNDUP(MONTH(B74)/3,0)&amp;"-"&amp;YEAR(B74)</f>
        <v>Q2-2024</v>
      </c>
      <c r="G74" s="32">
        <v>45419</v>
      </c>
      <c r="H74" s="32">
        <f>IF(G74&lt;B74, B74+3, G74)</f>
        <v>45419</v>
      </c>
      <c r="I74" s="33">
        <f>H74-B74</f>
        <v>25</v>
      </c>
      <c r="J74" s="33">
        <f t="shared" si="6"/>
        <v>0</v>
      </c>
      <c r="K74" s="33">
        <f t="shared" si="7"/>
        <v>0</v>
      </c>
      <c r="L74" s="34" t="s">
        <v>646</v>
      </c>
      <c r="M74" s="34" t="s">
        <v>661</v>
      </c>
      <c r="N74" s="34" t="s">
        <v>682</v>
      </c>
      <c r="O74" s="34" t="s">
        <v>702</v>
      </c>
      <c r="P74" s="34" t="s">
        <v>710</v>
      </c>
      <c r="Q74" s="34" t="s">
        <v>720</v>
      </c>
      <c r="R74" s="34" t="s">
        <v>731</v>
      </c>
      <c r="S74" s="34" t="s">
        <v>806</v>
      </c>
      <c r="T74" s="35">
        <v>1376.51</v>
      </c>
      <c r="U74" s="35">
        <v>1455.91</v>
      </c>
      <c r="V74" s="35">
        <f t="shared" si="8"/>
        <v>0.185</v>
      </c>
      <c r="W74" s="35">
        <v>0.185</v>
      </c>
      <c r="X74" s="33">
        <f>IF(Table2[[#This Row],[DiscountPct]]&gt;0.2,1,0)</f>
        <v>0</v>
      </c>
      <c r="Y74" s="33">
        <v>17</v>
      </c>
      <c r="Z74" s="30">
        <f>Table2[[#This Row],[UnitPrice]]*Y74*(1-V74)</f>
        <v>20171.63305</v>
      </c>
      <c r="AA74" s="31">
        <f>T74*Y74</f>
        <v>23400.67</v>
      </c>
      <c r="AB74" s="31">
        <f t="shared" si="9"/>
        <v>-3229.0369499999979</v>
      </c>
      <c r="AC74" s="31">
        <f t="shared" si="10"/>
        <v>-0.1600781127634085</v>
      </c>
      <c r="AD74" s="31" t="e">
        <f>_xlfn.PERCENTILE.INC(S:S, 0.33)</f>
        <v>#NUM!</v>
      </c>
      <c r="AE74" s="31" t="e">
        <f>_xlfn.PERCENTILE.INC(S:S, 0.66)</f>
        <v>#NUM!</v>
      </c>
      <c r="AF74" s="30" t="e">
        <f t="shared" si="11"/>
        <v>#NUM!</v>
      </c>
    </row>
    <row r="75" spans="1:32" x14ac:dyDescent="0.3">
      <c r="A75" s="2" t="s">
        <v>88</v>
      </c>
      <c r="B75" s="4">
        <v>45641</v>
      </c>
      <c r="C75" s="46">
        <f>EOMONTH(Table2[[#This Row],[OrderDate]],-1)+1</f>
        <v>45627</v>
      </c>
      <c r="D75" s="45">
        <f>EOMONTH(_xlfn.MINIFS(B75:B705,M75:M705,Table2[[#This Row],[Country]]), -1) + 1</f>
        <v>44927</v>
      </c>
      <c r="E75" s="46"/>
      <c r="F75" s="4" t="str">
        <f>"Q"&amp;ROUNDUP(MONTH(B75)/3,0)&amp;"-"&amp;YEAR(B75)</f>
        <v>Q4-2024</v>
      </c>
      <c r="G75" s="4">
        <v>45646</v>
      </c>
      <c r="H75" s="4">
        <f>IF(G75&lt;B75, B75+3, G75)</f>
        <v>45646</v>
      </c>
      <c r="I75" s="10">
        <f>H75-B75</f>
        <v>5</v>
      </c>
      <c r="J75" s="10">
        <f t="shared" si="6"/>
        <v>1</v>
      </c>
      <c r="K75" s="10">
        <f t="shared" si="7"/>
        <v>1</v>
      </c>
      <c r="L75" s="6" t="s">
        <v>647</v>
      </c>
      <c r="M75" s="6" t="s">
        <v>659</v>
      </c>
      <c r="N75" s="6" t="s">
        <v>676</v>
      </c>
      <c r="O75" s="6" t="s">
        <v>705</v>
      </c>
      <c r="P75" s="6" t="s">
        <v>711</v>
      </c>
      <c r="Q75" s="6" t="s">
        <v>713</v>
      </c>
      <c r="R75" s="6" t="s">
        <v>729</v>
      </c>
      <c r="S75" s="6" t="s">
        <v>807</v>
      </c>
      <c r="T75" s="8">
        <v>717.55</v>
      </c>
      <c r="U75" s="8">
        <v>546.42999999999995</v>
      </c>
      <c r="V75" s="8">
        <f t="shared" si="8"/>
        <v>4.7E-2</v>
      </c>
      <c r="W75" s="8">
        <v>4.7E-2</v>
      </c>
      <c r="X75" s="10">
        <f>IF(Table2[[#This Row],[DiscountPct]]&gt;0.2,1,0)</f>
        <v>0</v>
      </c>
      <c r="Y75" s="10">
        <v>18</v>
      </c>
      <c r="Z75" s="30">
        <f>Table2[[#This Row],[UnitPrice]]*Y75*(1-V75)</f>
        <v>9373.460219999999</v>
      </c>
      <c r="AA75" s="2">
        <f>T75*Y75</f>
        <v>12915.9</v>
      </c>
      <c r="AB75" s="2">
        <f t="shared" si="9"/>
        <v>-3542.4397800000006</v>
      </c>
      <c r="AC75" s="2">
        <f t="shared" si="10"/>
        <v>-0.37792231437026369</v>
      </c>
      <c r="AD75" s="2" t="e">
        <f>_xlfn.PERCENTILE.INC(S:S, 0.33)</f>
        <v>#NUM!</v>
      </c>
      <c r="AE75" s="2" t="e">
        <f>_xlfn.PERCENTILE.INC(S:S, 0.66)</f>
        <v>#NUM!</v>
      </c>
      <c r="AF75" s="30" t="e">
        <f t="shared" si="11"/>
        <v>#NUM!</v>
      </c>
    </row>
    <row r="76" spans="1:32" x14ac:dyDescent="0.3">
      <c r="A76" s="31" t="s">
        <v>89</v>
      </c>
      <c r="B76" s="32">
        <v>45066</v>
      </c>
      <c r="C76" s="47">
        <f>EOMONTH(Table2[[#This Row],[OrderDate]],-1)+1</f>
        <v>45047</v>
      </c>
      <c r="D76" s="45">
        <f>EOMONTH(_xlfn.MINIFS(B76:B706,M76:M706,Table2[[#This Row],[Country]]), -1) + 1</f>
        <v>44927</v>
      </c>
      <c r="E76" s="47"/>
      <c r="F76" s="32" t="str">
        <f>"Q"&amp;ROUNDUP(MONTH(B76)/3,0)&amp;"-"&amp;YEAR(B76)</f>
        <v>Q2-2023</v>
      </c>
      <c r="G76" s="32">
        <v>45064</v>
      </c>
      <c r="H76" s="32">
        <f>IF(G76&lt;B76, B76+3, G76)</f>
        <v>45069</v>
      </c>
      <c r="I76" s="33">
        <f>H76-B76</f>
        <v>3</v>
      </c>
      <c r="J76" s="33">
        <f t="shared" si="6"/>
        <v>1</v>
      </c>
      <c r="K76" s="33">
        <f t="shared" si="7"/>
        <v>1</v>
      </c>
      <c r="L76" s="34" t="s">
        <v>646</v>
      </c>
      <c r="M76" s="34" t="s">
        <v>661</v>
      </c>
      <c r="N76" s="34" t="s">
        <v>687</v>
      </c>
      <c r="O76" s="34" t="s">
        <v>701</v>
      </c>
      <c r="P76" s="34" t="s">
        <v>710</v>
      </c>
      <c r="Q76" s="34" t="s">
        <v>720</v>
      </c>
      <c r="R76" s="34" t="s">
        <v>727</v>
      </c>
      <c r="S76" s="34" t="s">
        <v>808</v>
      </c>
      <c r="T76" s="35">
        <v>917.88</v>
      </c>
      <c r="U76" s="35">
        <v>1347.92</v>
      </c>
      <c r="V76" s="35">
        <f t="shared" si="8"/>
        <v>0.3</v>
      </c>
      <c r="W76" s="35">
        <v>0.34300000000000003</v>
      </c>
      <c r="X76" s="33">
        <f>IF(Table2[[#This Row],[DiscountPct]]&gt;0.2,1,0)</f>
        <v>1</v>
      </c>
      <c r="Y76" s="33">
        <v>5</v>
      </c>
      <c r="Z76" s="30">
        <f>Table2[[#This Row],[UnitPrice]]*Y76*(1-V76)</f>
        <v>4717.72</v>
      </c>
      <c r="AA76" s="31">
        <f>T76*Y76</f>
        <v>4589.3999999999996</v>
      </c>
      <c r="AB76" s="31">
        <f t="shared" si="9"/>
        <v>128.32000000000062</v>
      </c>
      <c r="AC76" s="31">
        <f t="shared" si="10"/>
        <v>2.7199579457873848E-2</v>
      </c>
      <c r="AD76" s="31" t="e">
        <f>_xlfn.PERCENTILE.INC(S:S, 0.33)</f>
        <v>#NUM!</v>
      </c>
      <c r="AE76" s="31" t="e">
        <f>_xlfn.PERCENTILE.INC(S:S, 0.66)</f>
        <v>#NUM!</v>
      </c>
      <c r="AF76" s="30" t="e">
        <f t="shared" si="11"/>
        <v>#NUM!</v>
      </c>
    </row>
    <row r="77" spans="1:32" x14ac:dyDescent="0.3">
      <c r="A77" s="2" t="s">
        <v>90</v>
      </c>
      <c r="B77" s="4">
        <v>45187</v>
      </c>
      <c r="C77" s="46">
        <f>EOMONTH(Table2[[#This Row],[OrderDate]],-1)+1</f>
        <v>45170</v>
      </c>
      <c r="D77" s="45">
        <f>EOMONTH(_xlfn.MINIFS(B77:B707,M77:M707,Table2[[#This Row],[Country]]), -1) + 1</f>
        <v>44958</v>
      </c>
      <c r="E77" s="46"/>
      <c r="F77" s="4" t="str">
        <f>"Q"&amp;ROUNDUP(MONTH(B77)/3,0)&amp;"-"&amp;YEAR(B77)</f>
        <v>Q3-2023</v>
      </c>
      <c r="G77" s="4">
        <v>45207</v>
      </c>
      <c r="H77" s="4">
        <f>IF(G77&lt;B77, B77+3, G77)</f>
        <v>45207</v>
      </c>
      <c r="I77" s="10">
        <f>H77-B77</f>
        <v>20</v>
      </c>
      <c r="J77" s="10">
        <f t="shared" si="6"/>
        <v>0</v>
      </c>
      <c r="K77" s="10">
        <f t="shared" si="7"/>
        <v>0</v>
      </c>
      <c r="L77" s="6" t="s">
        <v>647</v>
      </c>
      <c r="M77" s="6" t="s">
        <v>654</v>
      </c>
      <c r="N77" s="6" t="s">
        <v>680</v>
      </c>
      <c r="O77" s="6" t="s">
        <v>705</v>
      </c>
      <c r="P77" s="6" t="s">
        <v>711</v>
      </c>
      <c r="Q77" s="6" t="s">
        <v>717</v>
      </c>
      <c r="R77" s="6" t="s">
        <v>727</v>
      </c>
      <c r="S77" s="6" t="s">
        <v>809</v>
      </c>
      <c r="T77" s="8">
        <v>825.64</v>
      </c>
      <c r="U77" s="8">
        <v>1108.43</v>
      </c>
      <c r="V77" s="8">
        <f t="shared" si="8"/>
        <v>0.114</v>
      </c>
      <c r="W77" s="8">
        <v>0.114</v>
      </c>
      <c r="X77" s="10">
        <f>IF(Table2[[#This Row],[DiscountPct]]&gt;0.2,1,0)</f>
        <v>0</v>
      </c>
      <c r="Y77" s="10">
        <v>7</v>
      </c>
      <c r="Z77" s="30">
        <f>Table2[[#This Row],[UnitPrice]]*Y77*(1-V77)</f>
        <v>6874.4828600000001</v>
      </c>
      <c r="AA77" s="2">
        <f>T77*Y77</f>
        <v>5779.48</v>
      </c>
      <c r="AB77" s="2">
        <f t="shared" si="9"/>
        <v>1095.0028600000005</v>
      </c>
      <c r="AC77" s="2">
        <f t="shared" si="10"/>
        <v>0.15928512475773349</v>
      </c>
      <c r="AD77" s="2" t="e">
        <f>_xlfn.PERCENTILE.INC(S:S, 0.33)</f>
        <v>#NUM!</v>
      </c>
      <c r="AE77" s="2" t="e">
        <f>_xlfn.PERCENTILE.INC(S:S, 0.66)</f>
        <v>#NUM!</v>
      </c>
      <c r="AF77" s="30" t="e">
        <f t="shared" si="11"/>
        <v>#NUM!</v>
      </c>
    </row>
    <row r="78" spans="1:32" x14ac:dyDescent="0.3">
      <c r="A78" s="31" t="s">
        <v>91</v>
      </c>
      <c r="B78" s="32">
        <v>45532</v>
      </c>
      <c r="C78" s="47">
        <f>EOMONTH(Table2[[#This Row],[OrderDate]],-1)+1</f>
        <v>45505</v>
      </c>
      <c r="D78" s="45">
        <f>EOMONTH(_xlfn.MINIFS(B78:B708,M78:M708,Table2[[#This Row],[Country]]), -1) + 1</f>
        <v>44927</v>
      </c>
      <c r="E78" s="47"/>
      <c r="F78" s="32" t="str">
        <f>"Q"&amp;ROUNDUP(MONTH(B78)/3,0)&amp;"-"&amp;YEAR(B78)</f>
        <v>Q3-2024</v>
      </c>
      <c r="G78" s="32">
        <v>45560</v>
      </c>
      <c r="H78" s="32">
        <f>IF(G78&lt;B78, B78+3, G78)</f>
        <v>45560</v>
      </c>
      <c r="I78" s="33">
        <f>H78-B78</f>
        <v>28</v>
      </c>
      <c r="J78" s="33">
        <f t="shared" si="6"/>
        <v>0</v>
      </c>
      <c r="K78" s="33">
        <f t="shared" si="7"/>
        <v>0</v>
      </c>
      <c r="L78" s="34" t="s">
        <v>648</v>
      </c>
      <c r="M78" s="34" t="s">
        <v>655</v>
      </c>
      <c r="N78" s="34" t="s">
        <v>692</v>
      </c>
      <c r="O78" s="34" t="s">
        <v>703</v>
      </c>
      <c r="P78" s="34" t="s">
        <v>708</v>
      </c>
      <c r="Q78" s="34" t="s">
        <v>1438</v>
      </c>
      <c r="R78" s="34" t="s">
        <v>733</v>
      </c>
      <c r="S78" s="34" t="s">
        <v>810</v>
      </c>
      <c r="T78" s="35">
        <v>1394.65</v>
      </c>
      <c r="U78" s="35">
        <v>3144.1</v>
      </c>
      <c r="V78" s="35">
        <f t="shared" si="8"/>
        <v>0.13400000000000001</v>
      </c>
      <c r="W78" s="35">
        <v>0.13400000000000001</v>
      </c>
      <c r="X78" s="33">
        <f>IF(Table2[[#This Row],[DiscountPct]]&gt;0.2,1,0)</f>
        <v>0</v>
      </c>
      <c r="Y78" s="33">
        <v>13</v>
      </c>
      <c r="Z78" s="30">
        <f>Table2[[#This Row],[UnitPrice]]*Y78*(1-V78)</f>
        <v>35396.277799999996</v>
      </c>
      <c r="AA78" s="31">
        <f>T78*Y78</f>
        <v>18130.45</v>
      </c>
      <c r="AB78" s="31">
        <f t="shared" si="9"/>
        <v>17265.827799999995</v>
      </c>
      <c r="AC78" s="31">
        <f t="shared" si="10"/>
        <v>0.4877865378263021</v>
      </c>
      <c r="AD78" s="31" t="e">
        <f>_xlfn.PERCENTILE.INC(S:S, 0.33)</f>
        <v>#NUM!</v>
      </c>
      <c r="AE78" s="31" t="e">
        <f>_xlfn.PERCENTILE.INC(S:S, 0.66)</f>
        <v>#NUM!</v>
      </c>
      <c r="AF78" s="30" t="e">
        <f t="shared" si="11"/>
        <v>#NUM!</v>
      </c>
    </row>
    <row r="79" spans="1:32" x14ac:dyDescent="0.3">
      <c r="A79" s="2" t="s">
        <v>92</v>
      </c>
      <c r="B79" s="4">
        <v>45473</v>
      </c>
      <c r="C79" s="46">
        <f>EOMONTH(Table2[[#This Row],[OrderDate]],-1)+1</f>
        <v>45444</v>
      </c>
      <c r="D79" s="45">
        <f>EOMONTH(_xlfn.MINIFS(B79:B709,M79:M709,Table2[[#This Row],[Country]]), -1) + 1</f>
        <v>44927</v>
      </c>
      <c r="E79" s="46"/>
      <c r="F79" s="4" t="str">
        <f>"Q"&amp;ROUNDUP(MONTH(B79)/3,0)&amp;"-"&amp;YEAR(B79)</f>
        <v>Q2-2024</v>
      </c>
      <c r="G79" s="4">
        <v>45471</v>
      </c>
      <c r="H79" s="4">
        <f>IF(G79&lt;B79, B79+3, G79)</f>
        <v>45476</v>
      </c>
      <c r="I79" s="10">
        <f>H79-B79</f>
        <v>3</v>
      </c>
      <c r="J79" s="10">
        <f t="shared" si="6"/>
        <v>1</v>
      </c>
      <c r="K79" s="10">
        <f t="shared" si="7"/>
        <v>1</v>
      </c>
      <c r="L79" s="6" t="s">
        <v>648</v>
      </c>
      <c r="M79" s="6" t="s">
        <v>655</v>
      </c>
      <c r="N79" s="6" t="s">
        <v>692</v>
      </c>
      <c r="O79" s="6" t="s">
        <v>705</v>
      </c>
      <c r="P79" s="6" t="s">
        <v>711</v>
      </c>
      <c r="Q79" s="6" t="s">
        <v>716</v>
      </c>
      <c r="R79" s="6" t="s">
        <v>733</v>
      </c>
      <c r="S79" s="6" t="s">
        <v>811</v>
      </c>
      <c r="T79" s="8">
        <v>1112.98</v>
      </c>
      <c r="U79" s="8">
        <v>2095.73</v>
      </c>
      <c r="V79" s="8">
        <f t="shared" si="8"/>
        <v>7.1999999999999995E-2</v>
      </c>
      <c r="W79" s="8">
        <v>7.1999999999999995E-2</v>
      </c>
      <c r="X79" s="10">
        <f>IF(Table2[[#This Row],[DiscountPct]]&gt;0.2,1,0)</f>
        <v>0</v>
      </c>
      <c r="Y79" s="10">
        <v>17</v>
      </c>
      <c r="Z79" s="30">
        <f>Table2[[#This Row],[UnitPrice]]*Y79*(1-V79)</f>
        <v>33062.236480000007</v>
      </c>
      <c r="AA79" s="2">
        <f>T79*Y79</f>
        <v>18920.66</v>
      </c>
      <c r="AB79" s="2">
        <f t="shared" si="9"/>
        <v>14141.576480000007</v>
      </c>
      <c r="AC79" s="2">
        <f t="shared" si="10"/>
        <v>0.42772594916724777</v>
      </c>
      <c r="AD79" s="2" t="e">
        <f>_xlfn.PERCENTILE.INC(S:S, 0.33)</f>
        <v>#NUM!</v>
      </c>
      <c r="AE79" s="2" t="e">
        <f>_xlfn.PERCENTILE.INC(S:S, 0.66)</f>
        <v>#NUM!</v>
      </c>
      <c r="AF79" s="30" t="e">
        <f t="shared" si="11"/>
        <v>#NUM!</v>
      </c>
    </row>
    <row r="80" spans="1:32" x14ac:dyDescent="0.3">
      <c r="A80" s="31" t="s">
        <v>93</v>
      </c>
      <c r="B80" s="32">
        <v>45091</v>
      </c>
      <c r="C80" s="47">
        <f>EOMONTH(Table2[[#This Row],[OrderDate]],-1)+1</f>
        <v>45078</v>
      </c>
      <c r="D80" s="45">
        <f>EOMONTH(_xlfn.MINIFS(B80:B710,M80:M710,Table2[[#This Row],[Country]]), -1) + 1</f>
        <v>44927</v>
      </c>
      <c r="E80" s="47"/>
      <c r="F80" s="32" t="str">
        <f>"Q"&amp;ROUNDUP(MONTH(B80)/3,0)&amp;"-"&amp;YEAR(B80)</f>
        <v>Q2-2023</v>
      </c>
      <c r="G80" s="32">
        <v>45093</v>
      </c>
      <c r="H80" s="32">
        <f>IF(G80&lt;B80, B80+3, G80)</f>
        <v>45093</v>
      </c>
      <c r="I80" s="33">
        <f>H80-B80</f>
        <v>2</v>
      </c>
      <c r="J80" s="33">
        <f t="shared" si="6"/>
        <v>1</v>
      </c>
      <c r="K80" s="33">
        <f t="shared" si="7"/>
        <v>1</v>
      </c>
      <c r="L80" s="34" t="s">
        <v>649</v>
      </c>
      <c r="M80" s="34" t="s">
        <v>658</v>
      </c>
      <c r="N80" s="34" t="s">
        <v>693</v>
      </c>
      <c r="O80" s="34" t="s">
        <v>703</v>
      </c>
      <c r="P80" s="34" t="s">
        <v>711</v>
      </c>
      <c r="Q80" s="34" t="s">
        <v>723</v>
      </c>
      <c r="R80" s="34" t="s">
        <v>727</v>
      </c>
      <c r="S80" s="34" t="s">
        <v>812</v>
      </c>
      <c r="T80" s="35">
        <v>357.36</v>
      </c>
      <c r="U80" s="35">
        <v>703.62</v>
      </c>
      <c r="V80" s="35">
        <f t="shared" si="8"/>
        <v>0.25700000000000001</v>
      </c>
      <c r="W80" s="35">
        <v>0.25700000000000001</v>
      </c>
      <c r="X80" s="33">
        <f>IF(Table2[[#This Row],[DiscountPct]]&gt;0.2,1,0)</f>
        <v>1</v>
      </c>
      <c r="Y80" s="33">
        <v>20</v>
      </c>
      <c r="Z80" s="30">
        <f>Table2[[#This Row],[UnitPrice]]*Y80*(1-V80)</f>
        <v>10455.7932</v>
      </c>
      <c r="AA80" s="31">
        <f>T80*Y80</f>
        <v>7147.2000000000007</v>
      </c>
      <c r="AB80" s="31">
        <f t="shared" si="9"/>
        <v>3308.5931999999993</v>
      </c>
      <c r="AC80" s="31">
        <f t="shared" si="10"/>
        <v>0.31643636563125593</v>
      </c>
      <c r="AD80" s="31" t="e">
        <f>_xlfn.PERCENTILE.INC(S:S, 0.33)</f>
        <v>#NUM!</v>
      </c>
      <c r="AE80" s="31" t="e">
        <f>_xlfn.PERCENTILE.INC(S:S, 0.66)</f>
        <v>#NUM!</v>
      </c>
      <c r="AF80" s="30" t="e">
        <f t="shared" si="11"/>
        <v>#NUM!</v>
      </c>
    </row>
    <row r="81" spans="1:32" x14ac:dyDescent="0.3">
      <c r="A81" s="2" t="s">
        <v>94</v>
      </c>
      <c r="B81" s="4">
        <v>45617</v>
      </c>
      <c r="C81" s="46">
        <f>EOMONTH(Table2[[#This Row],[OrderDate]],-1)+1</f>
        <v>45597</v>
      </c>
      <c r="D81" s="45">
        <f>EOMONTH(_xlfn.MINIFS(B81:B711,M81:M711,Table2[[#This Row],[Country]]), -1) + 1</f>
        <v>44927</v>
      </c>
      <c r="E81" s="46"/>
      <c r="F81" s="4" t="str">
        <f>"Q"&amp;ROUNDUP(MONTH(B81)/3,0)&amp;"-"&amp;YEAR(B81)</f>
        <v>Q4-2024</v>
      </c>
      <c r="G81" s="4">
        <v>45647</v>
      </c>
      <c r="H81" s="4">
        <f>IF(G81&lt;B81, B81+3, G81)</f>
        <v>45647</v>
      </c>
      <c r="I81" s="10">
        <f>H81-B81</f>
        <v>30</v>
      </c>
      <c r="J81" s="10">
        <f t="shared" si="6"/>
        <v>0</v>
      </c>
      <c r="K81" s="10">
        <f t="shared" si="7"/>
        <v>0</v>
      </c>
      <c r="L81" s="6" t="s">
        <v>649</v>
      </c>
      <c r="M81" s="6" t="s">
        <v>657</v>
      </c>
      <c r="N81" s="6" t="s">
        <v>673</v>
      </c>
      <c r="O81" s="6" t="s">
        <v>705</v>
      </c>
      <c r="P81" s="6" t="s">
        <v>711</v>
      </c>
      <c r="Q81" s="6" t="s">
        <v>714</v>
      </c>
      <c r="R81" s="6" t="s">
        <v>732</v>
      </c>
      <c r="S81" s="6" t="s">
        <v>813</v>
      </c>
      <c r="T81" s="8">
        <v>1122.68</v>
      </c>
      <c r="U81" s="8">
        <v>1997.19</v>
      </c>
      <c r="V81" s="8">
        <f t="shared" si="8"/>
        <v>0.186</v>
      </c>
      <c r="W81" s="8">
        <v>0.186</v>
      </c>
      <c r="X81" s="10">
        <f>IF(Table2[[#This Row],[DiscountPct]]&gt;0.2,1,0)</f>
        <v>0</v>
      </c>
      <c r="Y81" s="10">
        <v>3</v>
      </c>
      <c r="Z81" s="30">
        <f>Table2[[#This Row],[UnitPrice]]*Y81*(1-V81)</f>
        <v>4877.1379800000004</v>
      </c>
      <c r="AA81" s="2">
        <f>T81*Y81</f>
        <v>3368.04</v>
      </c>
      <c r="AB81" s="2">
        <f t="shared" si="9"/>
        <v>1509.0979800000005</v>
      </c>
      <c r="AC81" s="2">
        <f t="shared" si="10"/>
        <v>0.30942285951073306</v>
      </c>
      <c r="AD81" s="2" t="e">
        <f>_xlfn.PERCENTILE.INC(S:S, 0.33)</f>
        <v>#NUM!</v>
      </c>
      <c r="AE81" s="2" t="e">
        <f>_xlfn.PERCENTILE.INC(S:S, 0.66)</f>
        <v>#NUM!</v>
      </c>
      <c r="AF81" s="30" t="e">
        <f t="shared" si="11"/>
        <v>#NUM!</v>
      </c>
    </row>
    <row r="82" spans="1:32" x14ac:dyDescent="0.3">
      <c r="A82" s="31" t="s">
        <v>95</v>
      </c>
      <c r="B82" s="32">
        <v>44965</v>
      </c>
      <c r="C82" s="47">
        <f>EOMONTH(Table2[[#This Row],[OrderDate]],-1)+1</f>
        <v>44958</v>
      </c>
      <c r="D82" s="45">
        <f>EOMONTH(_xlfn.MINIFS(B82:B712,M82:M712,Table2[[#This Row],[Country]]), -1) + 1</f>
        <v>44927</v>
      </c>
      <c r="E82" s="47"/>
      <c r="F82" s="32" t="str">
        <f>"Q"&amp;ROUNDUP(MONTH(B82)/3,0)&amp;"-"&amp;YEAR(B82)</f>
        <v>Q1-2023</v>
      </c>
      <c r="G82" s="32">
        <v>44968</v>
      </c>
      <c r="H82" s="32">
        <f>IF(G82&lt;B82, B82+3, G82)</f>
        <v>44968</v>
      </c>
      <c r="I82" s="33">
        <f>H82-B82</f>
        <v>3</v>
      </c>
      <c r="J82" s="33">
        <f t="shared" si="6"/>
        <v>1</v>
      </c>
      <c r="K82" s="33">
        <f t="shared" si="7"/>
        <v>1</v>
      </c>
      <c r="L82" s="34" t="s">
        <v>646</v>
      </c>
      <c r="M82" s="34" t="s">
        <v>661</v>
      </c>
      <c r="N82" s="34" t="s">
        <v>695</v>
      </c>
      <c r="O82" s="34" t="s">
        <v>701</v>
      </c>
      <c r="P82" s="34" t="s">
        <v>711</v>
      </c>
      <c r="Q82" s="34" t="s">
        <v>724</v>
      </c>
      <c r="R82" s="34" t="s">
        <v>729</v>
      </c>
      <c r="S82" s="34" t="s">
        <v>814</v>
      </c>
      <c r="T82" s="35">
        <v>1410.05</v>
      </c>
      <c r="U82" s="35">
        <v>2763.95</v>
      </c>
      <c r="V82" s="35">
        <f t="shared" si="8"/>
        <v>0.161</v>
      </c>
      <c r="W82" s="35">
        <v>0.161</v>
      </c>
      <c r="X82" s="33">
        <f>IF(Table2[[#This Row],[DiscountPct]]&gt;0.2,1,0)</f>
        <v>0</v>
      </c>
      <c r="Y82" s="33">
        <v>26</v>
      </c>
      <c r="Z82" s="30">
        <f>Table2[[#This Row],[UnitPrice]]*Y82*(1-V82)</f>
        <v>60292.805299999993</v>
      </c>
      <c r="AA82" s="31">
        <f>T82*Y82</f>
        <v>36661.299999999996</v>
      </c>
      <c r="AB82" s="31">
        <f t="shared" si="9"/>
        <v>23631.505299999997</v>
      </c>
      <c r="AC82" s="31">
        <f t="shared" si="10"/>
        <v>0.39194569206750779</v>
      </c>
      <c r="AD82" s="31" t="e">
        <f>_xlfn.PERCENTILE.INC(S:S, 0.33)</f>
        <v>#NUM!</v>
      </c>
      <c r="AE82" s="31" t="e">
        <f>_xlfn.PERCENTILE.INC(S:S, 0.66)</f>
        <v>#NUM!</v>
      </c>
      <c r="AF82" s="30" t="e">
        <f t="shared" si="11"/>
        <v>#NUM!</v>
      </c>
    </row>
    <row r="83" spans="1:32" x14ac:dyDescent="0.3">
      <c r="A83" s="2" t="s">
        <v>96</v>
      </c>
      <c r="B83" s="4">
        <v>45157</v>
      </c>
      <c r="C83" s="46">
        <f>EOMONTH(Table2[[#This Row],[OrderDate]],-1)+1</f>
        <v>45139</v>
      </c>
      <c r="D83" s="45">
        <f>EOMONTH(_xlfn.MINIFS(B83:B713,M83:M713,Table2[[#This Row],[Country]]), -1) + 1</f>
        <v>44986</v>
      </c>
      <c r="E83" s="46"/>
      <c r="F83" s="4" t="str">
        <f>"Q"&amp;ROUNDUP(MONTH(B83)/3,0)&amp;"-"&amp;YEAR(B83)</f>
        <v>Q3-2023</v>
      </c>
      <c r="G83" s="4">
        <v>45181</v>
      </c>
      <c r="H83" s="4">
        <f>IF(G83&lt;B83, B83+3, G83)</f>
        <v>45181</v>
      </c>
      <c r="I83" s="10">
        <f>H83-B83</f>
        <v>24</v>
      </c>
      <c r="J83" s="10">
        <f t="shared" si="6"/>
        <v>0</v>
      </c>
      <c r="K83" s="10">
        <f t="shared" si="7"/>
        <v>0</v>
      </c>
      <c r="L83" s="6" t="s">
        <v>648</v>
      </c>
      <c r="M83" s="6" t="s">
        <v>653</v>
      </c>
      <c r="N83" s="6" t="s">
        <v>688</v>
      </c>
      <c r="O83" s="6" t="s">
        <v>706</v>
      </c>
      <c r="P83" s="6" t="s">
        <v>707</v>
      </c>
      <c r="Q83" s="6" t="s">
        <v>714</v>
      </c>
      <c r="R83" s="6" t="s">
        <v>728</v>
      </c>
      <c r="S83" s="6" t="s">
        <v>815</v>
      </c>
      <c r="T83" s="8">
        <v>1183.95</v>
      </c>
      <c r="U83" s="8">
        <v>1503.53</v>
      </c>
      <c r="V83" s="8">
        <f t="shared" si="8"/>
        <v>0.24099999999999999</v>
      </c>
      <c r="W83" s="8">
        <v>0.24099999999999999</v>
      </c>
      <c r="X83" s="10">
        <f>IF(Table2[[#This Row],[DiscountPct]]&gt;0.2,1,0)</f>
        <v>1</v>
      </c>
      <c r="Y83" s="10">
        <v>16</v>
      </c>
      <c r="Z83" s="30">
        <f>Table2[[#This Row],[UnitPrice]]*Y83*(1-V83)</f>
        <v>18258.868320000001</v>
      </c>
      <c r="AA83" s="2">
        <f>T83*Y83</f>
        <v>18943.2</v>
      </c>
      <c r="AB83" s="2">
        <f t="shared" si="9"/>
        <v>-684.33167999999932</v>
      </c>
      <c r="AC83" s="2">
        <f t="shared" si="10"/>
        <v>-3.7479413729623705E-2</v>
      </c>
      <c r="AD83" s="2" t="e">
        <f>_xlfn.PERCENTILE.INC(S:S, 0.33)</f>
        <v>#NUM!</v>
      </c>
      <c r="AE83" s="2" t="e">
        <f>_xlfn.PERCENTILE.INC(S:S, 0.66)</f>
        <v>#NUM!</v>
      </c>
      <c r="AF83" s="30" t="e">
        <f t="shared" si="11"/>
        <v>#NUM!</v>
      </c>
    </row>
    <row r="84" spans="1:32" x14ac:dyDescent="0.3">
      <c r="A84" s="31" t="s">
        <v>97</v>
      </c>
      <c r="B84" s="32">
        <v>45791</v>
      </c>
      <c r="C84" s="47">
        <f>EOMONTH(Table2[[#This Row],[OrderDate]],-1)+1</f>
        <v>45778</v>
      </c>
      <c r="D84" s="45">
        <f>EOMONTH(_xlfn.MINIFS(B84:B714,M84:M714,Table2[[#This Row],[Country]]), -1) + 1</f>
        <v>44927</v>
      </c>
      <c r="E84" s="47"/>
      <c r="F84" s="32" t="str">
        <f>"Q"&amp;ROUNDUP(MONTH(B84)/3,0)&amp;"-"&amp;YEAR(B84)</f>
        <v>Q2-2025</v>
      </c>
      <c r="G84" s="32">
        <v>45801</v>
      </c>
      <c r="H84" s="32">
        <f>IF(G84&lt;B84, B84+3, G84)</f>
        <v>45801</v>
      </c>
      <c r="I84" s="33">
        <f>H84-B84</f>
        <v>10</v>
      </c>
      <c r="J84" s="33">
        <f t="shared" si="6"/>
        <v>0</v>
      </c>
      <c r="K84" s="33">
        <f t="shared" si="7"/>
        <v>0</v>
      </c>
      <c r="L84" s="34" t="s">
        <v>649</v>
      </c>
      <c r="M84" s="34" t="s">
        <v>657</v>
      </c>
      <c r="N84" s="34" t="s">
        <v>690</v>
      </c>
      <c r="O84" s="34" t="s">
        <v>705</v>
      </c>
      <c r="P84" s="34" t="s">
        <v>709</v>
      </c>
      <c r="Q84" s="34" t="s">
        <v>723</v>
      </c>
      <c r="R84" s="34" t="s">
        <v>727</v>
      </c>
      <c r="S84" s="34" t="s">
        <v>816</v>
      </c>
      <c r="T84" s="35">
        <v>170.39</v>
      </c>
      <c r="U84" s="35">
        <v>388.04</v>
      </c>
      <c r="V84" s="35">
        <f t="shared" si="8"/>
        <v>8.4000000000000005E-2</v>
      </c>
      <c r="W84" s="35">
        <v>8.4000000000000005E-2</v>
      </c>
      <c r="X84" s="33">
        <f>IF(Table2[[#This Row],[DiscountPct]]&gt;0.2,1,0)</f>
        <v>0</v>
      </c>
      <c r="Y84" s="33">
        <v>15</v>
      </c>
      <c r="Z84" s="30">
        <f>Table2[[#This Row],[UnitPrice]]*Y84*(1-V84)</f>
        <v>5331.6696000000002</v>
      </c>
      <c r="AA84" s="31">
        <f>T84*Y84</f>
        <v>2555.85</v>
      </c>
      <c r="AB84" s="31">
        <f t="shared" si="9"/>
        <v>2775.8196000000003</v>
      </c>
      <c r="AC84" s="31">
        <f t="shared" si="10"/>
        <v>0.52062858508711796</v>
      </c>
      <c r="AD84" s="31" t="e">
        <f>_xlfn.PERCENTILE.INC(S:S, 0.33)</f>
        <v>#NUM!</v>
      </c>
      <c r="AE84" s="31" t="e">
        <f>_xlfn.PERCENTILE.INC(S:S, 0.66)</f>
        <v>#NUM!</v>
      </c>
      <c r="AF84" s="30" t="e">
        <f t="shared" si="11"/>
        <v>#NUM!</v>
      </c>
    </row>
    <row r="85" spans="1:32" x14ac:dyDescent="0.3">
      <c r="A85" s="2" t="s">
        <v>98</v>
      </c>
      <c r="B85" s="4">
        <v>45770</v>
      </c>
      <c r="C85" s="46">
        <f>EOMONTH(Table2[[#This Row],[OrderDate]],-1)+1</f>
        <v>45748</v>
      </c>
      <c r="D85" s="45">
        <f>EOMONTH(_xlfn.MINIFS(B85:B715,M85:M715,Table2[[#This Row],[Country]]), -1) + 1</f>
        <v>44927</v>
      </c>
      <c r="E85" s="46"/>
      <c r="F85" s="4" t="str">
        <f>"Q"&amp;ROUNDUP(MONTH(B85)/3,0)&amp;"-"&amp;YEAR(B85)</f>
        <v>Q2-2025</v>
      </c>
      <c r="G85" s="4">
        <v>45769</v>
      </c>
      <c r="H85" s="4">
        <f>IF(G85&lt;B85, B85+3, G85)</f>
        <v>45773</v>
      </c>
      <c r="I85" s="10">
        <f>H85-B85</f>
        <v>3</v>
      </c>
      <c r="J85" s="10">
        <f t="shared" si="6"/>
        <v>1</v>
      </c>
      <c r="K85" s="10">
        <f t="shared" si="7"/>
        <v>1</v>
      </c>
      <c r="L85" s="6" t="s">
        <v>648</v>
      </c>
      <c r="M85" s="6" t="s">
        <v>660</v>
      </c>
      <c r="N85" s="6" t="s">
        <v>686</v>
      </c>
      <c r="O85" s="6" t="s">
        <v>703</v>
      </c>
      <c r="P85" s="6" t="s">
        <v>710</v>
      </c>
      <c r="Q85" s="6" t="s">
        <v>726</v>
      </c>
      <c r="R85" s="6" t="s">
        <v>732</v>
      </c>
      <c r="S85" s="6" t="s">
        <v>817</v>
      </c>
      <c r="T85" s="8">
        <v>23.24</v>
      </c>
      <c r="U85" s="8">
        <v>44.57</v>
      </c>
      <c r="V85" s="8">
        <f t="shared" si="8"/>
        <v>0.215</v>
      </c>
      <c r="W85" s="8">
        <v>0.215</v>
      </c>
      <c r="X85" s="10">
        <f>IF(Table2[[#This Row],[DiscountPct]]&gt;0.2,1,0)</f>
        <v>1</v>
      </c>
      <c r="Y85" s="10">
        <v>15</v>
      </c>
      <c r="Z85" s="30">
        <f>Table2[[#This Row],[UnitPrice]]*Y85*(1-V85)</f>
        <v>524.81174999999996</v>
      </c>
      <c r="AA85" s="2">
        <f>T85*Y85</f>
        <v>348.59999999999997</v>
      </c>
      <c r="AB85" s="2">
        <f t="shared" si="9"/>
        <v>176.21174999999999</v>
      </c>
      <c r="AC85" s="2">
        <f t="shared" si="10"/>
        <v>0.33576182316802167</v>
      </c>
      <c r="AD85" s="2" t="e">
        <f>_xlfn.PERCENTILE.INC(S:S, 0.33)</f>
        <v>#NUM!</v>
      </c>
      <c r="AE85" s="2" t="e">
        <f>_xlfn.PERCENTILE.INC(S:S, 0.66)</f>
        <v>#NUM!</v>
      </c>
      <c r="AF85" s="30" t="e">
        <f t="shared" si="11"/>
        <v>#NUM!</v>
      </c>
    </row>
    <row r="86" spans="1:32" x14ac:dyDescent="0.3">
      <c r="A86" s="31" t="s">
        <v>99</v>
      </c>
      <c r="B86" s="32">
        <v>45741</v>
      </c>
      <c r="C86" s="47">
        <f>EOMONTH(Table2[[#This Row],[OrderDate]],-1)+1</f>
        <v>45717</v>
      </c>
      <c r="D86" s="45">
        <f>EOMONTH(_xlfn.MINIFS(B86:B716,M86:M716,Table2[[#This Row],[Country]]), -1) + 1</f>
        <v>44927</v>
      </c>
      <c r="E86" s="47"/>
      <c r="F86" s="32" t="str">
        <f>"Q"&amp;ROUNDUP(MONTH(B86)/3,0)&amp;"-"&amp;YEAR(B86)</f>
        <v>Q1-2025</v>
      </c>
      <c r="G86" s="32">
        <v>45764</v>
      </c>
      <c r="H86" s="32">
        <f>IF(G86&lt;B86, B86+3, G86)</f>
        <v>45764</v>
      </c>
      <c r="I86" s="33">
        <f>H86-B86</f>
        <v>23</v>
      </c>
      <c r="J86" s="33">
        <f t="shared" si="6"/>
        <v>0</v>
      </c>
      <c r="K86" s="33">
        <f t="shared" si="7"/>
        <v>0</v>
      </c>
      <c r="L86" s="34" t="s">
        <v>649</v>
      </c>
      <c r="M86" s="34" t="s">
        <v>658</v>
      </c>
      <c r="N86" s="34" t="s">
        <v>683</v>
      </c>
      <c r="O86" s="34" t="s">
        <v>704</v>
      </c>
      <c r="P86" s="34" t="s">
        <v>707</v>
      </c>
      <c r="Q86" s="34" t="s">
        <v>722</v>
      </c>
      <c r="R86" s="34" t="s">
        <v>729</v>
      </c>
      <c r="S86" s="34" t="s">
        <v>818</v>
      </c>
      <c r="T86" s="35">
        <v>1421.19</v>
      </c>
      <c r="U86" s="35">
        <v>1808.26</v>
      </c>
      <c r="V86" s="35">
        <f t="shared" si="8"/>
        <v>0.104</v>
      </c>
      <c r="W86" s="35">
        <v>0.104</v>
      </c>
      <c r="X86" s="33">
        <f>IF(Table2[[#This Row],[DiscountPct]]&gt;0.2,1,0)</f>
        <v>0</v>
      </c>
      <c r="Y86" s="33">
        <v>13</v>
      </c>
      <c r="Z86" s="30">
        <f>Table2[[#This Row],[UnitPrice]]*Y86*(1-V86)</f>
        <v>21062.61248</v>
      </c>
      <c r="AA86" s="31">
        <f>T86*Y86</f>
        <v>18475.47</v>
      </c>
      <c r="AB86" s="31">
        <f t="shared" si="9"/>
        <v>2587.1424799999986</v>
      </c>
      <c r="AC86" s="31">
        <f t="shared" si="10"/>
        <v>0.12283103449093123</v>
      </c>
      <c r="AD86" s="31" t="e">
        <f>_xlfn.PERCENTILE.INC(S:S, 0.33)</f>
        <v>#NUM!</v>
      </c>
      <c r="AE86" s="31" t="e">
        <f>_xlfn.PERCENTILE.INC(S:S, 0.66)</f>
        <v>#NUM!</v>
      </c>
      <c r="AF86" s="30" t="e">
        <f t="shared" si="11"/>
        <v>#NUM!</v>
      </c>
    </row>
    <row r="87" spans="1:32" x14ac:dyDescent="0.3">
      <c r="A87" s="2" t="s">
        <v>100</v>
      </c>
      <c r="B87" s="4">
        <v>45282</v>
      </c>
      <c r="C87" s="46">
        <f>EOMONTH(Table2[[#This Row],[OrderDate]],-1)+1</f>
        <v>45261</v>
      </c>
      <c r="D87" s="45">
        <f>EOMONTH(_xlfn.MINIFS(B87:B717,M87:M717,Table2[[#This Row],[Country]]), -1) + 1</f>
        <v>44927</v>
      </c>
      <c r="E87" s="46"/>
      <c r="F87" s="4" t="str">
        <f>"Q"&amp;ROUNDUP(MONTH(B87)/3,0)&amp;"-"&amp;YEAR(B87)</f>
        <v>Q4-2023</v>
      </c>
      <c r="G87" s="4">
        <v>45283</v>
      </c>
      <c r="H87" s="4">
        <f>IF(G87&lt;B87, B87+3, G87)</f>
        <v>45283</v>
      </c>
      <c r="I87" s="10">
        <f>H87-B87</f>
        <v>1</v>
      </c>
      <c r="J87" s="10">
        <f t="shared" si="6"/>
        <v>1</v>
      </c>
      <c r="K87" s="10">
        <f t="shared" si="7"/>
        <v>1</v>
      </c>
      <c r="L87" s="6" t="s">
        <v>646</v>
      </c>
      <c r="M87" s="6" t="s">
        <v>661</v>
      </c>
      <c r="N87" s="6" t="s">
        <v>695</v>
      </c>
      <c r="O87" s="6" t="s">
        <v>703</v>
      </c>
      <c r="P87" s="6" t="s">
        <v>709</v>
      </c>
      <c r="Q87" s="6" t="s">
        <v>726</v>
      </c>
      <c r="R87" s="6" t="s">
        <v>727</v>
      </c>
      <c r="S87" s="6" t="s">
        <v>819</v>
      </c>
      <c r="T87" s="8">
        <v>1186.18</v>
      </c>
      <c r="U87" s="8">
        <v>1285.0899999999999</v>
      </c>
      <c r="V87" s="8">
        <f t="shared" si="8"/>
        <v>7.0000000000000007E-2</v>
      </c>
      <c r="W87" s="8">
        <v>7.0000000000000007E-2</v>
      </c>
      <c r="X87" s="10">
        <f>IF(Table2[[#This Row],[DiscountPct]]&gt;0.2,1,0)</f>
        <v>0</v>
      </c>
      <c r="Y87" s="10">
        <v>11</v>
      </c>
      <c r="Z87" s="30">
        <f>Table2[[#This Row],[UnitPrice]]*Y87*(1-V87)</f>
        <v>13146.470699999998</v>
      </c>
      <c r="AA87" s="2">
        <f>T87*Y87</f>
        <v>13047.980000000001</v>
      </c>
      <c r="AB87" s="2">
        <f t="shared" si="9"/>
        <v>98.49069999999665</v>
      </c>
      <c r="AC87" s="2">
        <f t="shared" si="10"/>
        <v>7.4917977796121861E-3</v>
      </c>
      <c r="AD87" s="2" t="e">
        <f>_xlfn.PERCENTILE.INC(S:S, 0.33)</f>
        <v>#NUM!</v>
      </c>
      <c r="AE87" s="2" t="e">
        <f>_xlfn.PERCENTILE.INC(S:S, 0.66)</f>
        <v>#NUM!</v>
      </c>
      <c r="AF87" s="30" t="e">
        <f t="shared" si="11"/>
        <v>#NUM!</v>
      </c>
    </row>
    <row r="88" spans="1:32" x14ac:dyDescent="0.3">
      <c r="A88" s="31" t="s">
        <v>101</v>
      </c>
      <c r="B88" s="32">
        <v>45388</v>
      </c>
      <c r="C88" s="47">
        <f>EOMONTH(Table2[[#This Row],[OrderDate]],-1)+1</f>
        <v>45383</v>
      </c>
      <c r="D88" s="45">
        <f>EOMONTH(_xlfn.MINIFS(B88:B718,M88:M718,Table2[[#This Row],[Country]]), -1) + 1</f>
        <v>44927</v>
      </c>
      <c r="E88" s="47"/>
      <c r="F88" s="32" t="str">
        <f>"Q"&amp;ROUNDUP(MONTH(B88)/3,0)&amp;"-"&amp;YEAR(B88)</f>
        <v>Q2-2024</v>
      </c>
      <c r="G88" s="32">
        <v>45407</v>
      </c>
      <c r="H88" s="32">
        <f>IF(G88&lt;B88, B88+3, G88)</f>
        <v>45407</v>
      </c>
      <c r="I88" s="33">
        <f>H88-B88</f>
        <v>19</v>
      </c>
      <c r="J88" s="33">
        <f t="shared" si="6"/>
        <v>0</v>
      </c>
      <c r="K88" s="33">
        <f t="shared" si="7"/>
        <v>0</v>
      </c>
      <c r="L88" s="34" t="s">
        <v>647</v>
      </c>
      <c r="M88" s="34" t="s">
        <v>659</v>
      </c>
      <c r="N88" s="34" t="s">
        <v>685</v>
      </c>
      <c r="O88" s="34" t="s">
        <v>701</v>
      </c>
      <c r="P88" s="34" t="s">
        <v>707</v>
      </c>
      <c r="Q88" s="34" t="s">
        <v>723</v>
      </c>
      <c r="R88" s="34" t="s">
        <v>727</v>
      </c>
      <c r="S88" s="34" t="s">
        <v>820</v>
      </c>
      <c r="T88" s="35">
        <v>1366.48</v>
      </c>
      <c r="U88" s="35">
        <v>1678.14</v>
      </c>
      <c r="V88" s="35">
        <f t="shared" si="8"/>
        <v>0.154</v>
      </c>
      <c r="W88" s="35">
        <v>0.154</v>
      </c>
      <c r="X88" s="33">
        <f>IF(Table2[[#This Row],[DiscountPct]]&gt;0.2,1,0)</f>
        <v>0</v>
      </c>
      <c r="Y88" s="33">
        <v>10</v>
      </c>
      <c r="Z88" s="30">
        <f>Table2[[#This Row],[UnitPrice]]*Y88*(1-V88)</f>
        <v>14197.064400000001</v>
      </c>
      <c r="AA88" s="31">
        <f>T88*Y88</f>
        <v>13664.8</v>
      </c>
      <c r="AB88" s="31">
        <f t="shared" si="9"/>
        <v>532.26440000000184</v>
      </c>
      <c r="AC88" s="31">
        <f t="shared" si="10"/>
        <v>3.7491159087790132E-2</v>
      </c>
      <c r="AD88" s="31" t="e">
        <f>_xlfn.PERCENTILE.INC(S:S, 0.33)</f>
        <v>#NUM!</v>
      </c>
      <c r="AE88" s="31" t="e">
        <f>_xlfn.PERCENTILE.INC(S:S, 0.66)</f>
        <v>#NUM!</v>
      </c>
      <c r="AF88" s="30" t="e">
        <f t="shared" si="11"/>
        <v>#NUM!</v>
      </c>
    </row>
    <row r="89" spans="1:32" x14ac:dyDescent="0.3">
      <c r="A89" s="2" t="s">
        <v>102</v>
      </c>
      <c r="B89" s="4">
        <v>45876</v>
      </c>
      <c r="C89" s="46">
        <f>EOMONTH(Table2[[#This Row],[OrderDate]],-1)+1</f>
        <v>45870</v>
      </c>
      <c r="D89" s="45">
        <f>EOMONTH(_xlfn.MINIFS(B89:B719,M89:M719,Table2[[#This Row],[Country]]), -1) + 1</f>
        <v>44927</v>
      </c>
      <c r="E89" s="46"/>
      <c r="F89" s="4" t="str">
        <f>"Q"&amp;ROUNDUP(MONTH(B89)/3,0)&amp;"-"&amp;YEAR(B89)</f>
        <v>Q3-2025</v>
      </c>
      <c r="G89" s="4">
        <v>45888</v>
      </c>
      <c r="H89" s="4">
        <f>IF(G89&lt;B89, B89+3, G89)</f>
        <v>45888</v>
      </c>
      <c r="I89" s="10">
        <f>H89-B89</f>
        <v>12</v>
      </c>
      <c r="J89" s="10">
        <f t="shared" si="6"/>
        <v>0</v>
      </c>
      <c r="K89" s="10">
        <f t="shared" si="7"/>
        <v>0</v>
      </c>
      <c r="L89" s="6" t="s">
        <v>646</v>
      </c>
      <c r="M89" s="6" t="s">
        <v>650</v>
      </c>
      <c r="N89" s="6" t="s">
        <v>678</v>
      </c>
      <c r="O89" s="6" t="s">
        <v>701</v>
      </c>
      <c r="P89" s="6" t="s">
        <v>1440</v>
      </c>
      <c r="Q89" s="6" t="s">
        <v>724</v>
      </c>
      <c r="R89" s="6" t="s">
        <v>727</v>
      </c>
      <c r="S89" s="6" t="s">
        <v>821</v>
      </c>
      <c r="T89" s="8">
        <v>601.51</v>
      </c>
      <c r="U89" s="8">
        <v>679.35</v>
      </c>
      <c r="V89" s="8">
        <f t="shared" si="8"/>
        <v>0.188</v>
      </c>
      <c r="W89" s="8">
        <v>0.188</v>
      </c>
      <c r="X89" s="10">
        <f>IF(Table2[[#This Row],[DiscountPct]]&gt;0.2,1,0)</f>
        <v>0</v>
      </c>
      <c r="Y89" s="10">
        <v>3</v>
      </c>
      <c r="Z89" s="30">
        <f>Table2[[#This Row],[UnitPrice]]*Y89*(1-V89)</f>
        <v>1654.8966000000003</v>
      </c>
      <c r="AA89" s="2">
        <f>T89*Y89</f>
        <v>1804.53</v>
      </c>
      <c r="AB89" s="2">
        <f t="shared" si="9"/>
        <v>-149.63339999999971</v>
      </c>
      <c r="AC89" s="2">
        <f t="shared" si="10"/>
        <v>-9.0418579626062243E-2</v>
      </c>
      <c r="AD89" s="2" t="e">
        <f>_xlfn.PERCENTILE.INC(S:S, 0.33)</f>
        <v>#NUM!</v>
      </c>
      <c r="AE89" s="2" t="e">
        <f>_xlfn.PERCENTILE.INC(S:S, 0.66)</f>
        <v>#NUM!</v>
      </c>
      <c r="AF89" s="30" t="e">
        <f t="shared" si="11"/>
        <v>#NUM!</v>
      </c>
    </row>
    <row r="90" spans="1:32" x14ac:dyDescent="0.3">
      <c r="A90" s="31" t="s">
        <v>103</v>
      </c>
      <c r="B90" s="32">
        <v>45312</v>
      </c>
      <c r="C90" s="47">
        <f>EOMONTH(Table2[[#This Row],[OrderDate]],-1)+1</f>
        <v>45292</v>
      </c>
      <c r="D90" s="45">
        <f>EOMONTH(_xlfn.MINIFS(B90:B720,M90:M720,Table2[[#This Row],[Country]]), -1) + 1</f>
        <v>44958</v>
      </c>
      <c r="E90" s="47"/>
      <c r="F90" s="32" t="str">
        <f>"Q"&amp;ROUNDUP(MONTH(B90)/3,0)&amp;"-"&amp;YEAR(B90)</f>
        <v>Q1-2024</v>
      </c>
      <c r="G90" s="32">
        <v>45316</v>
      </c>
      <c r="H90" s="32">
        <f>IF(G90&lt;B90, B90+3, G90)</f>
        <v>45316</v>
      </c>
      <c r="I90" s="33">
        <f>H90-B90</f>
        <v>4</v>
      </c>
      <c r="J90" s="33">
        <f t="shared" si="6"/>
        <v>1</v>
      </c>
      <c r="K90" s="33">
        <f t="shared" si="7"/>
        <v>1</v>
      </c>
      <c r="L90" s="34" t="s">
        <v>647</v>
      </c>
      <c r="M90" s="34" t="s">
        <v>654</v>
      </c>
      <c r="N90" s="34" t="s">
        <v>680</v>
      </c>
      <c r="O90" s="34" t="s">
        <v>704</v>
      </c>
      <c r="P90" s="34" t="s">
        <v>711</v>
      </c>
      <c r="Q90" s="34" t="s">
        <v>712</v>
      </c>
      <c r="R90" s="34" t="s">
        <v>732</v>
      </c>
      <c r="S90" s="34" t="s">
        <v>822</v>
      </c>
      <c r="T90" s="35">
        <v>523.70000000000005</v>
      </c>
      <c r="U90" s="35">
        <v>1109.92</v>
      </c>
      <c r="V90" s="35">
        <f t="shared" si="8"/>
        <v>0.03</v>
      </c>
      <c r="W90" s="35">
        <v>0.03</v>
      </c>
      <c r="X90" s="33">
        <f>IF(Table2[[#This Row],[DiscountPct]]&gt;0.2,1,0)</f>
        <v>0</v>
      </c>
      <c r="Y90" s="33">
        <v>11</v>
      </c>
      <c r="Z90" s="30">
        <f>Table2[[#This Row],[UnitPrice]]*Y90*(1-V90)</f>
        <v>11842.8464</v>
      </c>
      <c r="AA90" s="31">
        <f>T90*Y90</f>
        <v>5760.7000000000007</v>
      </c>
      <c r="AB90" s="31">
        <f t="shared" si="9"/>
        <v>6082.1463999999996</v>
      </c>
      <c r="AC90" s="31">
        <f t="shared" si="10"/>
        <v>0.51357133197302973</v>
      </c>
      <c r="AD90" s="31" t="e">
        <f>_xlfn.PERCENTILE.INC(S:S, 0.33)</f>
        <v>#NUM!</v>
      </c>
      <c r="AE90" s="31" t="e">
        <f>_xlfn.PERCENTILE.INC(S:S, 0.66)</f>
        <v>#NUM!</v>
      </c>
      <c r="AF90" s="30" t="e">
        <f t="shared" si="11"/>
        <v>#NUM!</v>
      </c>
    </row>
    <row r="91" spans="1:32" x14ac:dyDescent="0.3">
      <c r="A91" s="2" t="s">
        <v>104</v>
      </c>
      <c r="B91" s="4">
        <v>45106</v>
      </c>
      <c r="C91" s="46">
        <f>EOMONTH(Table2[[#This Row],[OrderDate]],-1)+1</f>
        <v>45078</v>
      </c>
      <c r="D91" s="45">
        <f>EOMONTH(_xlfn.MINIFS(B91:B721,M91:M721,Table2[[#This Row],[Country]]), -1) + 1</f>
        <v>44986</v>
      </c>
      <c r="E91" s="46"/>
      <c r="F91" s="4" t="str">
        <f>"Q"&amp;ROUNDUP(MONTH(B91)/3,0)&amp;"-"&amp;YEAR(B91)</f>
        <v>Q2-2023</v>
      </c>
      <c r="G91" s="4">
        <v>45109</v>
      </c>
      <c r="H91" s="4">
        <f>IF(G91&lt;B91, B91+3, G91)</f>
        <v>45109</v>
      </c>
      <c r="I91" s="10">
        <f>H91-B91</f>
        <v>3</v>
      </c>
      <c r="J91" s="10">
        <f t="shared" si="6"/>
        <v>1</v>
      </c>
      <c r="K91" s="10">
        <f t="shared" si="7"/>
        <v>1</v>
      </c>
      <c r="L91" s="6" t="s">
        <v>647</v>
      </c>
      <c r="M91" s="6" t="s">
        <v>652</v>
      </c>
      <c r="N91" s="6" t="s">
        <v>694</v>
      </c>
      <c r="O91" s="6" t="s">
        <v>702</v>
      </c>
      <c r="P91" s="6" t="s">
        <v>709</v>
      </c>
      <c r="Q91" s="6" t="s">
        <v>721</v>
      </c>
      <c r="R91" s="6" t="s">
        <v>732</v>
      </c>
      <c r="S91" s="6" t="s">
        <v>823</v>
      </c>
      <c r="T91" s="8">
        <v>55.65</v>
      </c>
      <c r="U91" s="8">
        <v>83.57</v>
      </c>
      <c r="V91" s="8">
        <f t="shared" si="8"/>
        <v>6.6000000000000003E-2</v>
      </c>
      <c r="W91" s="8">
        <v>6.6000000000000003E-2</v>
      </c>
      <c r="X91" s="10">
        <f>IF(Table2[[#This Row],[DiscountPct]]&gt;0.2,1,0)</f>
        <v>0</v>
      </c>
      <c r="Y91" s="10">
        <v>8</v>
      </c>
      <c r="Z91" s="30">
        <f>Table2[[#This Row],[UnitPrice]]*Y91*(1-V91)</f>
        <v>624.43503999999996</v>
      </c>
      <c r="AA91" s="2">
        <f>T91*Y91</f>
        <v>445.2</v>
      </c>
      <c r="AB91" s="2">
        <f t="shared" si="9"/>
        <v>179.23503999999997</v>
      </c>
      <c r="AC91" s="2">
        <f t="shared" si="10"/>
        <v>0.2870355257449998</v>
      </c>
      <c r="AD91" s="2" t="e">
        <f>_xlfn.PERCENTILE.INC(S:S, 0.33)</f>
        <v>#NUM!</v>
      </c>
      <c r="AE91" s="2" t="e">
        <f>_xlfn.PERCENTILE.INC(S:S, 0.66)</f>
        <v>#NUM!</v>
      </c>
      <c r="AF91" s="30" t="e">
        <f t="shared" si="11"/>
        <v>#NUM!</v>
      </c>
    </row>
    <row r="92" spans="1:32" x14ac:dyDescent="0.3">
      <c r="A92" s="31" t="s">
        <v>105</v>
      </c>
      <c r="B92" s="32">
        <v>45775</v>
      </c>
      <c r="C92" s="47">
        <f>EOMONTH(Table2[[#This Row],[OrderDate]],-1)+1</f>
        <v>45748</v>
      </c>
      <c r="D92" s="45">
        <f>EOMONTH(_xlfn.MINIFS(B92:B722,M92:M722,Table2[[#This Row],[Country]]), -1) + 1</f>
        <v>44986</v>
      </c>
      <c r="E92" s="47"/>
      <c r="F92" s="32" t="str">
        <f>"Q"&amp;ROUNDUP(MONTH(B92)/3,0)&amp;"-"&amp;YEAR(B92)</f>
        <v>Q2-2025</v>
      </c>
      <c r="G92" s="32">
        <v>45792</v>
      </c>
      <c r="H92" s="32">
        <f>IF(G92&lt;B92, B92+3, G92)</f>
        <v>45792</v>
      </c>
      <c r="I92" s="33">
        <f>H92-B92</f>
        <v>17</v>
      </c>
      <c r="J92" s="33">
        <f t="shared" si="6"/>
        <v>0</v>
      </c>
      <c r="K92" s="33">
        <f t="shared" si="7"/>
        <v>0</v>
      </c>
      <c r="L92" s="34" t="s">
        <v>647</v>
      </c>
      <c r="M92" s="34" t="s">
        <v>652</v>
      </c>
      <c r="N92" s="34" t="s">
        <v>694</v>
      </c>
      <c r="O92" s="34" t="s">
        <v>702</v>
      </c>
      <c r="P92" s="34" t="s">
        <v>711</v>
      </c>
      <c r="Q92" s="34" t="s">
        <v>725</v>
      </c>
      <c r="R92" s="34" t="s">
        <v>729</v>
      </c>
      <c r="S92" s="34" t="s">
        <v>824</v>
      </c>
      <c r="T92" s="35">
        <v>691.19</v>
      </c>
      <c r="U92" s="35">
        <v>1284.3</v>
      </c>
      <c r="V92" s="35">
        <f t="shared" si="8"/>
        <v>7.3999999999999996E-2</v>
      </c>
      <c r="W92" s="35">
        <v>7.3999999999999996E-2</v>
      </c>
      <c r="X92" s="33">
        <f>IF(Table2[[#This Row],[DiscountPct]]&gt;0.2,1,0)</f>
        <v>0</v>
      </c>
      <c r="Y92" s="33">
        <v>7</v>
      </c>
      <c r="Z92" s="30">
        <f>Table2[[#This Row],[UnitPrice]]*Y92*(1-V92)</f>
        <v>8324.8326000000015</v>
      </c>
      <c r="AA92" s="31">
        <f>T92*Y92</f>
        <v>4838.33</v>
      </c>
      <c r="AB92" s="31">
        <f t="shared" si="9"/>
        <v>3486.5026000000016</v>
      </c>
      <c r="AC92" s="31">
        <f t="shared" si="10"/>
        <v>0.41880753253825198</v>
      </c>
      <c r="AD92" s="31" t="e">
        <f>_xlfn.PERCENTILE.INC(S:S, 0.33)</f>
        <v>#NUM!</v>
      </c>
      <c r="AE92" s="31" t="e">
        <f>_xlfn.PERCENTILE.INC(S:S, 0.66)</f>
        <v>#NUM!</v>
      </c>
      <c r="AF92" s="30" t="e">
        <f t="shared" si="11"/>
        <v>#NUM!</v>
      </c>
    </row>
    <row r="93" spans="1:32" x14ac:dyDescent="0.3">
      <c r="A93" s="2" t="s">
        <v>106</v>
      </c>
      <c r="B93" s="4">
        <v>45817</v>
      </c>
      <c r="C93" s="46">
        <f>EOMONTH(Table2[[#This Row],[OrderDate]],-1)+1</f>
        <v>45809</v>
      </c>
      <c r="D93" s="45">
        <f>EOMONTH(_xlfn.MINIFS(B93:B723,M93:M723,Table2[[#This Row],[Country]]), -1) + 1</f>
        <v>44958</v>
      </c>
      <c r="E93" s="46"/>
      <c r="F93" s="4" t="str">
        <f>"Q"&amp;ROUNDUP(MONTH(B93)/3,0)&amp;"-"&amp;YEAR(B93)</f>
        <v>Q2-2025</v>
      </c>
      <c r="G93" s="4">
        <v>45833</v>
      </c>
      <c r="H93" s="4">
        <f>IF(G93&lt;B93, B93+3, G93)</f>
        <v>45833</v>
      </c>
      <c r="I93" s="10">
        <f>H93-B93</f>
        <v>16</v>
      </c>
      <c r="J93" s="10">
        <f t="shared" si="6"/>
        <v>0</v>
      </c>
      <c r="K93" s="10">
        <f t="shared" si="7"/>
        <v>0</v>
      </c>
      <c r="L93" s="6" t="s">
        <v>647</v>
      </c>
      <c r="M93" s="6" t="s">
        <v>654</v>
      </c>
      <c r="N93" s="6" t="s">
        <v>696</v>
      </c>
      <c r="O93" s="6" t="s">
        <v>706</v>
      </c>
      <c r="P93" s="6" t="s">
        <v>710</v>
      </c>
      <c r="Q93" s="6" t="s">
        <v>724</v>
      </c>
      <c r="R93" s="6" t="s">
        <v>730</v>
      </c>
      <c r="S93" s="6" t="s">
        <v>825</v>
      </c>
      <c r="T93" s="8">
        <v>527.33000000000004</v>
      </c>
      <c r="U93" s="8">
        <v>911.72</v>
      </c>
      <c r="V93" s="8">
        <f t="shared" si="8"/>
        <v>0.14399999999999999</v>
      </c>
      <c r="W93" s="8">
        <v>0.14399999999999999</v>
      </c>
      <c r="X93" s="10">
        <f>IF(Table2[[#This Row],[DiscountPct]]&gt;0.2,1,0)</f>
        <v>0</v>
      </c>
      <c r="Y93" s="10">
        <v>25</v>
      </c>
      <c r="Z93" s="30">
        <f>Table2[[#This Row],[UnitPrice]]*Y93*(1-V93)</f>
        <v>19510.808000000001</v>
      </c>
      <c r="AA93" s="2">
        <f>T93*Y93</f>
        <v>13183.250000000002</v>
      </c>
      <c r="AB93" s="2">
        <f t="shared" si="9"/>
        <v>6327.5579999999991</v>
      </c>
      <c r="AC93" s="2">
        <f t="shared" si="10"/>
        <v>0.32431040272652978</v>
      </c>
      <c r="AD93" s="2" t="e">
        <f>_xlfn.PERCENTILE.INC(S:S, 0.33)</f>
        <v>#NUM!</v>
      </c>
      <c r="AE93" s="2" t="e">
        <f>_xlfn.PERCENTILE.INC(S:S, 0.66)</f>
        <v>#NUM!</v>
      </c>
      <c r="AF93" s="30" t="e">
        <f t="shared" si="11"/>
        <v>#NUM!</v>
      </c>
    </row>
    <row r="94" spans="1:32" x14ac:dyDescent="0.3">
      <c r="A94" s="31" t="s">
        <v>107</v>
      </c>
      <c r="B94" s="32">
        <v>45101</v>
      </c>
      <c r="C94" s="47">
        <f>EOMONTH(Table2[[#This Row],[OrderDate]],-1)+1</f>
        <v>45078</v>
      </c>
      <c r="D94" s="45">
        <f>EOMONTH(_xlfn.MINIFS(B94:B724,M94:M724,Table2[[#This Row],[Country]]), -1) + 1</f>
        <v>44927</v>
      </c>
      <c r="E94" s="47"/>
      <c r="F94" s="32" t="str">
        <f>"Q"&amp;ROUNDUP(MONTH(B94)/3,0)&amp;"-"&amp;YEAR(B94)</f>
        <v>Q2-2023</v>
      </c>
      <c r="G94" s="32">
        <v>45100</v>
      </c>
      <c r="H94" s="32">
        <f>IF(G94&lt;B94, B94+3, G94)</f>
        <v>45104</v>
      </c>
      <c r="I94" s="33">
        <f>H94-B94</f>
        <v>3</v>
      </c>
      <c r="J94" s="33">
        <f t="shared" si="6"/>
        <v>1</v>
      </c>
      <c r="K94" s="33">
        <f t="shared" si="7"/>
        <v>1</v>
      </c>
      <c r="L94" s="34" t="s">
        <v>648</v>
      </c>
      <c r="M94" s="34" t="s">
        <v>655</v>
      </c>
      <c r="N94" s="34" t="s">
        <v>692</v>
      </c>
      <c r="O94" s="34" t="s">
        <v>703</v>
      </c>
      <c r="P94" s="34" t="s">
        <v>707</v>
      </c>
      <c r="Q94" s="34" t="s">
        <v>718</v>
      </c>
      <c r="R94" s="34" t="s">
        <v>728</v>
      </c>
      <c r="S94" s="34" t="s">
        <v>826</v>
      </c>
      <c r="T94" s="35">
        <v>804.01</v>
      </c>
      <c r="U94" s="35">
        <v>1405.07</v>
      </c>
      <c r="V94" s="35">
        <f t="shared" si="8"/>
        <v>9.6000000000000002E-2</v>
      </c>
      <c r="W94" s="35">
        <v>9.6000000000000002E-2</v>
      </c>
      <c r="X94" s="33">
        <f>IF(Table2[[#This Row],[DiscountPct]]&gt;0.2,1,0)</f>
        <v>0</v>
      </c>
      <c r="Y94" s="33">
        <v>8</v>
      </c>
      <c r="Z94" s="30">
        <f>Table2[[#This Row],[UnitPrice]]*Y94*(1-V94)</f>
        <v>10161.46624</v>
      </c>
      <c r="AA94" s="31">
        <f>T94*Y94</f>
        <v>6432.08</v>
      </c>
      <c r="AB94" s="31">
        <f t="shared" si="9"/>
        <v>3729.3862399999998</v>
      </c>
      <c r="AC94" s="31">
        <f t="shared" si="10"/>
        <v>0.36701260939287439</v>
      </c>
      <c r="AD94" s="31" t="e">
        <f>_xlfn.PERCENTILE.INC(S:S, 0.33)</f>
        <v>#NUM!</v>
      </c>
      <c r="AE94" s="31" t="e">
        <f>_xlfn.PERCENTILE.INC(S:S, 0.66)</f>
        <v>#NUM!</v>
      </c>
      <c r="AF94" s="30" t="e">
        <f t="shared" si="11"/>
        <v>#NUM!</v>
      </c>
    </row>
    <row r="95" spans="1:32" x14ac:dyDescent="0.3">
      <c r="A95" s="2" t="s">
        <v>108</v>
      </c>
      <c r="B95" s="4">
        <v>45569</v>
      </c>
      <c r="C95" s="46">
        <f>EOMONTH(Table2[[#This Row],[OrderDate]],-1)+1</f>
        <v>45566</v>
      </c>
      <c r="D95" s="45">
        <f>EOMONTH(_xlfn.MINIFS(B95:B725,M95:M725,Table2[[#This Row],[Country]]), -1) + 1</f>
        <v>44958</v>
      </c>
      <c r="E95" s="46"/>
      <c r="F95" s="4" t="str">
        <f>"Q"&amp;ROUNDUP(MONTH(B95)/3,0)&amp;"-"&amp;YEAR(B95)</f>
        <v>Q4-2024</v>
      </c>
      <c r="G95" s="4">
        <v>45598</v>
      </c>
      <c r="H95" s="4">
        <f>IF(G95&lt;B95, B95+3, G95)</f>
        <v>45598</v>
      </c>
      <c r="I95" s="10">
        <f>H95-B95</f>
        <v>29</v>
      </c>
      <c r="J95" s="10">
        <f t="shared" si="6"/>
        <v>0</v>
      </c>
      <c r="K95" s="10">
        <f t="shared" si="7"/>
        <v>0</v>
      </c>
      <c r="L95" s="6" t="s">
        <v>646</v>
      </c>
      <c r="M95" s="6" t="s">
        <v>651</v>
      </c>
      <c r="N95" s="6" t="s">
        <v>669</v>
      </c>
      <c r="O95" s="6" t="s">
        <v>701</v>
      </c>
      <c r="P95" s="6" t="s">
        <v>710</v>
      </c>
      <c r="Q95" s="6" t="s">
        <v>721</v>
      </c>
      <c r="R95" s="6" t="s">
        <v>733</v>
      </c>
      <c r="S95" s="6" t="s">
        <v>827</v>
      </c>
      <c r="T95" s="8">
        <v>412.09</v>
      </c>
      <c r="U95" s="8">
        <v>968.94</v>
      </c>
      <c r="V95" s="8">
        <f t="shared" si="8"/>
        <v>9.9000000000000005E-2</v>
      </c>
      <c r="W95" s="8">
        <v>9.9000000000000005E-2</v>
      </c>
      <c r="X95" s="10">
        <f>IF(Table2[[#This Row],[DiscountPct]]&gt;0.2,1,0)</f>
        <v>0</v>
      </c>
      <c r="Y95" s="10">
        <v>23</v>
      </c>
      <c r="Z95" s="30">
        <f>Table2[[#This Row],[UnitPrice]]*Y95*(1-V95)</f>
        <v>20079.343620000003</v>
      </c>
      <c r="AA95" s="2">
        <f>T95*Y95</f>
        <v>9478.07</v>
      </c>
      <c r="AB95" s="2">
        <f t="shared" si="9"/>
        <v>10601.273620000004</v>
      </c>
      <c r="AC95" s="2">
        <f t="shared" si="10"/>
        <v>0.52796913189137418</v>
      </c>
      <c r="AD95" s="2" t="e">
        <f>_xlfn.PERCENTILE.INC(S:S, 0.33)</f>
        <v>#NUM!</v>
      </c>
      <c r="AE95" s="2" t="e">
        <f>_xlfn.PERCENTILE.INC(S:S, 0.66)</f>
        <v>#NUM!</v>
      </c>
      <c r="AF95" s="30" t="e">
        <f t="shared" si="11"/>
        <v>#NUM!</v>
      </c>
    </row>
    <row r="96" spans="1:32" x14ac:dyDescent="0.3">
      <c r="A96" s="31" t="s">
        <v>109</v>
      </c>
      <c r="B96" s="32">
        <v>45910</v>
      </c>
      <c r="C96" s="47">
        <f>EOMONTH(Table2[[#This Row],[OrderDate]],-1)+1</f>
        <v>45901</v>
      </c>
      <c r="D96" s="45">
        <f>EOMONTH(_xlfn.MINIFS(B96:B726,M96:M726,Table2[[#This Row],[Country]]), -1) + 1</f>
        <v>44927</v>
      </c>
      <c r="E96" s="47"/>
      <c r="F96" s="32" t="str">
        <f>"Q"&amp;ROUNDUP(MONTH(B96)/3,0)&amp;"-"&amp;YEAR(B96)</f>
        <v>Q3-2025</v>
      </c>
      <c r="G96" s="32">
        <v>45930</v>
      </c>
      <c r="H96" s="32">
        <f>IF(G96&lt;B96, B96+3, G96)</f>
        <v>45930</v>
      </c>
      <c r="I96" s="33">
        <f>H96-B96</f>
        <v>20</v>
      </c>
      <c r="J96" s="33">
        <f t="shared" si="6"/>
        <v>0</v>
      </c>
      <c r="K96" s="33">
        <f t="shared" si="7"/>
        <v>0</v>
      </c>
      <c r="L96" s="34" t="s">
        <v>646</v>
      </c>
      <c r="M96" s="34" t="s">
        <v>650</v>
      </c>
      <c r="N96" s="34" t="s">
        <v>675</v>
      </c>
      <c r="O96" s="34" t="s">
        <v>701</v>
      </c>
      <c r="P96" s="34" t="s">
        <v>711</v>
      </c>
      <c r="Q96" s="34" t="s">
        <v>716</v>
      </c>
      <c r="R96" s="34" t="s">
        <v>730</v>
      </c>
      <c r="S96" s="34" t="s">
        <v>828</v>
      </c>
      <c r="T96" s="35">
        <v>1009.48</v>
      </c>
      <c r="U96" s="35">
        <v>1088.81</v>
      </c>
      <c r="V96" s="35">
        <f t="shared" si="8"/>
        <v>0.16</v>
      </c>
      <c r="W96" s="35">
        <v>0.16</v>
      </c>
      <c r="X96" s="33">
        <f>IF(Table2[[#This Row],[DiscountPct]]&gt;0.2,1,0)</f>
        <v>0</v>
      </c>
      <c r="Y96" s="33">
        <v>6</v>
      </c>
      <c r="Z96" s="30">
        <f>Table2[[#This Row],[UnitPrice]]*Y96*(1-V96)</f>
        <v>5487.6023999999998</v>
      </c>
      <c r="AA96" s="31">
        <f>T96*Y96</f>
        <v>6056.88</v>
      </c>
      <c r="AB96" s="31">
        <f t="shared" si="9"/>
        <v>-569.27760000000035</v>
      </c>
      <c r="AC96" s="31">
        <f t="shared" si="10"/>
        <v>-0.10373885688219693</v>
      </c>
      <c r="AD96" s="31" t="e">
        <f>_xlfn.PERCENTILE.INC(S:S, 0.33)</f>
        <v>#NUM!</v>
      </c>
      <c r="AE96" s="31" t="e">
        <f>_xlfn.PERCENTILE.INC(S:S, 0.66)</f>
        <v>#NUM!</v>
      </c>
      <c r="AF96" s="30" t="e">
        <f t="shared" si="11"/>
        <v>#NUM!</v>
      </c>
    </row>
    <row r="97" spans="1:32" x14ac:dyDescent="0.3">
      <c r="A97" s="2" t="s">
        <v>110</v>
      </c>
      <c r="B97" s="4">
        <v>45022</v>
      </c>
      <c r="C97" s="46">
        <f>EOMONTH(Table2[[#This Row],[OrderDate]],-1)+1</f>
        <v>45017</v>
      </c>
      <c r="D97" s="45">
        <f>EOMONTH(_xlfn.MINIFS(B97:B727,M97:M727,Table2[[#This Row],[Country]]), -1) + 1</f>
        <v>44927</v>
      </c>
      <c r="E97" s="46"/>
      <c r="F97" s="4" t="str">
        <f>"Q"&amp;ROUNDUP(MONTH(B97)/3,0)&amp;"-"&amp;YEAR(B97)</f>
        <v>Q2-2023</v>
      </c>
      <c r="G97" s="4">
        <v>45043</v>
      </c>
      <c r="H97" s="4">
        <f>IF(G97&lt;B97, B97+3, G97)</f>
        <v>45043</v>
      </c>
      <c r="I97" s="10">
        <f>H97-B97</f>
        <v>21</v>
      </c>
      <c r="J97" s="10">
        <f t="shared" si="6"/>
        <v>0</v>
      </c>
      <c r="K97" s="10">
        <f t="shared" si="7"/>
        <v>0</v>
      </c>
      <c r="L97" s="6" t="s">
        <v>649</v>
      </c>
      <c r="M97" s="6" t="s">
        <v>658</v>
      </c>
      <c r="N97" s="6" t="s">
        <v>693</v>
      </c>
      <c r="O97" s="6" t="s">
        <v>706</v>
      </c>
      <c r="P97" s="6" t="s">
        <v>710</v>
      </c>
      <c r="Q97" s="6" t="s">
        <v>714</v>
      </c>
      <c r="R97" s="6" t="s">
        <v>728</v>
      </c>
      <c r="S97" s="6" t="s">
        <v>829</v>
      </c>
      <c r="T97" s="8">
        <v>1084.79</v>
      </c>
      <c r="U97" s="8">
        <v>2484.9899999999998</v>
      </c>
      <c r="V97" s="8">
        <f t="shared" si="8"/>
        <v>3.4000000000000002E-2</v>
      </c>
      <c r="W97" s="8">
        <v>3.4000000000000002E-2</v>
      </c>
      <c r="X97" s="10">
        <f>IF(Table2[[#This Row],[DiscountPct]]&gt;0.2,1,0)</f>
        <v>0</v>
      </c>
      <c r="Y97" s="10">
        <v>18</v>
      </c>
      <c r="Z97" s="30">
        <f>Table2[[#This Row],[UnitPrice]]*Y97*(1-V97)</f>
        <v>43209.006119999991</v>
      </c>
      <c r="AA97" s="2">
        <f>T97*Y97</f>
        <v>19526.22</v>
      </c>
      <c r="AB97" s="2">
        <f t="shared" si="9"/>
        <v>23682.78611999999</v>
      </c>
      <c r="AC97" s="2">
        <f t="shared" si="10"/>
        <v>0.54809837685755114</v>
      </c>
      <c r="AD97" s="2" t="e">
        <f>_xlfn.PERCENTILE.INC(S:S, 0.33)</f>
        <v>#NUM!</v>
      </c>
      <c r="AE97" s="2" t="e">
        <f>_xlfn.PERCENTILE.INC(S:S, 0.66)</f>
        <v>#NUM!</v>
      </c>
      <c r="AF97" s="30" t="e">
        <f t="shared" si="11"/>
        <v>#NUM!</v>
      </c>
    </row>
    <row r="98" spans="1:32" x14ac:dyDescent="0.3">
      <c r="A98" s="31" t="s">
        <v>111</v>
      </c>
      <c r="B98" s="32">
        <v>45870</v>
      </c>
      <c r="C98" s="47">
        <f>EOMONTH(Table2[[#This Row],[OrderDate]],-1)+1</f>
        <v>45870</v>
      </c>
      <c r="D98" s="45">
        <f>EOMONTH(_xlfn.MINIFS(B98:B728,M98:M728,Table2[[#This Row],[Country]]), -1) + 1</f>
        <v>44958</v>
      </c>
      <c r="E98" s="47"/>
      <c r="F98" s="32" t="str">
        <f>"Q"&amp;ROUNDUP(MONTH(B98)/3,0)&amp;"-"&amp;YEAR(B98)</f>
        <v>Q3-2025</v>
      </c>
      <c r="G98" s="32">
        <v>45885</v>
      </c>
      <c r="H98" s="32">
        <f>IF(G98&lt;B98, B98+3, G98)</f>
        <v>45885</v>
      </c>
      <c r="I98" s="33">
        <f>H98-B98</f>
        <v>15</v>
      </c>
      <c r="J98" s="33">
        <f t="shared" si="6"/>
        <v>0</v>
      </c>
      <c r="K98" s="33">
        <f t="shared" si="7"/>
        <v>0</v>
      </c>
      <c r="L98" s="34" t="s">
        <v>647</v>
      </c>
      <c r="M98" s="34" t="s">
        <v>654</v>
      </c>
      <c r="N98" s="34" t="s">
        <v>680</v>
      </c>
      <c r="O98" s="34" t="s">
        <v>706</v>
      </c>
      <c r="P98" s="34" t="s">
        <v>711</v>
      </c>
      <c r="Q98" s="34" t="s">
        <v>719</v>
      </c>
      <c r="R98" s="34" t="s">
        <v>732</v>
      </c>
      <c r="S98" s="34" t="s">
        <v>830</v>
      </c>
      <c r="T98" s="35">
        <v>24.44</v>
      </c>
      <c r="U98" s="35">
        <v>28.69</v>
      </c>
      <c r="V98" s="35">
        <f t="shared" si="8"/>
        <v>0.14599999999999999</v>
      </c>
      <c r="W98" s="35">
        <v>0.14599999999999999</v>
      </c>
      <c r="X98" s="33">
        <f>IF(Table2[[#This Row],[DiscountPct]]&gt;0.2,1,0)</f>
        <v>0</v>
      </c>
      <c r="Y98" s="33">
        <v>6</v>
      </c>
      <c r="Z98" s="30">
        <f>Table2[[#This Row],[UnitPrice]]*Y98*(1-V98)</f>
        <v>147.00756000000001</v>
      </c>
      <c r="AA98" s="31">
        <f>T98*Y98</f>
        <v>146.64000000000001</v>
      </c>
      <c r="AB98" s="31">
        <f t="shared" si="9"/>
        <v>0.36755999999999744</v>
      </c>
      <c r="AC98" s="31">
        <f t="shared" si="10"/>
        <v>2.5002795774584476E-3</v>
      </c>
      <c r="AD98" s="31" t="e">
        <f>_xlfn.PERCENTILE.INC(S:S, 0.33)</f>
        <v>#NUM!</v>
      </c>
      <c r="AE98" s="31" t="e">
        <f>_xlfn.PERCENTILE.INC(S:S, 0.66)</f>
        <v>#NUM!</v>
      </c>
      <c r="AF98" s="30" t="e">
        <f t="shared" si="11"/>
        <v>#NUM!</v>
      </c>
    </row>
    <row r="99" spans="1:32" x14ac:dyDescent="0.3">
      <c r="A99" s="2" t="s">
        <v>112</v>
      </c>
      <c r="B99" s="4">
        <v>45440</v>
      </c>
      <c r="C99" s="46">
        <f>EOMONTH(Table2[[#This Row],[OrderDate]],-1)+1</f>
        <v>45413</v>
      </c>
      <c r="D99" s="45">
        <f>EOMONTH(_xlfn.MINIFS(B99:B729,M99:M729,Table2[[#This Row],[Country]]), -1) + 1</f>
        <v>44958</v>
      </c>
      <c r="E99" s="46"/>
      <c r="F99" s="4" t="str">
        <f>"Q"&amp;ROUNDUP(MONTH(B99)/3,0)&amp;"-"&amp;YEAR(B99)</f>
        <v>Q2-2024</v>
      </c>
      <c r="G99" s="4">
        <v>45438</v>
      </c>
      <c r="H99" s="4">
        <f>IF(G99&lt;B99, B99+3, G99)</f>
        <v>45443</v>
      </c>
      <c r="I99" s="10">
        <f>H99-B99</f>
        <v>3</v>
      </c>
      <c r="J99" s="10">
        <f t="shared" si="6"/>
        <v>1</v>
      </c>
      <c r="K99" s="10">
        <f t="shared" si="7"/>
        <v>1</v>
      </c>
      <c r="L99" s="6" t="s">
        <v>646</v>
      </c>
      <c r="M99" s="6" t="s">
        <v>651</v>
      </c>
      <c r="N99" s="6" t="s">
        <v>669</v>
      </c>
      <c r="O99" s="6" t="s">
        <v>706</v>
      </c>
      <c r="P99" s="6" t="s">
        <v>708</v>
      </c>
      <c r="Q99" s="6" t="s">
        <v>721</v>
      </c>
      <c r="R99" s="6" t="s">
        <v>733</v>
      </c>
      <c r="S99" s="6" t="s">
        <v>831</v>
      </c>
      <c r="T99" s="8">
        <v>1227.08</v>
      </c>
      <c r="U99" s="8">
        <v>1896.62</v>
      </c>
      <c r="V99" s="8">
        <f t="shared" si="8"/>
        <v>0</v>
      </c>
      <c r="W99" s="8">
        <v>0</v>
      </c>
      <c r="X99" s="10">
        <f>IF(Table2[[#This Row],[DiscountPct]]&gt;0.2,1,0)</f>
        <v>0</v>
      </c>
      <c r="Y99" s="10">
        <v>18</v>
      </c>
      <c r="Z99" s="30">
        <f>Table2[[#This Row],[UnitPrice]]*Y99*(1-V99)</f>
        <v>34139.159999999996</v>
      </c>
      <c r="AA99" s="2">
        <f>T99*Y99</f>
        <v>22087.439999999999</v>
      </c>
      <c r="AB99" s="2">
        <f t="shared" si="9"/>
        <v>12051.719999999998</v>
      </c>
      <c r="AC99" s="2">
        <f t="shared" si="10"/>
        <v>0.353017473189147</v>
      </c>
      <c r="AD99" s="2" t="e">
        <f>_xlfn.PERCENTILE.INC(S:S, 0.33)</f>
        <v>#NUM!</v>
      </c>
      <c r="AE99" s="2" t="e">
        <f>_xlfn.PERCENTILE.INC(S:S, 0.66)</f>
        <v>#NUM!</v>
      </c>
      <c r="AF99" s="30" t="e">
        <f t="shared" si="11"/>
        <v>#NUM!</v>
      </c>
    </row>
    <row r="100" spans="1:32" x14ac:dyDescent="0.3">
      <c r="A100" s="31" t="s">
        <v>113</v>
      </c>
      <c r="B100" s="32">
        <v>45860</v>
      </c>
      <c r="C100" s="47">
        <f>EOMONTH(Table2[[#This Row],[OrderDate]],-1)+1</f>
        <v>45839</v>
      </c>
      <c r="D100" s="45">
        <f>EOMONTH(_xlfn.MINIFS(B100:B730,M100:M730,Table2[[#This Row],[Country]]), -1) + 1</f>
        <v>44927</v>
      </c>
      <c r="E100" s="47"/>
      <c r="F100" s="32" t="str">
        <f>"Q"&amp;ROUNDUP(MONTH(B100)/3,0)&amp;"-"&amp;YEAR(B100)</f>
        <v>Q3-2025</v>
      </c>
      <c r="G100" s="32">
        <v>45887</v>
      </c>
      <c r="H100" s="32">
        <f>IF(G100&lt;B100, B100+3, G100)</f>
        <v>45887</v>
      </c>
      <c r="I100" s="33">
        <f>H100-B100</f>
        <v>27</v>
      </c>
      <c r="J100" s="33">
        <f t="shared" si="6"/>
        <v>0</v>
      </c>
      <c r="K100" s="33">
        <f t="shared" si="7"/>
        <v>0</v>
      </c>
      <c r="L100" s="34" t="s">
        <v>647</v>
      </c>
      <c r="M100" s="34" t="s">
        <v>659</v>
      </c>
      <c r="N100" s="34" t="s">
        <v>676</v>
      </c>
      <c r="O100" s="34" t="s">
        <v>703</v>
      </c>
      <c r="P100" s="34" t="s">
        <v>709</v>
      </c>
      <c r="Q100" s="34" t="s">
        <v>724</v>
      </c>
      <c r="R100" s="34" t="s">
        <v>729</v>
      </c>
      <c r="S100" s="34" t="s">
        <v>832</v>
      </c>
      <c r="T100" s="35">
        <v>547.32000000000005</v>
      </c>
      <c r="U100" s="35">
        <v>419.17</v>
      </c>
      <c r="V100" s="35">
        <f t="shared" si="8"/>
        <v>9.1999999999999998E-2</v>
      </c>
      <c r="W100" s="35">
        <v>9.1999999999999998E-2</v>
      </c>
      <c r="X100" s="33">
        <f>IF(Table2[[#This Row],[DiscountPct]]&gt;0.2,1,0)</f>
        <v>0</v>
      </c>
      <c r="Y100" s="33">
        <v>14</v>
      </c>
      <c r="Z100" s="30">
        <f>Table2[[#This Row],[UnitPrice]]*Y100*(1-V100)</f>
        <v>5328.4890400000004</v>
      </c>
      <c r="AA100" s="31">
        <f>T100*Y100</f>
        <v>7662.4800000000005</v>
      </c>
      <c r="AB100" s="31">
        <f t="shared" si="9"/>
        <v>-2333.9909600000001</v>
      </c>
      <c r="AC100" s="31">
        <f t="shared" si="10"/>
        <v>-0.43802116181137907</v>
      </c>
      <c r="AD100" s="31" t="e">
        <f>_xlfn.PERCENTILE.INC(S:S, 0.33)</f>
        <v>#NUM!</v>
      </c>
      <c r="AE100" s="31" t="e">
        <f>_xlfn.PERCENTILE.INC(S:S, 0.66)</f>
        <v>#NUM!</v>
      </c>
      <c r="AF100" s="30" t="e">
        <f t="shared" si="11"/>
        <v>#NUM!</v>
      </c>
    </row>
    <row r="101" spans="1:32" x14ac:dyDescent="0.3">
      <c r="A101" s="2" t="s">
        <v>114</v>
      </c>
      <c r="B101" s="4">
        <v>44985</v>
      </c>
      <c r="C101" s="46">
        <f>EOMONTH(Table2[[#This Row],[OrderDate]],-1)+1</f>
        <v>44958</v>
      </c>
      <c r="D101" s="45">
        <f>EOMONTH(_xlfn.MINIFS(B101:B731,M101:M731,Table2[[#This Row],[Country]]), -1) + 1</f>
        <v>44927</v>
      </c>
      <c r="E101" s="46"/>
      <c r="F101" s="4" t="str">
        <f>"Q"&amp;ROUNDUP(MONTH(B101)/3,0)&amp;"-"&amp;YEAR(B101)</f>
        <v>Q1-2023</v>
      </c>
      <c r="G101" s="4">
        <v>45005</v>
      </c>
      <c r="H101" s="4">
        <f>IF(G101&lt;B101, B101+3, G101)</f>
        <v>45005</v>
      </c>
      <c r="I101" s="10">
        <f>H101-B101</f>
        <v>20</v>
      </c>
      <c r="J101" s="10">
        <f t="shared" si="6"/>
        <v>0</v>
      </c>
      <c r="K101" s="10">
        <f t="shared" si="7"/>
        <v>0</v>
      </c>
      <c r="L101" s="6" t="s">
        <v>649</v>
      </c>
      <c r="M101" s="6" t="s">
        <v>656</v>
      </c>
      <c r="N101" s="6" t="s">
        <v>671</v>
      </c>
      <c r="O101" s="6" t="s">
        <v>705</v>
      </c>
      <c r="P101" s="6" t="s">
        <v>711</v>
      </c>
      <c r="Q101" s="6" t="s">
        <v>722</v>
      </c>
      <c r="R101" s="6" t="s">
        <v>731</v>
      </c>
      <c r="S101" s="6" t="s">
        <v>833</v>
      </c>
      <c r="T101" s="8">
        <v>1200.78</v>
      </c>
      <c r="U101" s="8">
        <v>2001.17</v>
      </c>
      <c r="V101" s="8">
        <f t="shared" si="8"/>
        <v>0.29199999999999998</v>
      </c>
      <c r="W101" s="8">
        <v>0.29199999999999998</v>
      </c>
      <c r="X101" s="10">
        <f>IF(Table2[[#This Row],[DiscountPct]]&gt;0.2,1,0)</f>
        <v>1</v>
      </c>
      <c r="Y101" s="10">
        <v>18</v>
      </c>
      <c r="Z101" s="30">
        <f>Table2[[#This Row],[UnitPrice]]*Y101*(1-V101)</f>
        <v>25502.910479999999</v>
      </c>
      <c r="AA101" s="2">
        <f>T101*Y101</f>
        <v>21614.04</v>
      </c>
      <c r="AB101" s="2">
        <f t="shared" si="9"/>
        <v>3888.8704799999978</v>
      </c>
      <c r="AC101" s="2">
        <f t="shared" si="10"/>
        <v>0.15248732034132906</v>
      </c>
      <c r="AD101" s="2" t="e">
        <f>_xlfn.PERCENTILE.INC(S:S, 0.33)</f>
        <v>#NUM!</v>
      </c>
      <c r="AE101" s="2" t="e">
        <f>_xlfn.PERCENTILE.INC(S:S, 0.66)</f>
        <v>#NUM!</v>
      </c>
      <c r="AF101" s="30" t="e">
        <f t="shared" si="11"/>
        <v>#NUM!</v>
      </c>
    </row>
    <row r="102" spans="1:32" x14ac:dyDescent="0.3">
      <c r="A102" s="31" t="s">
        <v>115</v>
      </c>
      <c r="B102" s="32">
        <v>45684</v>
      </c>
      <c r="C102" s="47">
        <f>EOMONTH(Table2[[#This Row],[OrderDate]],-1)+1</f>
        <v>45658</v>
      </c>
      <c r="D102" s="45">
        <f>EOMONTH(_xlfn.MINIFS(B102:B732,M102:M732,Table2[[#This Row],[Country]]), -1) + 1</f>
        <v>44927</v>
      </c>
      <c r="E102" s="47"/>
      <c r="F102" s="32" t="str">
        <f>"Q"&amp;ROUNDUP(MONTH(B102)/3,0)&amp;"-"&amp;YEAR(B102)</f>
        <v>Q1-2025</v>
      </c>
      <c r="G102" s="32">
        <v>45703</v>
      </c>
      <c r="H102" s="32">
        <f>IF(G102&lt;B102, B102+3, G102)</f>
        <v>45703</v>
      </c>
      <c r="I102" s="33">
        <f>H102-B102</f>
        <v>19</v>
      </c>
      <c r="J102" s="33">
        <f t="shared" si="6"/>
        <v>0</v>
      </c>
      <c r="K102" s="33">
        <f t="shared" si="7"/>
        <v>0</v>
      </c>
      <c r="L102" s="34" t="s">
        <v>647</v>
      </c>
      <c r="M102" s="34" t="s">
        <v>659</v>
      </c>
      <c r="N102" s="34" t="s">
        <v>676</v>
      </c>
      <c r="O102" s="34" t="s">
        <v>703</v>
      </c>
      <c r="P102" s="34" t="s">
        <v>711</v>
      </c>
      <c r="Q102" s="34" t="s">
        <v>716</v>
      </c>
      <c r="R102" s="34" t="s">
        <v>730</v>
      </c>
      <c r="S102" s="34" t="s">
        <v>834</v>
      </c>
      <c r="T102" s="35">
        <v>1253.22</v>
      </c>
      <c r="U102" s="35">
        <v>3104.71</v>
      </c>
      <c r="V102" s="35">
        <f t="shared" si="8"/>
        <v>0</v>
      </c>
      <c r="W102" s="35">
        <v>0</v>
      </c>
      <c r="X102" s="33">
        <f>IF(Table2[[#This Row],[DiscountPct]]&gt;0.2,1,0)</f>
        <v>0</v>
      </c>
      <c r="Y102" s="33">
        <v>17</v>
      </c>
      <c r="Z102" s="30">
        <f>Table2[[#This Row],[UnitPrice]]*Y102*(1-V102)</f>
        <v>52780.07</v>
      </c>
      <c r="AA102" s="31">
        <f>T102*Y102</f>
        <v>21304.74</v>
      </c>
      <c r="AB102" s="31">
        <f t="shared" si="9"/>
        <v>31475.329999999998</v>
      </c>
      <c r="AC102" s="31">
        <f t="shared" si="10"/>
        <v>0.59634877331538205</v>
      </c>
      <c r="AD102" s="31" t="e">
        <f>_xlfn.PERCENTILE.INC(S:S, 0.33)</f>
        <v>#NUM!</v>
      </c>
      <c r="AE102" s="31" t="e">
        <f>_xlfn.PERCENTILE.INC(S:S, 0.66)</f>
        <v>#NUM!</v>
      </c>
      <c r="AF102" s="30" t="e">
        <f t="shared" si="11"/>
        <v>#NUM!</v>
      </c>
    </row>
    <row r="103" spans="1:32" x14ac:dyDescent="0.3">
      <c r="A103" s="2" t="s">
        <v>116</v>
      </c>
      <c r="B103" s="4">
        <v>45304</v>
      </c>
      <c r="C103" s="46">
        <f>EOMONTH(Table2[[#This Row],[OrderDate]],-1)+1</f>
        <v>45292</v>
      </c>
      <c r="D103" s="45">
        <f>EOMONTH(_xlfn.MINIFS(B103:B733,M103:M733,Table2[[#This Row],[Country]]), -1) + 1</f>
        <v>44958</v>
      </c>
      <c r="E103" s="46"/>
      <c r="F103" s="4" t="str">
        <f>"Q"&amp;ROUNDUP(MONTH(B103)/3,0)&amp;"-"&amp;YEAR(B103)</f>
        <v>Q1-2024</v>
      </c>
      <c r="G103" s="4">
        <v>45313</v>
      </c>
      <c r="H103" s="4">
        <f>IF(G103&lt;B103, B103+3, G103)</f>
        <v>45313</v>
      </c>
      <c r="I103" s="10">
        <f>H103-B103</f>
        <v>9</v>
      </c>
      <c r="J103" s="10">
        <f t="shared" si="6"/>
        <v>0</v>
      </c>
      <c r="K103" s="10">
        <f t="shared" si="7"/>
        <v>0</v>
      </c>
      <c r="L103" s="6" t="s">
        <v>647</v>
      </c>
      <c r="M103" s="6" t="s">
        <v>654</v>
      </c>
      <c r="N103" s="6" t="s">
        <v>691</v>
      </c>
      <c r="O103" s="6" t="s">
        <v>706</v>
      </c>
      <c r="P103" s="6" t="s">
        <v>709</v>
      </c>
      <c r="Q103" s="6" t="s">
        <v>713</v>
      </c>
      <c r="R103" s="6" t="s">
        <v>727</v>
      </c>
      <c r="S103" s="6" t="s">
        <v>835</v>
      </c>
      <c r="T103" s="8">
        <v>313.60000000000002</v>
      </c>
      <c r="U103" s="8">
        <v>334.28</v>
      </c>
      <c r="V103" s="8">
        <f t="shared" si="8"/>
        <v>0.14000000000000001</v>
      </c>
      <c r="W103" s="8">
        <v>0.14000000000000001</v>
      </c>
      <c r="X103" s="10">
        <f>IF(Table2[[#This Row],[DiscountPct]]&gt;0.2,1,0)</f>
        <v>0</v>
      </c>
      <c r="Y103" s="10">
        <v>22</v>
      </c>
      <c r="Z103" s="30">
        <f>Table2[[#This Row],[UnitPrice]]*Y103*(1-V103)</f>
        <v>6324.5775999999996</v>
      </c>
      <c r="AA103" s="2">
        <f>T103*Y103</f>
        <v>6899.2000000000007</v>
      </c>
      <c r="AB103" s="2">
        <f t="shared" si="9"/>
        <v>-574.62240000000111</v>
      </c>
      <c r="AC103" s="2">
        <f t="shared" si="10"/>
        <v>-9.0855458868905517E-2</v>
      </c>
      <c r="AD103" s="2" t="e">
        <f>_xlfn.PERCENTILE.INC(S:S, 0.33)</f>
        <v>#NUM!</v>
      </c>
      <c r="AE103" s="2" t="e">
        <f>_xlfn.PERCENTILE.INC(S:S, 0.66)</f>
        <v>#NUM!</v>
      </c>
      <c r="AF103" s="30" t="e">
        <f t="shared" si="11"/>
        <v>#NUM!</v>
      </c>
    </row>
    <row r="104" spans="1:32" x14ac:dyDescent="0.3">
      <c r="A104" s="31" t="s">
        <v>117</v>
      </c>
      <c r="B104" s="32">
        <v>45747</v>
      </c>
      <c r="C104" s="47">
        <f>EOMONTH(Table2[[#This Row],[OrderDate]],-1)+1</f>
        <v>45717</v>
      </c>
      <c r="D104" s="45">
        <f>EOMONTH(_xlfn.MINIFS(B104:B734,M104:M734,Table2[[#This Row],[Country]]), -1) + 1</f>
        <v>44927</v>
      </c>
      <c r="E104" s="47"/>
      <c r="F104" s="32" t="str">
        <f>"Q"&amp;ROUNDUP(MONTH(B104)/3,0)&amp;"-"&amp;YEAR(B104)</f>
        <v>Q1-2025</v>
      </c>
      <c r="G104" s="32">
        <v>45751</v>
      </c>
      <c r="H104" s="32">
        <f>IF(G104&lt;B104, B104+3, G104)</f>
        <v>45751</v>
      </c>
      <c r="I104" s="33">
        <f>H104-B104</f>
        <v>4</v>
      </c>
      <c r="J104" s="33">
        <f t="shared" si="6"/>
        <v>1</v>
      </c>
      <c r="K104" s="33">
        <f t="shared" si="7"/>
        <v>1</v>
      </c>
      <c r="L104" s="34" t="s">
        <v>646</v>
      </c>
      <c r="M104" s="34" t="s">
        <v>650</v>
      </c>
      <c r="N104" s="34" t="s">
        <v>678</v>
      </c>
      <c r="O104" s="34" t="s">
        <v>701</v>
      </c>
      <c r="P104" s="34" t="s">
        <v>711</v>
      </c>
      <c r="Q104" s="34" t="s">
        <v>712</v>
      </c>
      <c r="R104" s="34" t="s">
        <v>731</v>
      </c>
      <c r="S104" s="34" t="s">
        <v>836</v>
      </c>
      <c r="T104" s="35">
        <v>862.08</v>
      </c>
      <c r="U104" s="35">
        <v>1952.83</v>
      </c>
      <c r="V104" s="35">
        <f t="shared" si="8"/>
        <v>0</v>
      </c>
      <c r="W104" s="35">
        <v>0</v>
      </c>
      <c r="X104" s="33">
        <f>IF(Table2[[#This Row],[DiscountPct]]&gt;0.2,1,0)</f>
        <v>0</v>
      </c>
      <c r="Y104" s="33">
        <v>7</v>
      </c>
      <c r="Z104" s="30">
        <f>Table2[[#This Row],[UnitPrice]]*Y104*(1-V104)</f>
        <v>13669.81</v>
      </c>
      <c r="AA104" s="31">
        <f>T104*Y104</f>
        <v>6034.56</v>
      </c>
      <c r="AB104" s="31">
        <f t="shared" si="9"/>
        <v>7635.2499999999991</v>
      </c>
      <c r="AC104" s="31">
        <f t="shared" si="10"/>
        <v>0.5585483631447693</v>
      </c>
      <c r="AD104" s="31" t="e">
        <f>_xlfn.PERCENTILE.INC(S:S, 0.33)</f>
        <v>#NUM!</v>
      </c>
      <c r="AE104" s="31" t="e">
        <f>_xlfn.PERCENTILE.INC(S:S, 0.66)</f>
        <v>#NUM!</v>
      </c>
      <c r="AF104" s="30" t="e">
        <f t="shared" si="11"/>
        <v>#NUM!</v>
      </c>
    </row>
    <row r="105" spans="1:32" x14ac:dyDescent="0.3">
      <c r="A105" s="2" t="s">
        <v>118</v>
      </c>
      <c r="B105" s="4">
        <v>45631</v>
      </c>
      <c r="C105" s="46">
        <f>EOMONTH(Table2[[#This Row],[OrderDate]],-1)+1</f>
        <v>45627</v>
      </c>
      <c r="D105" s="45">
        <f>EOMONTH(_xlfn.MINIFS(B105:B735,M105:M735,Table2[[#This Row],[Country]]), -1) + 1</f>
        <v>44986</v>
      </c>
      <c r="E105" s="46"/>
      <c r="F105" s="4" t="str">
        <f>"Q"&amp;ROUNDUP(MONTH(B105)/3,0)&amp;"-"&amp;YEAR(B105)</f>
        <v>Q4-2024</v>
      </c>
      <c r="G105" s="4">
        <v>45654</v>
      </c>
      <c r="H105" s="4">
        <f>IF(G105&lt;B105, B105+3, G105)</f>
        <v>45654</v>
      </c>
      <c r="I105" s="10">
        <f>H105-B105</f>
        <v>23</v>
      </c>
      <c r="J105" s="10">
        <f t="shared" si="6"/>
        <v>0</v>
      </c>
      <c r="K105" s="10">
        <f t="shared" si="7"/>
        <v>0</v>
      </c>
      <c r="L105" s="6" t="s">
        <v>648</v>
      </c>
      <c r="M105" s="6" t="s">
        <v>653</v>
      </c>
      <c r="N105" s="6" t="s">
        <v>688</v>
      </c>
      <c r="O105" s="6" t="s">
        <v>701</v>
      </c>
      <c r="P105" s="6" t="s">
        <v>711</v>
      </c>
      <c r="Q105" s="6" t="s">
        <v>721</v>
      </c>
      <c r="R105" s="6" t="s">
        <v>733</v>
      </c>
      <c r="S105" s="6" t="s">
        <v>837</v>
      </c>
      <c r="T105" s="8">
        <v>107.03</v>
      </c>
      <c r="U105" s="8">
        <v>242.29</v>
      </c>
      <c r="V105" s="8">
        <f t="shared" si="8"/>
        <v>0.18</v>
      </c>
      <c r="W105" s="8">
        <v>0.18</v>
      </c>
      <c r="X105" s="10">
        <f>IF(Table2[[#This Row],[DiscountPct]]&gt;0.2,1,0)</f>
        <v>0</v>
      </c>
      <c r="Y105" s="10">
        <v>30</v>
      </c>
      <c r="Z105" s="30">
        <f>Table2[[#This Row],[UnitPrice]]*Y105*(1-V105)</f>
        <v>5960.3340000000007</v>
      </c>
      <c r="AA105" s="2">
        <f>T105*Y105</f>
        <v>3210.9</v>
      </c>
      <c r="AB105" s="2">
        <f t="shared" si="9"/>
        <v>2749.4340000000007</v>
      </c>
      <c r="AC105" s="2">
        <f t="shared" si="10"/>
        <v>0.46128857879440988</v>
      </c>
      <c r="AD105" s="2" t="e">
        <f>_xlfn.PERCENTILE.INC(S:S, 0.33)</f>
        <v>#NUM!</v>
      </c>
      <c r="AE105" s="2" t="e">
        <f>_xlfn.PERCENTILE.INC(S:S, 0.66)</f>
        <v>#NUM!</v>
      </c>
      <c r="AF105" s="30" t="e">
        <f t="shared" si="11"/>
        <v>#NUM!</v>
      </c>
    </row>
    <row r="106" spans="1:32" x14ac:dyDescent="0.3">
      <c r="A106" s="31" t="s">
        <v>119</v>
      </c>
      <c r="B106" s="32">
        <v>45549</v>
      </c>
      <c r="C106" s="47">
        <f>EOMONTH(Table2[[#This Row],[OrderDate]],-1)+1</f>
        <v>45536</v>
      </c>
      <c r="D106" s="45">
        <f>EOMONTH(_xlfn.MINIFS(B106:B736,M106:M736,Table2[[#This Row],[Country]]), -1) + 1</f>
        <v>44927</v>
      </c>
      <c r="E106" s="47"/>
      <c r="F106" s="32" t="str">
        <f>"Q"&amp;ROUNDUP(MONTH(B106)/3,0)&amp;"-"&amp;YEAR(B106)</f>
        <v>Q3-2024</v>
      </c>
      <c r="G106" s="32">
        <v>45570</v>
      </c>
      <c r="H106" s="32">
        <f>IF(G106&lt;B106, B106+3, G106)</f>
        <v>45570</v>
      </c>
      <c r="I106" s="33">
        <f>H106-B106</f>
        <v>21</v>
      </c>
      <c r="J106" s="33">
        <f t="shared" si="6"/>
        <v>0</v>
      </c>
      <c r="K106" s="33">
        <f t="shared" si="7"/>
        <v>0</v>
      </c>
      <c r="L106" s="34" t="s">
        <v>647</v>
      </c>
      <c r="M106" s="34" t="s">
        <v>659</v>
      </c>
      <c r="N106" s="34" t="s">
        <v>685</v>
      </c>
      <c r="O106" s="34" t="s">
        <v>705</v>
      </c>
      <c r="P106" s="34" t="s">
        <v>708</v>
      </c>
      <c r="Q106" s="34" t="s">
        <v>722</v>
      </c>
      <c r="R106" s="34" t="s">
        <v>731</v>
      </c>
      <c r="S106" s="34" t="s">
        <v>838</v>
      </c>
      <c r="T106" s="35">
        <v>1405.56</v>
      </c>
      <c r="U106" s="35">
        <v>2968.87</v>
      </c>
      <c r="V106" s="35">
        <f t="shared" si="8"/>
        <v>0.16900000000000001</v>
      </c>
      <c r="W106" s="35">
        <v>0.16900000000000001</v>
      </c>
      <c r="X106" s="33">
        <f>IF(Table2[[#This Row],[DiscountPct]]&gt;0.2,1,0)</f>
        <v>0</v>
      </c>
      <c r="Y106" s="33">
        <v>5</v>
      </c>
      <c r="Z106" s="30">
        <f>Table2[[#This Row],[UnitPrice]]*Y106*(1-V106)</f>
        <v>12335.654849999999</v>
      </c>
      <c r="AA106" s="31">
        <f>T106*Y106</f>
        <v>7027.7999999999993</v>
      </c>
      <c r="AB106" s="31">
        <f t="shared" si="9"/>
        <v>5307.8548499999997</v>
      </c>
      <c r="AC106" s="31">
        <f t="shared" si="10"/>
        <v>0.4302856163327235</v>
      </c>
      <c r="AD106" s="31" t="e">
        <f>_xlfn.PERCENTILE.INC(S:S, 0.33)</f>
        <v>#NUM!</v>
      </c>
      <c r="AE106" s="31" t="e">
        <f>_xlfn.PERCENTILE.INC(S:S, 0.66)</f>
        <v>#NUM!</v>
      </c>
      <c r="AF106" s="30" t="e">
        <f t="shared" si="11"/>
        <v>#NUM!</v>
      </c>
    </row>
    <row r="107" spans="1:32" x14ac:dyDescent="0.3">
      <c r="A107" s="2" t="s">
        <v>120</v>
      </c>
      <c r="B107" s="4">
        <v>45433</v>
      </c>
      <c r="C107" s="46">
        <f>EOMONTH(Table2[[#This Row],[OrderDate]],-1)+1</f>
        <v>45413</v>
      </c>
      <c r="D107" s="45">
        <f>EOMONTH(_xlfn.MINIFS(B107:B737,M107:M737,Table2[[#This Row],[Country]]), -1) + 1</f>
        <v>44927</v>
      </c>
      <c r="E107" s="46"/>
      <c r="F107" s="4" t="str">
        <f>"Q"&amp;ROUNDUP(MONTH(B107)/3,0)&amp;"-"&amp;YEAR(B107)</f>
        <v>Q2-2024</v>
      </c>
      <c r="G107" s="4">
        <v>45439</v>
      </c>
      <c r="H107" s="4">
        <f>IF(G107&lt;B107, B107+3, G107)</f>
        <v>45439</v>
      </c>
      <c r="I107" s="10">
        <f>H107-B107</f>
        <v>6</v>
      </c>
      <c r="J107" s="10">
        <f t="shared" si="6"/>
        <v>1</v>
      </c>
      <c r="K107" s="10">
        <f t="shared" si="7"/>
        <v>1</v>
      </c>
      <c r="L107" s="6" t="s">
        <v>646</v>
      </c>
      <c r="M107" s="6" t="s">
        <v>661</v>
      </c>
      <c r="N107" s="6" t="s">
        <v>682</v>
      </c>
      <c r="O107" s="6" t="s">
        <v>703</v>
      </c>
      <c r="P107" s="6" t="s">
        <v>708</v>
      </c>
      <c r="Q107" s="6" t="s">
        <v>724</v>
      </c>
      <c r="R107" s="6" t="s">
        <v>727</v>
      </c>
      <c r="S107" s="6" t="s">
        <v>839</v>
      </c>
      <c r="T107" s="8">
        <v>1157.51</v>
      </c>
      <c r="U107" s="8">
        <v>1394.3</v>
      </c>
      <c r="V107" s="8">
        <f t="shared" si="8"/>
        <v>0.27800000000000002</v>
      </c>
      <c r="W107" s="8">
        <v>0.27800000000000002</v>
      </c>
      <c r="X107" s="10">
        <f>IF(Table2[[#This Row],[DiscountPct]]&gt;0.2,1,0)</f>
        <v>1</v>
      </c>
      <c r="Y107" s="10">
        <v>12</v>
      </c>
      <c r="Z107" s="30">
        <f>Table2[[#This Row],[UnitPrice]]*Y107*(1-V107)</f>
        <v>12080.215199999999</v>
      </c>
      <c r="AA107" s="2">
        <f>T107*Y107</f>
        <v>13890.119999999999</v>
      </c>
      <c r="AB107" s="2">
        <f t="shared" si="9"/>
        <v>-1809.9048000000003</v>
      </c>
      <c r="AC107" s="2">
        <f t="shared" si="10"/>
        <v>-0.14982388724333326</v>
      </c>
      <c r="AD107" s="2" t="e">
        <f>_xlfn.PERCENTILE.INC(S:S, 0.33)</f>
        <v>#NUM!</v>
      </c>
      <c r="AE107" s="2" t="e">
        <f>_xlfn.PERCENTILE.INC(S:S, 0.66)</f>
        <v>#NUM!</v>
      </c>
      <c r="AF107" s="30" t="e">
        <f t="shared" si="11"/>
        <v>#NUM!</v>
      </c>
    </row>
    <row r="108" spans="1:32" x14ac:dyDescent="0.3">
      <c r="A108" s="31" t="s">
        <v>121</v>
      </c>
      <c r="B108" s="32">
        <v>45057</v>
      </c>
      <c r="C108" s="47">
        <f>EOMONTH(Table2[[#This Row],[OrderDate]],-1)+1</f>
        <v>45047</v>
      </c>
      <c r="D108" s="45">
        <f>EOMONTH(_xlfn.MINIFS(B108:B738,M108:M738,Table2[[#This Row],[Country]]), -1) + 1</f>
        <v>44927</v>
      </c>
      <c r="E108" s="47"/>
      <c r="F108" s="32" t="str">
        <f>"Q"&amp;ROUNDUP(MONTH(B108)/3,0)&amp;"-"&amp;YEAR(B108)</f>
        <v>Q2-2023</v>
      </c>
      <c r="G108" s="32">
        <v>45084</v>
      </c>
      <c r="H108" s="32">
        <f>IF(G108&lt;B108, B108+3, G108)</f>
        <v>45084</v>
      </c>
      <c r="I108" s="33">
        <f>H108-B108</f>
        <v>27</v>
      </c>
      <c r="J108" s="33">
        <f t="shared" si="6"/>
        <v>0</v>
      </c>
      <c r="K108" s="33">
        <f t="shared" si="7"/>
        <v>0</v>
      </c>
      <c r="L108" s="34" t="s">
        <v>646</v>
      </c>
      <c r="M108" s="34" t="s">
        <v>650</v>
      </c>
      <c r="N108" s="34" t="s">
        <v>675</v>
      </c>
      <c r="O108" s="34" t="s">
        <v>701</v>
      </c>
      <c r="P108" s="34" t="s">
        <v>708</v>
      </c>
      <c r="Q108" s="34" t="s">
        <v>713</v>
      </c>
      <c r="R108" s="34" t="s">
        <v>730</v>
      </c>
      <c r="S108" s="34" t="s">
        <v>840</v>
      </c>
      <c r="T108" s="35">
        <v>12.85</v>
      </c>
      <c r="U108" s="35">
        <v>15.41</v>
      </c>
      <c r="V108" s="35">
        <f t="shared" si="8"/>
        <v>0.13700000000000001</v>
      </c>
      <c r="W108" s="35">
        <v>0.13700000000000001</v>
      </c>
      <c r="X108" s="33">
        <f>IF(Table2[[#This Row],[DiscountPct]]&gt;0.2,1,0)</f>
        <v>0</v>
      </c>
      <c r="Y108" s="33">
        <v>39</v>
      </c>
      <c r="Z108" s="30">
        <f>Table2[[#This Row],[UnitPrice]]*Y108*(1-V108)</f>
        <v>518.65436999999997</v>
      </c>
      <c r="AA108" s="31">
        <f>T108*Y108</f>
        <v>501.15</v>
      </c>
      <c r="AB108" s="31">
        <f t="shared" si="9"/>
        <v>17.504369999999994</v>
      </c>
      <c r="AC108" s="31">
        <f t="shared" si="10"/>
        <v>3.3749585489851353E-2</v>
      </c>
      <c r="AD108" s="31" t="e">
        <f>_xlfn.PERCENTILE.INC(S:S, 0.33)</f>
        <v>#NUM!</v>
      </c>
      <c r="AE108" s="31" t="e">
        <f>_xlfn.PERCENTILE.INC(S:S, 0.66)</f>
        <v>#NUM!</v>
      </c>
      <c r="AF108" s="30" t="e">
        <f t="shared" si="11"/>
        <v>#NUM!</v>
      </c>
    </row>
    <row r="109" spans="1:32" x14ac:dyDescent="0.3">
      <c r="A109" s="2" t="s">
        <v>122</v>
      </c>
      <c r="B109" s="4">
        <v>45518</v>
      </c>
      <c r="C109" s="46">
        <f>EOMONTH(Table2[[#This Row],[OrderDate]],-1)+1</f>
        <v>45505</v>
      </c>
      <c r="D109" s="45">
        <f>EOMONTH(_xlfn.MINIFS(B109:B739,M109:M739,Table2[[#This Row],[Country]]), -1) + 1</f>
        <v>44927</v>
      </c>
      <c r="E109" s="46"/>
      <c r="F109" s="4" t="str">
        <f>"Q"&amp;ROUNDUP(MONTH(B109)/3,0)&amp;"-"&amp;YEAR(B109)</f>
        <v>Q3-2024</v>
      </c>
      <c r="G109" s="4">
        <v>45539</v>
      </c>
      <c r="H109" s="4">
        <f>IF(G109&lt;B109, B109+3, G109)</f>
        <v>45539</v>
      </c>
      <c r="I109" s="10">
        <f>H109-B109</f>
        <v>21</v>
      </c>
      <c r="J109" s="10">
        <f t="shared" si="6"/>
        <v>0</v>
      </c>
      <c r="K109" s="10">
        <f t="shared" si="7"/>
        <v>0</v>
      </c>
      <c r="L109" s="6" t="s">
        <v>649</v>
      </c>
      <c r="M109" s="6" t="s">
        <v>658</v>
      </c>
      <c r="N109" s="6" t="s">
        <v>693</v>
      </c>
      <c r="O109" s="6" t="s">
        <v>703</v>
      </c>
      <c r="P109" s="6" t="s">
        <v>708</v>
      </c>
      <c r="Q109" s="6" t="s">
        <v>713</v>
      </c>
      <c r="R109" s="6" t="s">
        <v>730</v>
      </c>
      <c r="S109" s="6" t="s">
        <v>841</v>
      </c>
      <c r="T109" s="8">
        <v>1138.8</v>
      </c>
      <c r="U109" s="8">
        <v>2250.81</v>
      </c>
      <c r="V109" s="8">
        <f t="shared" si="8"/>
        <v>0.123</v>
      </c>
      <c r="W109" s="8">
        <v>0.123</v>
      </c>
      <c r="X109" s="10">
        <f>IF(Table2[[#This Row],[DiscountPct]]&gt;0.2,1,0)</f>
        <v>0</v>
      </c>
      <c r="Y109" s="10">
        <v>12</v>
      </c>
      <c r="Z109" s="30">
        <f>Table2[[#This Row],[UnitPrice]]*Y109*(1-V109)</f>
        <v>23687.524440000001</v>
      </c>
      <c r="AA109" s="2">
        <f>T109*Y109</f>
        <v>13665.599999999999</v>
      </c>
      <c r="AB109" s="2">
        <f t="shared" si="9"/>
        <v>10021.924440000003</v>
      </c>
      <c r="AC109" s="2">
        <f t="shared" si="10"/>
        <v>0.42308872188756258</v>
      </c>
      <c r="AD109" s="2" t="e">
        <f>_xlfn.PERCENTILE.INC(S:S, 0.33)</f>
        <v>#NUM!</v>
      </c>
      <c r="AE109" s="2" t="e">
        <f>_xlfn.PERCENTILE.INC(S:S, 0.66)</f>
        <v>#NUM!</v>
      </c>
      <c r="AF109" s="30" t="e">
        <f t="shared" si="11"/>
        <v>#NUM!</v>
      </c>
    </row>
    <row r="110" spans="1:32" x14ac:dyDescent="0.3">
      <c r="A110" s="31" t="s">
        <v>123</v>
      </c>
      <c r="B110" s="32">
        <v>45581</v>
      </c>
      <c r="C110" s="47">
        <f>EOMONTH(Table2[[#This Row],[OrderDate]],-1)+1</f>
        <v>45566</v>
      </c>
      <c r="D110" s="45">
        <f>EOMONTH(_xlfn.MINIFS(B110:B740,M110:M740,Table2[[#This Row],[Country]]), -1) + 1</f>
        <v>44986</v>
      </c>
      <c r="E110" s="47"/>
      <c r="F110" s="32" t="str">
        <f>"Q"&amp;ROUNDUP(MONTH(B110)/3,0)&amp;"-"&amp;YEAR(B110)</f>
        <v>Q4-2024</v>
      </c>
      <c r="G110" s="32">
        <v>45604</v>
      </c>
      <c r="H110" s="32">
        <f>IF(G110&lt;B110, B110+3, G110)</f>
        <v>45604</v>
      </c>
      <c r="I110" s="33">
        <f>H110-B110</f>
        <v>23</v>
      </c>
      <c r="J110" s="33">
        <f t="shared" si="6"/>
        <v>0</v>
      </c>
      <c r="K110" s="33">
        <f t="shared" si="7"/>
        <v>0</v>
      </c>
      <c r="L110" s="34" t="s">
        <v>647</v>
      </c>
      <c r="M110" s="34" t="s">
        <v>652</v>
      </c>
      <c r="N110" s="34" t="s">
        <v>666</v>
      </c>
      <c r="O110" s="34" t="s">
        <v>705</v>
      </c>
      <c r="P110" s="34" t="s">
        <v>707</v>
      </c>
      <c r="Q110" s="34" t="s">
        <v>713</v>
      </c>
      <c r="R110" s="34" t="s">
        <v>729</v>
      </c>
      <c r="S110" s="34" t="s">
        <v>842</v>
      </c>
      <c r="T110" s="35">
        <v>82.14</v>
      </c>
      <c r="U110" s="35">
        <v>166.04</v>
      </c>
      <c r="V110" s="35">
        <f t="shared" si="8"/>
        <v>0</v>
      </c>
      <c r="W110" s="35">
        <v>0</v>
      </c>
      <c r="X110" s="33">
        <f>IF(Table2[[#This Row],[DiscountPct]]&gt;0.2,1,0)</f>
        <v>0</v>
      </c>
      <c r="Y110" s="33">
        <v>10</v>
      </c>
      <c r="Z110" s="30">
        <f>Table2[[#This Row],[UnitPrice]]*Y110*(1-V110)</f>
        <v>1660.3999999999999</v>
      </c>
      <c r="AA110" s="31">
        <f>T110*Y110</f>
        <v>821.4</v>
      </c>
      <c r="AB110" s="31">
        <f t="shared" si="9"/>
        <v>838.99999999999989</v>
      </c>
      <c r="AC110" s="31">
        <f t="shared" si="10"/>
        <v>0.50529992772825827</v>
      </c>
      <c r="AD110" s="31" t="e">
        <f>_xlfn.PERCENTILE.INC(S:S, 0.33)</f>
        <v>#NUM!</v>
      </c>
      <c r="AE110" s="31" t="e">
        <f>_xlfn.PERCENTILE.INC(S:S, 0.66)</f>
        <v>#NUM!</v>
      </c>
      <c r="AF110" s="30" t="e">
        <f t="shared" si="11"/>
        <v>#NUM!</v>
      </c>
    </row>
    <row r="111" spans="1:32" x14ac:dyDescent="0.3">
      <c r="A111" s="2" t="s">
        <v>124</v>
      </c>
      <c r="B111" s="4">
        <v>45445</v>
      </c>
      <c r="C111" s="46">
        <f>EOMONTH(Table2[[#This Row],[OrderDate]],-1)+1</f>
        <v>45444</v>
      </c>
      <c r="D111" s="45">
        <f>EOMONTH(_xlfn.MINIFS(B111:B741,M111:M741,Table2[[#This Row],[Country]]), -1) + 1</f>
        <v>44927</v>
      </c>
      <c r="E111" s="46"/>
      <c r="F111" s="4" t="str">
        <f>"Q"&amp;ROUNDUP(MONTH(B111)/3,0)&amp;"-"&amp;YEAR(B111)</f>
        <v>Q2-2024</v>
      </c>
      <c r="G111" s="4">
        <v>45451</v>
      </c>
      <c r="H111" s="4">
        <f>IF(G111&lt;B111, B111+3, G111)</f>
        <v>45451</v>
      </c>
      <c r="I111" s="10">
        <f>H111-B111</f>
        <v>6</v>
      </c>
      <c r="J111" s="10">
        <f t="shared" si="6"/>
        <v>1</v>
      </c>
      <c r="K111" s="10">
        <f t="shared" si="7"/>
        <v>1</v>
      </c>
      <c r="L111" s="6" t="s">
        <v>646</v>
      </c>
      <c r="M111" s="6" t="s">
        <v>650</v>
      </c>
      <c r="N111" s="6" t="s">
        <v>662</v>
      </c>
      <c r="O111" s="6" t="s">
        <v>704</v>
      </c>
      <c r="P111" s="6" t="s">
        <v>709</v>
      </c>
      <c r="Q111" s="6" t="s">
        <v>720</v>
      </c>
      <c r="R111" s="6" t="s">
        <v>733</v>
      </c>
      <c r="S111" s="6" t="s">
        <v>843</v>
      </c>
      <c r="T111" s="8">
        <v>292.94</v>
      </c>
      <c r="U111" s="8">
        <v>356.55</v>
      </c>
      <c r="V111" s="8">
        <f t="shared" si="8"/>
        <v>0.22900000000000001</v>
      </c>
      <c r="W111" s="8">
        <v>0.22900000000000001</v>
      </c>
      <c r="X111" s="10">
        <f>IF(Table2[[#This Row],[DiscountPct]]&gt;0.2,1,0)</f>
        <v>1</v>
      </c>
      <c r="Y111" s="10">
        <v>2</v>
      </c>
      <c r="Z111" s="30">
        <f>Table2[[#This Row],[UnitPrice]]*Y111*(1-V111)</f>
        <v>549.80010000000004</v>
      </c>
      <c r="AA111" s="2">
        <f>T111*Y111</f>
        <v>585.88</v>
      </c>
      <c r="AB111" s="2">
        <f t="shared" si="9"/>
        <v>-36.079899999999952</v>
      </c>
      <c r="AC111" s="2">
        <f t="shared" si="10"/>
        <v>-6.5623669402751925E-2</v>
      </c>
      <c r="AD111" s="2" t="e">
        <f>_xlfn.PERCENTILE.INC(S:S, 0.33)</f>
        <v>#NUM!</v>
      </c>
      <c r="AE111" s="2" t="e">
        <f>_xlfn.PERCENTILE.INC(S:S, 0.66)</f>
        <v>#NUM!</v>
      </c>
      <c r="AF111" s="30" t="e">
        <f t="shared" si="11"/>
        <v>#NUM!</v>
      </c>
    </row>
    <row r="112" spans="1:32" x14ac:dyDescent="0.3">
      <c r="A112" s="31" t="s">
        <v>125</v>
      </c>
      <c r="B112" s="32">
        <v>45452</v>
      </c>
      <c r="C112" s="47">
        <f>EOMONTH(Table2[[#This Row],[OrderDate]],-1)+1</f>
        <v>45444</v>
      </c>
      <c r="D112" s="45">
        <f>EOMONTH(_xlfn.MINIFS(B112:B742,M112:M742,Table2[[#This Row],[Country]]), -1) + 1</f>
        <v>44927</v>
      </c>
      <c r="E112" s="47"/>
      <c r="F112" s="32" t="str">
        <f>"Q"&amp;ROUNDUP(MONTH(B112)/3,0)&amp;"-"&amp;YEAR(B112)</f>
        <v>Q2-2024</v>
      </c>
      <c r="G112" s="32">
        <v>45480</v>
      </c>
      <c r="H112" s="32">
        <f>IF(G112&lt;B112, B112+3, G112)</f>
        <v>45480</v>
      </c>
      <c r="I112" s="33">
        <f>H112-B112</f>
        <v>28</v>
      </c>
      <c r="J112" s="33">
        <f t="shared" si="6"/>
        <v>0</v>
      </c>
      <c r="K112" s="33">
        <f t="shared" si="7"/>
        <v>0</v>
      </c>
      <c r="L112" s="34" t="s">
        <v>647</v>
      </c>
      <c r="M112" s="34" t="s">
        <v>659</v>
      </c>
      <c r="N112" s="34" t="s">
        <v>676</v>
      </c>
      <c r="O112" s="34" t="s">
        <v>701</v>
      </c>
      <c r="P112" s="34" t="s">
        <v>708</v>
      </c>
      <c r="Q112" s="34" t="s">
        <v>713</v>
      </c>
      <c r="R112" s="34" t="s">
        <v>727</v>
      </c>
      <c r="S112" s="34" t="s">
        <v>844</v>
      </c>
      <c r="T112" s="35">
        <v>550.22</v>
      </c>
      <c r="U112" s="35">
        <v>1025.05</v>
      </c>
      <c r="V112" s="35">
        <f t="shared" si="8"/>
        <v>0</v>
      </c>
      <c r="W112" s="35">
        <v>0</v>
      </c>
      <c r="X112" s="33">
        <f>IF(Table2[[#This Row],[DiscountPct]]&gt;0.2,1,0)</f>
        <v>0</v>
      </c>
      <c r="Y112" s="33">
        <v>27</v>
      </c>
      <c r="Z112" s="30">
        <f>Table2[[#This Row],[UnitPrice]]*Y112*(1-V112)</f>
        <v>27676.35</v>
      </c>
      <c r="AA112" s="31">
        <f>T112*Y112</f>
        <v>14855.94</v>
      </c>
      <c r="AB112" s="31">
        <f t="shared" si="9"/>
        <v>12820.409999999998</v>
      </c>
      <c r="AC112" s="31">
        <f t="shared" si="10"/>
        <v>0.46322618408858102</v>
      </c>
      <c r="AD112" s="31" t="e">
        <f>_xlfn.PERCENTILE.INC(S:S, 0.33)</f>
        <v>#NUM!</v>
      </c>
      <c r="AE112" s="31" t="e">
        <f>_xlfn.PERCENTILE.INC(S:S, 0.66)</f>
        <v>#NUM!</v>
      </c>
      <c r="AF112" s="30" t="e">
        <f t="shared" si="11"/>
        <v>#NUM!</v>
      </c>
    </row>
    <row r="113" spans="1:32" x14ac:dyDescent="0.3">
      <c r="A113" s="2" t="s">
        <v>126</v>
      </c>
      <c r="B113" s="4">
        <v>45453</v>
      </c>
      <c r="C113" s="46">
        <f>EOMONTH(Table2[[#This Row],[OrderDate]],-1)+1</f>
        <v>45444</v>
      </c>
      <c r="D113" s="45">
        <f>EOMONTH(_xlfn.MINIFS(B113:B743,M113:M743,Table2[[#This Row],[Country]]), -1) + 1</f>
        <v>44927</v>
      </c>
      <c r="E113" s="46"/>
      <c r="F113" s="4" t="str">
        <f>"Q"&amp;ROUNDUP(MONTH(B113)/3,0)&amp;"-"&amp;YEAR(B113)</f>
        <v>Q2-2024</v>
      </c>
      <c r="G113" s="4">
        <v>45454</v>
      </c>
      <c r="H113" s="4">
        <f>IF(G113&lt;B113, B113+3, G113)</f>
        <v>45454</v>
      </c>
      <c r="I113" s="10">
        <f>H113-B113</f>
        <v>1</v>
      </c>
      <c r="J113" s="10">
        <f t="shared" si="6"/>
        <v>1</v>
      </c>
      <c r="K113" s="10">
        <f t="shared" si="7"/>
        <v>1</v>
      </c>
      <c r="L113" s="6" t="s">
        <v>649</v>
      </c>
      <c r="M113" s="6" t="s">
        <v>658</v>
      </c>
      <c r="N113" s="6" t="s">
        <v>674</v>
      </c>
      <c r="O113" s="6" t="s">
        <v>705</v>
      </c>
      <c r="P113" s="6" t="s">
        <v>709</v>
      </c>
      <c r="Q113" s="6" t="s">
        <v>724</v>
      </c>
      <c r="R113" s="6" t="s">
        <v>731</v>
      </c>
      <c r="S113" s="6" t="s">
        <v>845</v>
      </c>
      <c r="T113" s="8">
        <v>1187.1300000000001</v>
      </c>
      <c r="U113" s="8">
        <v>1795.17</v>
      </c>
      <c r="V113" s="8">
        <f t="shared" si="8"/>
        <v>1.2E-2</v>
      </c>
      <c r="W113" s="8">
        <v>1.2E-2</v>
      </c>
      <c r="X113" s="10">
        <f>IF(Table2[[#This Row],[DiscountPct]]&gt;0.2,1,0)</f>
        <v>0</v>
      </c>
      <c r="Y113" s="10">
        <v>17</v>
      </c>
      <c r="Z113" s="30">
        <f>Table2[[#This Row],[UnitPrice]]*Y113*(1-V113)</f>
        <v>30151.675319999998</v>
      </c>
      <c r="AA113" s="2">
        <f>T113*Y113</f>
        <v>20181.210000000003</v>
      </c>
      <c r="AB113" s="2">
        <f t="shared" si="9"/>
        <v>9970.4653199999957</v>
      </c>
      <c r="AC113" s="2">
        <f t="shared" si="10"/>
        <v>0.33067699271046663</v>
      </c>
      <c r="AD113" s="2" t="e">
        <f>_xlfn.PERCENTILE.INC(S:S, 0.33)</f>
        <v>#NUM!</v>
      </c>
      <c r="AE113" s="2" t="e">
        <f>_xlfn.PERCENTILE.INC(S:S, 0.66)</f>
        <v>#NUM!</v>
      </c>
      <c r="AF113" s="30" t="e">
        <f t="shared" si="11"/>
        <v>#NUM!</v>
      </c>
    </row>
    <row r="114" spans="1:32" x14ac:dyDescent="0.3">
      <c r="A114" s="31" t="s">
        <v>127</v>
      </c>
      <c r="B114" s="32">
        <v>45472</v>
      </c>
      <c r="C114" s="47">
        <f>EOMONTH(Table2[[#This Row],[OrderDate]],-1)+1</f>
        <v>45444</v>
      </c>
      <c r="D114" s="45">
        <f>EOMONTH(_xlfn.MINIFS(B114:B744,M114:M744,Table2[[#This Row],[Country]]), -1) + 1</f>
        <v>44927</v>
      </c>
      <c r="E114" s="47"/>
      <c r="F114" s="32" t="str">
        <f>"Q"&amp;ROUNDUP(MONTH(B114)/3,0)&amp;"-"&amp;YEAR(B114)</f>
        <v>Q2-2024</v>
      </c>
      <c r="G114" s="32">
        <v>45499</v>
      </c>
      <c r="H114" s="32">
        <f>IF(G114&lt;B114, B114+3, G114)</f>
        <v>45499</v>
      </c>
      <c r="I114" s="33">
        <f>H114-B114</f>
        <v>27</v>
      </c>
      <c r="J114" s="33">
        <f t="shared" si="6"/>
        <v>0</v>
      </c>
      <c r="K114" s="33">
        <f t="shared" si="7"/>
        <v>0</v>
      </c>
      <c r="L114" s="34" t="s">
        <v>646</v>
      </c>
      <c r="M114" s="34" t="s">
        <v>661</v>
      </c>
      <c r="N114" s="34" t="s">
        <v>687</v>
      </c>
      <c r="O114" s="34" t="s">
        <v>706</v>
      </c>
      <c r="P114" s="34" t="s">
        <v>710</v>
      </c>
      <c r="Q114" s="34" t="s">
        <v>717</v>
      </c>
      <c r="R114" s="34" t="s">
        <v>729</v>
      </c>
      <c r="S114" s="34" t="s">
        <v>846</v>
      </c>
      <c r="T114" s="35">
        <v>5.36</v>
      </c>
      <c r="U114" s="35">
        <v>4.37</v>
      </c>
      <c r="V114" s="35">
        <f t="shared" si="8"/>
        <v>0.11799999999999999</v>
      </c>
      <c r="W114" s="35">
        <v>0.11799999999999999</v>
      </c>
      <c r="X114" s="33">
        <f>IF(Table2[[#This Row],[DiscountPct]]&gt;0.2,1,0)</f>
        <v>0</v>
      </c>
      <c r="Y114" s="33">
        <v>9</v>
      </c>
      <c r="Z114" s="30">
        <f>Table2[[#This Row],[UnitPrice]]*Y114*(1-V114)</f>
        <v>34.689059999999998</v>
      </c>
      <c r="AA114" s="31">
        <f>T114*Y114</f>
        <v>48.24</v>
      </c>
      <c r="AB114" s="31">
        <f t="shared" si="9"/>
        <v>-13.550940000000004</v>
      </c>
      <c r="AC114" s="31">
        <f t="shared" si="10"/>
        <v>-0.39064016148030545</v>
      </c>
      <c r="AD114" s="31" t="e">
        <f>_xlfn.PERCENTILE.INC(S:S, 0.33)</f>
        <v>#NUM!</v>
      </c>
      <c r="AE114" s="31" t="e">
        <f>_xlfn.PERCENTILE.INC(S:S, 0.66)</f>
        <v>#NUM!</v>
      </c>
      <c r="AF114" s="30" t="e">
        <f t="shared" si="11"/>
        <v>#NUM!</v>
      </c>
    </row>
    <row r="115" spans="1:32" x14ac:dyDescent="0.3">
      <c r="A115" s="2" t="s">
        <v>128</v>
      </c>
      <c r="B115" s="4">
        <v>45674</v>
      </c>
      <c r="C115" s="46">
        <f>EOMONTH(Table2[[#This Row],[OrderDate]],-1)+1</f>
        <v>45658</v>
      </c>
      <c r="D115" s="45">
        <f>EOMONTH(_xlfn.MINIFS(B115:B745,M115:M745,Table2[[#This Row],[Country]]), -1) + 1</f>
        <v>44927</v>
      </c>
      <c r="E115" s="46"/>
      <c r="F115" s="4" t="str">
        <f>"Q"&amp;ROUNDUP(MONTH(B115)/3,0)&amp;"-"&amp;YEAR(B115)</f>
        <v>Q1-2025</v>
      </c>
      <c r="G115" s="4">
        <v>45681</v>
      </c>
      <c r="H115" s="4">
        <f>IF(G115&lt;B115, B115+3, G115)</f>
        <v>45681</v>
      </c>
      <c r="I115" s="10">
        <f>H115-B115</f>
        <v>7</v>
      </c>
      <c r="J115" s="10">
        <f t="shared" si="6"/>
        <v>1</v>
      </c>
      <c r="K115" s="10">
        <f t="shared" si="7"/>
        <v>1</v>
      </c>
      <c r="L115" s="6" t="s">
        <v>648</v>
      </c>
      <c r="M115" s="6" t="s">
        <v>660</v>
      </c>
      <c r="N115" s="6" t="s">
        <v>697</v>
      </c>
      <c r="O115" s="6" t="s">
        <v>706</v>
      </c>
      <c r="P115" s="6" t="s">
        <v>708</v>
      </c>
      <c r="Q115" s="6" t="s">
        <v>715</v>
      </c>
      <c r="R115" s="6" t="s">
        <v>733</v>
      </c>
      <c r="S115" s="6" t="s">
        <v>847</v>
      </c>
      <c r="T115" s="8">
        <v>142.09</v>
      </c>
      <c r="U115" s="8">
        <v>218.5</v>
      </c>
      <c r="V115" s="8">
        <f t="shared" si="8"/>
        <v>0.11899999999999999</v>
      </c>
      <c r="W115" s="8">
        <v>0.11899999999999999</v>
      </c>
      <c r="X115" s="10">
        <f>IF(Table2[[#This Row],[DiscountPct]]&gt;0.2,1,0)</f>
        <v>0</v>
      </c>
      <c r="Y115" s="10">
        <v>11</v>
      </c>
      <c r="Z115" s="30">
        <f>Table2[[#This Row],[UnitPrice]]*Y115*(1-V115)</f>
        <v>2117.4834999999998</v>
      </c>
      <c r="AA115" s="2">
        <f>T115*Y115</f>
        <v>1562.99</v>
      </c>
      <c r="AB115" s="2">
        <f t="shared" si="9"/>
        <v>554.49349999999981</v>
      </c>
      <c r="AC115" s="2">
        <f t="shared" si="10"/>
        <v>0.26186437816398561</v>
      </c>
      <c r="AD115" s="2" t="e">
        <f>_xlfn.PERCENTILE.INC(S:S, 0.33)</f>
        <v>#NUM!</v>
      </c>
      <c r="AE115" s="2" t="e">
        <f>_xlfn.PERCENTILE.INC(S:S, 0.66)</f>
        <v>#NUM!</v>
      </c>
      <c r="AF115" s="30" t="e">
        <f t="shared" si="11"/>
        <v>#NUM!</v>
      </c>
    </row>
    <row r="116" spans="1:32" x14ac:dyDescent="0.3">
      <c r="A116" s="31" t="s">
        <v>129</v>
      </c>
      <c r="B116" s="32">
        <v>45250</v>
      </c>
      <c r="C116" s="47">
        <f>EOMONTH(Table2[[#This Row],[OrderDate]],-1)+1</f>
        <v>45231</v>
      </c>
      <c r="D116" s="45">
        <f>EOMONTH(_xlfn.MINIFS(B116:B746,M116:M746,Table2[[#This Row],[Country]]), -1) + 1</f>
        <v>44986</v>
      </c>
      <c r="E116" s="47"/>
      <c r="F116" s="32" t="str">
        <f>"Q"&amp;ROUNDUP(MONTH(B116)/3,0)&amp;"-"&amp;YEAR(B116)</f>
        <v>Q4-2023</v>
      </c>
      <c r="G116" s="32">
        <v>45265</v>
      </c>
      <c r="H116" s="32">
        <f>IF(G116&lt;B116, B116+3, G116)</f>
        <v>45265</v>
      </c>
      <c r="I116" s="33">
        <f>H116-B116</f>
        <v>15</v>
      </c>
      <c r="J116" s="33">
        <f t="shared" si="6"/>
        <v>0</v>
      </c>
      <c r="K116" s="33">
        <f t="shared" si="7"/>
        <v>0</v>
      </c>
      <c r="L116" s="34" t="s">
        <v>647</v>
      </c>
      <c r="M116" s="34" t="s">
        <v>652</v>
      </c>
      <c r="N116" s="34" t="s">
        <v>689</v>
      </c>
      <c r="O116" s="34" t="s">
        <v>706</v>
      </c>
      <c r="P116" s="34" t="s">
        <v>707</v>
      </c>
      <c r="Q116" s="34" t="s">
        <v>716</v>
      </c>
      <c r="R116" s="34" t="s">
        <v>729</v>
      </c>
      <c r="S116" s="34" t="s">
        <v>848</v>
      </c>
      <c r="T116" s="35">
        <v>354.24</v>
      </c>
      <c r="U116" s="35">
        <v>249.87</v>
      </c>
      <c r="V116" s="35">
        <f t="shared" si="8"/>
        <v>0</v>
      </c>
      <c r="W116" s="35">
        <v>0</v>
      </c>
      <c r="X116" s="33">
        <f>IF(Table2[[#This Row],[DiscountPct]]&gt;0.2,1,0)</f>
        <v>0</v>
      </c>
      <c r="Y116" s="33">
        <v>6</v>
      </c>
      <c r="Z116" s="30">
        <f>Table2[[#This Row],[UnitPrice]]*Y116*(1-V116)</f>
        <v>1499.22</v>
      </c>
      <c r="AA116" s="31">
        <f>T116*Y116</f>
        <v>2125.44</v>
      </c>
      <c r="AB116" s="31">
        <f t="shared" si="9"/>
        <v>-626.22</v>
      </c>
      <c r="AC116" s="31">
        <f t="shared" si="10"/>
        <v>-0.41769720254532355</v>
      </c>
      <c r="AD116" s="31" t="e">
        <f>_xlfn.PERCENTILE.INC(S:S, 0.33)</f>
        <v>#NUM!</v>
      </c>
      <c r="AE116" s="31" t="e">
        <f>_xlfn.PERCENTILE.INC(S:S, 0.66)</f>
        <v>#NUM!</v>
      </c>
      <c r="AF116" s="30" t="e">
        <f t="shared" si="11"/>
        <v>#NUM!</v>
      </c>
    </row>
    <row r="117" spans="1:32" x14ac:dyDescent="0.3">
      <c r="A117" s="2" t="s">
        <v>130</v>
      </c>
      <c r="B117" s="4">
        <v>44987</v>
      </c>
      <c r="C117" s="46">
        <f>EOMONTH(Table2[[#This Row],[OrderDate]],-1)+1</f>
        <v>44986</v>
      </c>
      <c r="D117" s="45">
        <f>EOMONTH(_xlfn.MINIFS(B117:B747,M117:M747,Table2[[#This Row],[Country]]), -1) + 1</f>
        <v>44927</v>
      </c>
      <c r="E117" s="46"/>
      <c r="F117" s="4" t="str">
        <f>"Q"&amp;ROUNDUP(MONTH(B117)/3,0)&amp;"-"&amp;YEAR(B117)</f>
        <v>Q1-2023</v>
      </c>
      <c r="G117" s="4">
        <v>44990</v>
      </c>
      <c r="H117" s="4">
        <f>IF(G117&lt;B117, B117+3, G117)</f>
        <v>44990</v>
      </c>
      <c r="I117" s="10">
        <f>H117-B117</f>
        <v>3</v>
      </c>
      <c r="J117" s="10">
        <f t="shared" si="6"/>
        <v>1</v>
      </c>
      <c r="K117" s="10">
        <f t="shared" si="7"/>
        <v>1</v>
      </c>
      <c r="L117" s="6" t="s">
        <v>648</v>
      </c>
      <c r="M117" s="6" t="s">
        <v>655</v>
      </c>
      <c r="N117" s="6" t="s">
        <v>672</v>
      </c>
      <c r="O117" s="6" t="s">
        <v>706</v>
      </c>
      <c r="P117" s="6" t="s">
        <v>711</v>
      </c>
      <c r="Q117" s="6" t="s">
        <v>715</v>
      </c>
      <c r="R117" s="6" t="s">
        <v>732</v>
      </c>
      <c r="S117" s="6" t="s">
        <v>849</v>
      </c>
      <c r="T117" s="8">
        <v>1473.58</v>
      </c>
      <c r="U117" s="8">
        <v>3436.52</v>
      </c>
      <c r="V117" s="8">
        <f t="shared" si="8"/>
        <v>0.108</v>
      </c>
      <c r="W117" s="8">
        <v>0.108</v>
      </c>
      <c r="X117" s="10">
        <f>IF(Table2[[#This Row],[DiscountPct]]&gt;0.2,1,0)</f>
        <v>0</v>
      </c>
      <c r="Y117" s="10">
        <v>8</v>
      </c>
      <c r="Z117" s="30">
        <f>Table2[[#This Row],[UnitPrice]]*Y117*(1-V117)</f>
        <v>24523.006720000001</v>
      </c>
      <c r="AA117" s="2">
        <f>T117*Y117</f>
        <v>11788.64</v>
      </c>
      <c r="AB117" s="2">
        <f t="shared" si="9"/>
        <v>12734.366720000002</v>
      </c>
      <c r="AC117" s="2">
        <f t="shared" si="10"/>
        <v>0.51928243813652564</v>
      </c>
      <c r="AD117" s="2" t="e">
        <f>_xlfn.PERCENTILE.INC(S:S, 0.33)</f>
        <v>#NUM!</v>
      </c>
      <c r="AE117" s="2" t="e">
        <f>_xlfn.PERCENTILE.INC(S:S, 0.66)</f>
        <v>#NUM!</v>
      </c>
      <c r="AF117" s="30" t="e">
        <f t="shared" si="11"/>
        <v>#NUM!</v>
      </c>
    </row>
    <row r="118" spans="1:32" x14ac:dyDescent="0.3">
      <c r="A118" s="31" t="s">
        <v>131</v>
      </c>
      <c r="B118" s="32">
        <v>45811</v>
      </c>
      <c r="C118" s="47">
        <f>EOMONTH(Table2[[#This Row],[OrderDate]],-1)+1</f>
        <v>45809</v>
      </c>
      <c r="D118" s="45">
        <f>EOMONTH(_xlfn.MINIFS(B118:B748,M118:M748,Table2[[#This Row],[Country]]), -1) + 1</f>
        <v>44986</v>
      </c>
      <c r="E118" s="47"/>
      <c r="F118" s="32" t="str">
        <f>"Q"&amp;ROUNDUP(MONTH(B118)/3,0)&amp;"-"&amp;YEAR(B118)</f>
        <v>Q2-2025</v>
      </c>
      <c r="G118" s="32">
        <v>45818</v>
      </c>
      <c r="H118" s="32">
        <f>IF(G118&lt;B118, B118+3, G118)</f>
        <v>45818</v>
      </c>
      <c r="I118" s="33">
        <f>H118-B118</f>
        <v>7</v>
      </c>
      <c r="J118" s="33">
        <f t="shared" si="6"/>
        <v>1</v>
      </c>
      <c r="K118" s="33">
        <f t="shared" si="7"/>
        <v>1</v>
      </c>
      <c r="L118" s="34" t="s">
        <v>648</v>
      </c>
      <c r="M118" s="34" t="s">
        <v>653</v>
      </c>
      <c r="N118" s="34" t="s">
        <v>667</v>
      </c>
      <c r="O118" s="34" t="s">
        <v>704</v>
      </c>
      <c r="P118" s="34" t="s">
        <v>710</v>
      </c>
      <c r="Q118" s="34" t="s">
        <v>719</v>
      </c>
      <c r="R118" s="34" t="s">
        <v>728</v>
      </c>
      <c r="S118" s="34" t="s">
        <v>850</v>
      </c>
      <c r="T118" s="35">
        <v>75.180000000000007</v>
      </c>
      <c r="U118" s="35">
        <v>53.45</v>
      </c>
      <c r="V118" s="35">
        <f t="shared" si="8"/>
        <v>0.157</v>
      </c>
      <c r="W118" s="35">
        <v>0.157</v>
      </c>
      <c r="X118" s="33">
        <f>IF(Table2[[#This Row],[DiscountPct]]&gt;0.2,1,0)</f>
        <v>0</v>
      </c>
      <c r="Y118" s="33">
        <v>17</v>
      </c>
      <c r="Z118" s="30">
        <f>Table2[[#This Row],[UnitPrice]]*Y118*(1-V118)</f>
        <v>765.99195000000009</v>
      </c>
      <c r="AA118" s="31">
        <f>T118*Y118</f>
        <v>1278.0600000000002</v>
      </c>
      <c r="AB118" s="31">
        <f t="shared" si="9"/>
        <v>-512.06805000000008</v>
      </c>
      <c r="AC118" s="31">
        <f t="shared" si="10"/>
        <v>-0.66850317421743144</v>
      </c>
      <c r="AD118" s="31" t="e">
        <f>_xlfn.PERCENTILE.INC(S:S, 0.33)</f>
        <v>#NUM!</v>
      </c>
      <c r="AE118" s="31" t="e">
        <f>_xlfn.PERCENTILE.INC(S:S, 0.66)</f>
        <v>#NUM!</v>
      </c>
      <c r="AF118" s="30" t="e">
        <f t="shared" si="11"/>
        <v>#NUM!</v>
      </c>
    </row>
    <row r="119" spans="1:32" x14ac:dyDescent="0.3">
      <c r="A119" s="2" t="s">
        <v>132</v>
      </c>
      <c r="B119" s="4">
        <v>45653</v>
      </c>
      <c r="C119" s="46">
        <f>EOMONTH(Table2[[#This Row],[OrderDate]],-1)+1</f>
        <v>45627</v>
      </c>
      <c r="D119" s="45">
        <f>EOMONTH(_xlfn.MINIFS(B119:B749,M119:M749,Table2[[#This Row],[Country]]), -1) + 1</f>
        <v>44927</v>
      </c>
      <c r="E119" s="46"/>
      <c r="F119" s="4" t="str">
        <f>"Q"&amp;ROUNDUP(MONTH(B119)/3,0)&amp;"-"&amp;YEAR(B119)</f>
        <v>Q4-2024</v>
      </c>
      <c r="G119" s="4">
        <v>45659</v>
      </c>
      <c r="H119" s="4">
        <f>IF(G119&lt;B119, B119+3, G119)</f>
        <v>45659</v>
      </c>
      <c r="I119" s="10">
        <f>H119-B119</f>
        <v>6</v>
      </c>
      <c r="J119" s="10">
        <f t="shared" si="6"/>
        <v>1</v>
      </c>
      <c r="K119" s="10">
        <f t="shared" si="7"/>
        <v>1</v>
      </c>
      <c r="L119" s="6" t="s">
        <v>649</v>
      </c>
      <c r="M119" s="6" t="s">
        <v>656</v>
      </c>
      <c r="N119" s="6" t="s">
        <v>698</v>
      </c>
      <c r="O119" s="6" t="s">
        <v>702</v>
      </c>
      <c r="P119" s="6" t="s">
        <v>711</v>
      </c>
      <c r="Q119" s="6" t="s">
        <v>721</v>
      </c>
      <c r="R119" s="6" t="s">
        <v>731</v>
      </c>
      <c r="S119" s="6" t="s">
        <v>851</v>
      </c>
      <c r="T119" s="8">
        <v>1391.99</v>
      </c>
      <c r="U119" s="8">
        <v>3469.7</v>
      </c>
      <c r="V119" s="8">
        <f t="shared" si="8"/>
        <v>0.184</v>
      </c>
      <c r="W119" s="8">
        <v>0.184</v>
      </c>
      <c r="X119" s="10">
        <f>IF(Table2[[#This Row],[DiscountPct]]&gt;0.2,1,0)</f>
        <v>0</v>
      </c>
      <c r="Y119" s="10">
        <v>23</v>
      </c>
      <c r="Z119" s="30">
        <f>Table2[[#This Row],[UnitPrice]]*Y119*(1-V119)</f>
        <v>65119.329599999997</v>
      </c>
      <c r="AA119" s="2">
        <f>T119*Y119</f>
        <v>32015.77</v>
      </c>
      <c r="AB119" s="2">
        <f t="shared" si="9"/>
        <v>33103.559599999993</v>
      </c>
      <c r="AC119" s="2">
        <f t="shared" si="10"/>
        <v>0.50835227886006973</v>
      </c>
      <c r="AD119" s="2" t="e">
        <f>_xlfn.PERCENTILE.INC(S:S, 0.33)</f>
        <v>#NUM!</v>
      </c>
      <c r="AE119" s="2" t="e">
        <f>_xlfn.PERCENTILE.INC(S:S, 0.66)</f>
        <v>#NUM!</v>
      </c>
      <c r="AF119" s="30" t="e">
        <f t="shared" si="11"/>
        <v>#NUM!</v>
      </c>
    </row>
    <row r="120" spans="1:32" x14ac:dyDescent="0.3">
      <c r="A120" s="31" t="s">
        <v>133</v>
      </c>
      <c r="B120" s="32">
        <v>45086</v>
      </c>
      <c r="C120" s="47">
        <f>EOMONTH(Table2[[#This Row],[OrderDate]],-1)+1</f>
        <v>45078</v>
      </c>
      <c r="D120" s="45">
        <f>EOMONTH(_xlfn.MINIFS(B120:B750,M120:M750,Table2[[#This Row],[Country]]), -1) + 1</f>
        <v>44927</v>
      </c>
      <c r="E120" s="47"/>
      <c r="F120" s="32" t="str">
        <f>"Q"&amp;ROUNDUP(MONTH(B120)/3,0)&amp;"-"&amp;YEAR(B120)</f>
        <v>Q2-2023</v>
      </c>
      <c r="G120" s="32">
        <v>45096</v>
      </c>
      <c r="H120" s="32">
        <f>IF(G120&lt;B120, B120+3, G120)</f>
        <v>45096</v>
      </c>
      <c r="I120" s="33">
        <f>H120-B120</f>
        <v>10</v>
      </c>
      <c r="J120" s="33">
        <f t="shared" si="6"/>
        <v>0</v>
      </c>
      <c r="K120" s="33">
        <f t="shared" si="7"/>
        <v>0</v>
      </c>
      <c r="L120" s="34" t="s">
        <v>647</v>
      </c>
      <c r="M120" s="34" t="s">
        <v>659</v>
      </c>
      <c r="N120" s="34" t="s">
        <v>699</v>
      </c>
      <c r="O120" s="34" t="s">
        <v>706</v>
      </c>
      <c r="P120" s="34" t="s">
        <v>707</v>
      </c>
      <c r="Q120" s="34" t="s">
        <v>721</v>
      </c>
      <c r="R120" s="34" t="s">
        <v>732</v>
      </c>
      <c r="S120" s="34" t="s">
        <v>852</v>
      </c>
      <c r="T120" s="35">
        <v>339.61</v>
      </c>
      <c r="U120" s="35">
        <v>621.02</v>
      </c>
      <c r="V120" s="35">
        <f t="shared" si="8"/>
        <v>7.0999999999999994E-2</v>
      </c>
      <c r="W120" s="35">
        <v>7.0999999999999994E-2</v>
      </c>
      <c r="X120" s="33">
        <f>IF(Table2[[#This Row],[DiscountPct]]&gt;0.2,1,0)</f>
        <v>0</v>
      </c>
      <c r="Y120" s="33">
        <v>10</v>
      </c>
      <c r="Z120" s="30">
        <f>Table2[[#This Row],[UnitPrice]]*Y120*(1-V120)</f>
        <v>5769.2758000000003</v>
      </c>
      <c r="AA120" s="31">
        <f>T120*Y120</f>
        <v>3396.1000000000004</v>
      </c>
      <c r="AB120" s="31">
        <f t="shared" si="9"/>
        <v>2373.1758</v>
      </c>
      <c r="AC120" s="31">
        <f t="shared" si="10"/>
        <v>0.41134726129750981</v>
      </c>
      <c r="AD120" s="31" t="e">
        <f>_xlfn.PERCENTILE.INC(S:S, 0.33)</f>
        <v>#NUM!</v>
      </c>
      <c r="AE120" s="31" t="e">
        <f>_xlfn.PERCENTILE.INC(S:S, 0.66)</f>
        <v>#NUM!</v>
      </c>
      <c r="AF120" s="30" t="e">
        <f t="shared" si="11"/>
        <v>#NUM!</v>
      </c>
    </row>
    <row r="121" spans="1:32" x14ac:dyDescent="0.3">
      <c r="A121" s="2" t="s">
        <v>134</v>
      </c>
      <c r="B121" s="4">
        <v>45847</v>
      </c>
      <c r="C121" s="46">
        <f>EOMONTH(Table2[[#This Row],[OrderDate]],-1)+1</f>
        <v>45839</v>
      </c>
      <c r="D121" s="45">
        <f>EOMONTH(_xlfn.MINIFS(B121:B751,M121:M751,Table2[[#This Row],[Country]]), -1) + 1</f>
        <v>44986</v>
      </c>
      <c r="E121" s="46"/>
      <c r="F121" s="4" t="str">
        <f>"Q"&amp;ROUNDUP(MONTH(B121)/3,0)&amp;"-"&amp;YEAR(B121)</f>
        <v>Q3-2025</v>
      </c>
      <c r="G121" s="4">
        <v>45856</v>
      </c>
      <c r="H121" s="4">
        <f>IF(G121&lt;B121, B121+3, G121)</f>
        <v>45856</v>
      </c>
      <c r="I121" s="10">
        <f>H121-B121</f>
        <v>9</v>
      </c>
      <c r="J121" s="10">
        <f t="shared" si="6"/>
        <v>0</v>
      </c>
      <c r="K121" s="10">
        <f t="shared" si="7"/>
        <v>0</v>
      </c>
      <c r="L121" s="6" t="s">
        <v>648</v>
      </c>
      <c r="M121" s="6" t="s">
        <v>653</v>
      </c>
      <c r="N121" s="6" t="s">
        <v>688</v>
      </c>
      <c r="O121" s="6" t="s">
        <v>702</v>
      </c>
      <c r="P121" s="6" t="s">
        <v>710</v>
      </c>
      <c r="Q121" s="6" t="s">
        <v>714</v>
      </c>
      <c r="R121" s="6" t="s">
        <v>731</v>
      </c>
      <c r="S121" s="6" t="s">
        <v>853</v>
      </c>
      <c r="T121" s="8">
        <v>57.96</v>
      </c>
      <c r="U121" s="8">
        <v>88.51</v>
      </c>
      <c r="V121" s="8">
        <f t="shared" si="8"/>
        <v>4.2999999999999997E-2</v>
      </c>
      <c r="W121" s="8">
        <v>4.2999999999999997E-2</v>
      </c>
      <c r="X121" s="10">
        <f>IF(Table2[[#This Row],[DiscountPct]]&gt;0.2,1,0)</f>
        <v>0</v>
      </c>
      <c r="Y121" s="10">
        <v>7</v>
      </c>
      <c r="Z121" s="30">
        <f>Table2[[#This Row],[UnitPrice]]*Y121*(1-V121)</f>
        <v>592.92849000000001</v>
      </c>
      <c r="AA121" s="2">
        <f>T121*Y121</f>
        <v>405.72</v>
      </c>
      <c r="AB121" s="2">
        <f t="shared" si="9"/>
        <v>187.20848999999998</v>
      </c>
      <c r="AC121" s="2">
        <f t="shared" si="10"/>
        <v>0.3157353595877978</v>
      </c>
      <c r="AD121" s="2" t="e">
        <f>_xlfn.PERCENTILE.INC(S:S, 0.33)</f>
        <v>#NUM!</v>
      </c>
      <c r="AE121" s="2" t="e">
        <f>_xlfn.PERCENTILE.INC(S:S, 0.66)</f>
        <v>#NUM!</v>
      </c>
      <c r="AF121" s="30" t="e">
        <f t="shared" si="11"/>
        <v>#NUM!</v>
      </c>
    </row>
    <row r="122" spans="1:32" x14ac:dyDescent="0.3">
      <c r="A122" s="31" t="s">
        <v>135</v>
      </c>
      <c r="B122" s="32">
        <v>45827</v>
      </c>
      <c r="C122" s="47">
        <f>EOMONTH(Table2[[#This Row],[OrderDate]],-1)+1</f>
        <v>45809</v>
      </c>
      <c r="D122" s="45">
        <f>EOMONTH(_xlfn.MINIFS(B122:B752,M122:M752,Table2[[#This Row],[Country]]), -1) + 1</f>
        <v>44927</v>
      </c>
      <c r="E122" s="47"/>
      <c r="F122" s="32" t="str">
        <f>"Q"&amp;ROUNDUP(MONTH(B122)/3,0)&amp;"-"&amp;YEAR(B122)</f>
        <v>Q2-2025</v>
      </c>
      <c r="G122" s="32">
        <v>45850</v>
      </c>
      <c r="H122" s="32">
        <f>IF(G122&lt;B122, B122+3, G122)</f>
        <v>45850</v>
      </c>
      <c r="I122" s="33">
        <f>H122-B122</f>
        <v>23</v>
      </c>
      <c r="J122" s="33">
        <f t="shared" si="6"/>
        <v>0</v>
      </c>
      <c r="K122" s="33">
        <f t="shared" si="7"/>
        <v>0</v>
      </c>
      <c r="L122" s="34" t="s">
        <v>649</v>
      </c>
      <c r="M122" s="34" t="s">
        <v>658</v>
      </c>
      <c r="N122" s="34"/>
      <c r="O122" s="34" t="s">
        <v>703</v>
      </c>
      <c r="P122" s="34" t="s">
        <v>711</v>
      </c>
      <c r="Q122" s="34" t="s">
        <v>1438</v>
      </c>
      <c r="R122" s="34" t="s">
        <v>729</v>
      </c>
      <c r="S122" s="34" t="s">
        <v>854</v>
      </c>
      <c r="T122" s="35">
        <v>801.24</v>
      </c>
      <c r="U122" s="35">
        <v>1959.09</v>
      </c>
      <c r="V122" s="35">
        <f t="shared" si="8"/>
        <v>0.123</v>
      </c>
      <c r="W122" s="35">
        <v>0.123</v>
      </c>
      <c r="X122" s="33">
        <f>IF(Table2[[#This Row],[DiscountPct]]&gt;0.2,1,0)</f>
        <v>0</v>
      </c>
      <c r="Y122" s="33">
        <v>23</v>
      </c>
      <c r="Z122" s="30">
        <f>Table2[[#This Row],[UnitPrice]]*Y122*(1-V122)</f>
        <v>39516.804389999998</v>
      </c>
      <c r="AA122" s="31">
        <f>T122*Y122</f>
        <v>18428.52</v>
      </c>
      <c r="AB122" s="31">
        <f t="shared" si="9"/>
        <v>21088.284389999997</v>
      </c>
      <c r="AC122" s="31">
        <f t="shared" si="10"/>
        <v>0.53365358650651762</v>
      </c>
      <c r="AD122" s="31" t="e">
        <f>_xlfn.PERCENTILE.INC(S:S, 0.33)</f>
        <v>#NUM!</v>
      </c>
      <c r="AE122" s="31" t="e">
        <f>_xlfn.PERCENTILE.INC(S:S, 0.66)</f>
        <v>#NUM!</v>
      </c>
      <c r="AF122" s="30" t="e">
        <f t="shared" si="11"/>
        <v>#NUM!</v>
      </c>
    </row>
    <row r="123" spans="1:32" x14ac:dyDescent="0.3">
      <c r="A123" s="2" t="s">
        <v>136</v>
      </c>
      <c r="B123" s="4">
        <v>45249</v>
      </c>
      <c r="C123" s="46">
        <f>EOMONTH(Table2[[#This Row],[OrderDate]],-1)+1</f>
        <v>45231</v>
      </c>
      <c r="D123" s="45">
        <f>EOMONTH(_xlfn.MINIFS(B123:B753,M123:M753,Table2[[#This Row],[Country]]), -1) + 1</f>
        <v>44927</v>
      </c>
      <c r="E123" s="46"/>
      <c r="F123" s="4" t="str">
        <f>"Q"&amp;ROUNDUP(MONTH(B123)/3,0)&amp;"-"&amp;YEAR(B123)</f>
        <v>Q4-2023</v>
      </c>
      <c r="G123" s="4">
        <v>45273</v>
      </c>
      <c r="H123" s="4">
        <f>IF(G123&lt;B123, B123+3, G123)</f>
        <v>45273</v>
      </c>
      <c r="I123" s="10">
        <f>H123-B123</f>
        <v>24</v>
      </c>
      <c r="J123" s="10">
        <f t="shared" si="6"/>
        <v>0</v>
      </c>
      <c r="K123" s="10">
        <f t="shared" si="7"/>
        <v>0</v>
      </c>
      <c r="L123" s="6" t="s">
        <v>649</v>
      </c>
      <c r="M123" s="6" t="s">
        <v>657</v>
      </c>
      <c r="N123" s="6" t="s">
        <v>679</v>
      </c>
      <c r="O123" s="6" t="s">
        <v>703</v>
      </c>
      <c r="P123" s="6" t="s">
        <v>711</v>
      </c>
      <c r="Q123" s="6" t="s">
        <v>722</v>
      </c>
      <c r="R123" s="6" t="s">
        <v>732</v>
      </c>
      <c r="S123" s="6" t="s">
        <v>855</v>
      </c>
      <c r="T123" s="8">
        <v>1297.42</v>
      </c>
      <c r="U123" s="8">
        <v>2742.97</v>
      </c>
      <c r="V123" s="8">
        <f t="shared" si="8"/>
        <v>6.9000000000000006E-2</v>
      </c>
      <c r="W123" s="8">
        <v>6.9000000000000006E-2</v>
      </c>
      <c r="X123" s="10">
        <f>IF(Table2[[#This Row],[DiscountPct]]&gt;0.2,1,0)</f>
        <v>0</v>
      </c>
      <c r="Y123" s="10">
        <v>9</v>
      </c>
      <c r="Z123" s="30">
        <f>Table2[[#This Row],[UnitPrice]]*Y123*(1-V123)</f>
        <v>22983.34563</v>
      </c>
      <c r="AA123" s="2">
        <f>T123*Y123</f>
        <v>11676.78</v>
      </c>
      <c r="AB123" s="2">
        <f t="shared" si="9"/>
        <v>11306.565629999999</v>
      </c>
      <c r="AC123" s="2">
        <f t="shared" si="10"/>
        <v>0.49194602961727291</v>
      </c>
      <c r="AD123" s="2" t="e">
        <f>_xlfn.PERCENTILE.INC(S:S, 0.33)</f>
        <v>#NUM!</v>
      </c>
      <c r="AE123" s="2" t="e">
        <f>_xlfn.PERCENTILE.INC(S:S, 0.66)</f>
        <v>#NUM!</v>
      </c>
      <c r="AF123" s="30" t="e">
        <f t="shared" si="11"/>
        <v>#NUM!</v>
      </c>
    </row>
    <row r="124" spans="1:32" x14ac:dyDescent="0.3">
      <c r="A124" s="31" t="s">
        <v>137</v>
      </c>
      <c r="B124" s="32">
        <v>45289</v>
      </c>
      <c r="C124" s="47">
        <f>EOMONTH(Table2[[#This Row],[OrderDate]],-1)+1</f>
        <v>45261</v>
      </c>
      <c r="D124" s="45">
        <f>EOMONTH(_xlfn.MINIFS(B124:B754,M124:M754,Table2[[#This Row],[Country]]), -1) + 1</f>
        <v>44927</v>
      </c>
      <c r="E124" s="47"/>
      <c r="F124" s="32" t="str">
        <f>"Q"&amp;ROUNDUP(MONTH(B124)/3,0)&amp;"-"&amp;YEAR(B124)</f>
        <v>Q4-2023</v>
      </c>
      <c r="G124" s="32">
        <v>45311</v>
      </c>
      <c r="H124" s="32">
        <f>IF(G124&lt;B124, B124+3, G124)</f>
        <v>45311</v>
      </c>
      <c r="I124" s="33">
        <f>H124-B124</f>
        <v>22</v>
      </c>
      <c r="J124" s="33">
        <f t="shared" si="6"/>
        <v>0</v>
      </c>
      <c r="K124" s="33">
        <f t="shared" si="7"/>
        <v>0</v>
      </c>
      <c r="L124" s="34" t="s">
        <v>646</v>
      </c>
      <c r="M124" s="34" t="s">
        <v>650</v>
      </c>
      <c r="N124" s="34" t="s">
        <v>662</v>
      </c>
      <c r="O124" s="34" t="s">
        <v>701</v>
      </c>
      <c r="P124" s="34" t="s">
        <v>711</v>
      </c>
      <c r="Q124" s="34" t="s">
        <v>716</v>
      </c>
      <c r="R124" s="34" t="s">
        <v>730</v>
      </c>
      <c r="S124" s="34" t="s">
        <v>856</v>
      </c>
      <c r="T124" s="35">
        <v>1395.49</v>
      </c>
      <c r="U124" s="35">
        <v>1679.42</v>
      </c>
      <c r="V124" s="35">
        <f t="shared" si="8"/>
        <v>0.20300000000000001</v>
      </c>
      <c r="W124" s="35">
        <v>0.20300000000000001</v>
      </c>
      <c r="X124" s="33">
        <f>IF(Table2[[#This Row],[DiscountPct]]&gt;0.2,1,0)</f>
        <v>1</v>
      </c>
      <c r="Y124" s="33">
        <v>12</v>
      </c>
      <c r="Z124" s="30">
        <f>Table2[[#This Row],[UnitPrice]]*Y124*(1-V124)</f>
        <v>16061.972879999999</v>
      </c>
      <c r="AA124" s="31">
        <f>T124*Y124</f>
        <v>16745.88</v>
      </c>
      <c r="AB124" s="31">
        <f t="shared" si="9"/>
        <v>-683.90712000000167</v>
      </c>
      <c r="AC124" s="31">
        <f t="shared" si="10"/>
        <v>-4.2579272490964493E-2</v>
      </c>
      <c r="AD124" s="31" t="e">
        <f>_xlfn.PERCENTILE.INC(S:S, 0.33)</f>
        <v>#NUM!</v>
      </c>
      <c r="AE124" s="31" t="e">
        <f>_xlfn.PERCENTILE.INC(S:S, 0.66)</f>
        <v>#NUM!</v>
      </c>
      <c r="AF124" s="30" t="e">
        <f t="shared" si="11"/>
        <v>#NUM!</v>
      </c>
    </row>
    <row r="125" spans="1:32" x14ac:dyDescent="0.3">
      <c r="A125" s="2" t="s">
        <v>138</v>
      </c>
      <c r="B125" s="4">
        <v>45598</v>
      </c>
      <c r="C125" s="46">
        <f>EOMONTH(Table2[[#This Row],[OrderDate]],-1)+1</f>
        <v>45597</v>
      </c>
      <c r="D125" s="45">
        <f>EOMONTH(_xlfn.MINIFS(B125:B755,M125:M755,Table2[[#This Row],[Country]]), -1) + 1</f>
        <v>44927</v>
      </c>
      <c r="E125" s="46"/>
      <c r="F125" s="4" t="str">
        <f>"Q"&amp;ROUNDUP(MONTH(B125)/3,0)&amp;"-"&amp;YEAR(B125)</f>
        <v>Q4-2024</v>
      </c>
      <c r="G125" s="4">
        <v>45625</v>
      </c>
      <c r="H125" s="4">
        <f>IF(G125&lt;B125, B125+3, G125)</f>
        <v>45625</v>
      </c>
      <c r="I125" s="10">
        <f>H125-B125</f>
        <v>27</v>
      </c>
      <c r="J125" s="10">
        <f t="shared" si="6"/>
        <v>0</v>
      </c>
      <c r="K125" s="10">
        <f t="shared" si="7"/>
        <v>0</v>
      </c>
      <c r="L125" s="6" t="s">
        <v>648</v>
      </c>
      <c r="M125" s="6" t="s">
        <v>655</v>
      </c>
      <c r="N125" s="6" t="s">
        <v>672</v>
      </c>
      <c r="O125" s="6" t="s">
        <v>705</v>
      </c>
      <c r="P125" s="6" t="s">
        <v>711</v>
      </c>
      <c r="Q125" s="6" t="s">
        <v>714</v>
      </c>
      <c r="R125" s="6" t="s">
        <v>729</v>
      </c>
      <c r="S125" s="6" t="s">
        <v>857</v>
      </c>
      <c r="T125" s="8">
        <v>1363.51</v>
      </c>
      <c r="U125" s="8">
        <v>1433.9</v>
      </c>
      <c r="V125" s="8">
        <f t="shared" si="8"/>
        <v>5.7000000000000002E-2</v>
      </c>
      <c r="W125" s="8">
        <v>5.7000000000000002E-2</v>
      </c>
      <c r="X125" s="10">
        <f>IF(Table2[[#This Row],[DiscountPct]]&gt;0.2,1,0)</f>
        <v>0</v>
      </c>
      <c r="Y125" s="10">
        <v>8</v>
      </c>
      <c r="Z125" s="30">
        <f>Table2[[#This Row],[UnitPrice]]*Y125*(1-V125)</f>
        <v>10817.3416</v>
      </c>
      <c r="AA125" s="2">
        <f>T125*Y125</f>
        <v>10908.08</v>
      </c>
      <c r="AB125" s="2">
        <f t="shared" si="9"/>
        <v>-90.738400000000183</v>
      </c>
      <c r="AC125" s="2">
        <f t="shared" si="10"/>
        <v>-8.3882346842037592E-3</v>
      </c>
      <c r="AD125" s="2" t="e">
        <f>_xlfn.PERCENTILE.INC(S:S, 0.33)</f>
        <v>#NUM!</v>
      </c>
      <c r="AE125" s="2" t="e">
        <f>_xlfn.PERCENTILE.INC(S:S, 0.66)</f>
        <v>#NUM!</v>
      </c>
      <c r="AF125" s="30" t="e">
        <f t="shared" si="11"/>
        <v>#NUM!</v>
      </c>
    </row>
    <row r="126" spans="1:32" x14ac:dyDescent="0.3">
      <c r="A126" s="31" t="s">
        <v>139</v>
      </c>
      <c r="B126" s="32">
        <v>45159</v>
      </c>
      <c r="C126" s="47">
        <f>EOMONTH(Table2[[#This Row],[OrderDate]],-1)+1</f>
        <v>45139</v>
      </c>
      <c r="D126" s="45">
        <f>EOMONTH(_xlfn.MINIFS(B126:B756,M126:M756,Table2[[#This Row],[Country]]), -1) + 1</f>
        <v>44986</v>
      </c>
      <c r="E126" s="47"/>
      <c r="F126" s="32" t="str">
        <f>"Q"&amp;ROUNDUP(MONTH(B126)/3,0)&amp;"-"&amp;YEAR(B126)</f>
        <v>Q3-2023</v>
      </c>
      <c r="G126" s="32">
        <v>45173</v>
      </c>
      <c r="H126" s="32">
        <f>IF(G126&lt;B126, B126+3, G126)</f>
        <v>45173</v>
      </c>
      <c r="I126" s="33">
        <f>H126-B126</f>
        <v>14</v>
      </c>
      <c r="J126" s="33">
        <f t="shared" si="6"/>
        <v>0</v>
      </c>
      <c r="K126" s="33">
        <f t="shared" si="7"/>
        <v>0</v>
      </c>
      <c r="L126" s="34" t="s">
        <v>648</v>
      </c>
      <c r="M126" s="34" t="s">
        <v>653</v>
      </c>
      <c r="N126" s="34" t="s">
        <v>681</v>
      </c>
      <c r="O126" s="34" t="s">
        <v>702</v>
      </c>
      <c r="P126" s="34" t="s">
        <v>710</v>
      </c>
      <c r="Q126" s="34" t="s">
        <v>721</v>
      </c>
      <c r="R126" s="34" t="s">
        <v>727</v>
      </c>
      <c r="S126" s="34" t="s">
        <v>858</v>
      </c>
      <c r="T126" s="35">
        <v>178.19</v>
      </c>
      <c r="U126" s="35">
        <v>284.43</v>
      </c>
      <c r="V126" s="35">
        <f t="shared" si="8"/>
        <v>8.8999999999999996E-2</v>
      </c>
      <c r="W126" s="35">
        <v>8.8999999999999996E-2</v>
      </c>
      <c r="X126" s="33">
        <f>IF(Table2[[#This Row],[DiscountPct]]&gt;0.2,1,0)</f>
        <v>0</v>
      </c>
      <c r="Y126" s="33">
        <v>8</v>
      </c>
      <c r="Z126" s="30">
        <f>Table2[[#This Row],[UnitPrice]]*Y126*(1-V126)</f>
        <v>2072.9258400000003</v>
      </c>
      <c r="AA126" s="31">
        <f>T126*Y126</f>
        <v>1425.52</v>
      </c>
      <c r="AB126" s="31">
        <f t="shared" si="9"/>
        <v>647.40584000000035</v>
      </c>
      <c r="AC126" s="31">
        <f t="shared" si="10"/>
        <v>0.31231500302972742</v>
      </c>
      <c r="AD126" s="31" t="e">
        <f>_xlfn.PERCENTILE.INC(S:S, 0.33)</f>
        <v>#NUM!</v>
      </c>
      <c r="AE126" s="31" t="e">
        <f>_xlfn.PERCENTILE.INC(S:S, 0.66)</f>
        <v>#NUM!</v>
      </c>
      <c r="AF126" s="30" t="e">
        <f t="shared" si="11"/>
        <v>#NUM!</v>
      </c>
    </row>
    <row r="127" spans="1:32" x14ac:dyDescent="0.3">
      <c r="A127" s="2" t="s">
        <v>140</v>
      </c>
      <c r="B127" s="4">
        <v>45150</v>
      </c>
      <c r="C127" s="46">
        <f>EOMONTH(Table2[[#This Row],[OrderDate]],-1)+1</f>
        <v>45139</v>
      </c>
      <c r="D127" s="45">
        <f>EOMONTH(_xlfn.MINIFS(B127:B757,M127:M757,Table2[[#This Row],[Country]]), -1) + 1</f>
        <v>44927</v>
      </c>
      <c r="E127" s="46"/>
      <c r="F127" s="4" t="str">
        <f>"Q"&amp;ROUNDUP(MONTH(B127)/3,0)&amp;"-"&amp;YEAR(B127)</f>
        <v>Q3-2023</v>
      </c>
      <c r="G127" s="4">
        <v>45175</v>
      </c>
      <c r="H127" s="4">
        <f>IF(G127&lt;B127, B127+3, G127)</f>
        <v>45175</v>
      </c>
      <c r="I127" s="10">
        <f>H127-B127</f>
        <v>25</v>
      </c>
      <c r="J127" s="10">
        <f t="shared" si="6"/>
        <v>0</v>
      </c>
      <c r="K127" s="10">
        <f t="shared" si="7"/>
        <v>0</v>
      </c>
      <c r="L127" s="6" t="s">
        <v>647</v>
      </c>
      <c r="M127" s="6" t="s">
        <v>659</v>
      </c>
      <c r="N127" s="6" t="s">
        <v>685</v>
      </c>
      <c r="O127" s="6" t="s">
        <v>705</v>
      </c>
      <c r="P127" s="6" t="s">
        <v>707</v>
      </c>
      <c r="Q127" s="6" t="s">
        <v>717</v>
      </c>
      <c r="R127" s="6" t="s">
        <v>727</v>
      </c>
      <c r="S127" s="6" t="s">
        <v>859</v>
      </c>
      <c r="T127" s="8">
        <v>950.77</v>
      </c>
      <c r="U127" s="8">
        <v>694.78</v>
      </c>
      <c r="V127" s="8">
        <f t="shared" si="8"/>
        <v>8.4000000000000005E-2</v>
      </c>
      <c r="W127" s="8">
        <v>8.4000000000000005E-2</v>
      </c>
      <c r="X127" s="10">
        <f>IF(Table2[[#This Row],[DiscountPct]]&gt;0.2,1,0)</f>
        <v>0</v>
      </c>
      <c r="Y127" s="10">
        <v>14</v>
      </c>
      <c r="Z127" s="30">
        <f>Table2[[#This Row],[UnitPrice]]*Y127*(1-V127)</f>
        <v>8909.8587200000002</v>
      </c>
      <c r="AA127" s="2">
        <f>T127*Y127</f>
        <v>13310.779999999999</v>
      </c>
      <c r="AB127" s="2">
        <f t="shared" si="9"/>
        <v>-4400.9212799999987</v>
      </c>
      <c r="AC127" s="2">
        <f t="shared" si="10"/>
        <v>-0.49393839097821279</v>
      </c>
      <c r="AD127" s="2" t="e">
        <f>_xlfn.PERCENTILE.INC(S:S, 0.33)</f>
        <v>#NUM!</v>
      </c>
      <c r="AE127" s="2" t="e">
        <f>_xlfn.PERCENTILE.INC(S:S, 0.66)</f>
        <v>#NUM!</v>
      </c>
      <c r="AF127" s="30" t="e">
        <f t="shared" si="11"/>
        <v>#NUM!</v>
      </c>
    </row>
    <row r="128" spans="1:32" x14ac:dyDescent="0.3">
      <c r="A128" s="31" t="s">
        <v>141</v>
      </c>
      <c r="B128" s="32">
        <v>45450</v>
      </c>
      <c r="C128" s="47">
        <f>EOMONTH(Table2[[#This Row],[OrderDate]],-1)+1</f>
        <v>45444</v>
      </c>
      <c r="D128" s="45">
        <f>EOMONTH(_xlfn.MINIFS(B128:B758,M128:M758,Table2[[#This Row],[Country]]), -1) + 1</f>
        <v>44927</v>
      </c>
      <c r="E128" s="47"/>
      <c r="F128" s="32" t="str">
        <f>"Q"&amp;ROUNDUP(MONTH(B128)/3,0)&amp;"-"&amp;YEAR(B128)</f>
        <v>Q2-2024</v>
      </c>
      <c r="G128" s="32">
        <v>45469</v>
      </c>
      <c r="H128" s="32">
        <f>IF(G128&lt;B128, B128+3, G128)</f>
        <v>45469</v>
      </c>
      <c r="I128" s="33">
        <f>H128-B128</f>
        <v>19</v>
      </c>
      <c r="J128" s="33">
        <f t="shared" si="6"/>
        <v>0</v>
      </c>
      <c r="K128" s="33">
        <f t="shared" si="7"/>
        <v>0</v>
      </c>
      <c r="L128" s="34" t="s">
        <v>649</v>
      </c>
      <c r="M128" s="34" t="s">
        <v>656</v>
      </c>
      <c r="N128" s="34" t="s">
        <v>671</v>
      </c>
      <c r="O128" s="34" t="s">
        <v>703</v>
      </c>
      <c r="P128" s="34" t="s">
        <v>709</v>
      </c>
      <c r="Q128" s="34" t="s">
        <v>724</v>
      </c>
      <c r="R128" s="34" t="s">
        <v>727</v>
      </c>
      <c r="S128" s="34" t="s">
        <v>860</v>
      </c>
      <c r="T128" s="35">
        <v>1064.32</v>
      </c>
      <c r="U128" s="35">
        <v>1848.39</v>
      </c>
      <c r="V128" s="35">
        <f t="shared" si="8"/>
        <v>7.2999999999999995E-2</v>
      </c>
      <c r="W128" s="35">
        <v>7.2999999999999995E-2</v>
      </c>
      <c r="X128" s="33">
        <f>IF(Table2[[#This Row],[DiscountPct]]&gt;0.2,1,0)</f>
        <v>0</v>
      </c>
      <c r="Y128" s="33">
        <v>38</v>
      </c>
      <c r="Z128" s="30">
        <f>Table2[[#This Row],[UnitPrice]]*Y128*(1-V128)</f>
        <v>65111.38614000001</v>
      </c>
      <c r="AA128" s="31">
        <f>T128*Y128</f>
        <v>40444.159999999996</v>
      </c>
      <c r="AB128" s="31">
        <f t="shared" si="9"/>
        <v>24667.226140000013</v>
      </c>
      <c r="AC128" s="31">
        <f t="shared" si="10"/>
        <v>0.3788465827921631</v>
      </c>
      <c r="AD128" s="31" t="e">
        <f>_xlfn.PERCENTILE.INC(S:S, 0.33)</f>
        <v>#NUM!</v>
      </c>
      <c r="AE128" s="31" t="e">
        <f>_xlfn.PERCENTILE.INC(S:S, 0.66)</f>
        <v>#NUM!</v>
      </c>
      <c r="AF128" s="30" t="e">
        <f t="shared" si="11"/>
        <v>#NUM!</v>
      </c>
    </row>
    <row r="129" spans="1:32" x14ac:dyDescent="0.3">
      <c r="A129" s="2" t="s">
        <v>142</v>
      </c>
      <c r="B129" s="4">
        <v>45874</v>
      </c>
      <c r="C129" s="46">
        <f>EOMONTH(Table2[[#This Row],[OrderDate]],-1)+1</f>
        <v>45870</v>
      </c>
      <c r="D129" s="45">
        <f>EOMONTH(_xlfn.MINIFS(B129:B759,M129:M759,Table2[[#This Row],[Country]]), -1) + 1</f>
        <v>44927</v>
      </c>
      <c r="E129" s="46"/>
      <c r="F129" s="4" t="str">
        <f>"Q"&amp;ROUNDUP(MONTH(B129)/3,0)&amp;"-"&amp;YEAR(B129)</f>
        <v>Q3-2025</v>
      </c>
      <c r="G129" s="4">
        <v>45883</v>
      </c>
      <c r="H129" s="4">
        <f>IF(G129&lt;B129, B129+3, G129)</f>
        <v>45883</v>
      </c>
      <c r="I129" s="10">
        <f>H129-B129</f>
        <v>9</v>
      </c>
      <c r="J129" s="10">
        <f t="shared" si="6"/>
        <v>0</v>
      </c>
      <c r="K129" s="10">
        <f t="shared" si="7"/>
        <v>0</v>
      </c>
      <c r="L129" s="6" t="s">
        <v>649</v>
      </c>
      <c r="M129" s="6" t="s">
        <v>658</v>
      </c>
      <c r="N129" s="6" t="s">
        <v>683</v>
      </c>
      <c r="O129" s="6" t="s">
        <v>703</v>
      </c>
      <c r="P129" s="6" t="s">
        <v>711</v>
      </c>
      <c r="Q129" s="6" t="s">
        <v>718</v>
      </c>
      <c r="R129" s="6" t="s">
        <v>727</v>
      </c>
      <c r="S129" s="6" t="s">
        <v>861</v>
      </c>
      <c r="T129" s="8">
        <v>41.76</v>
      </c>
      <c r="U129" s="8">
        <v>45.19</v>
      </c>
      <c r="V129" s="8">
        <f t="shared" si="8"/>
        <v>0.17899999999999999</v>
      </c>
      <c r="W129" s="8">
        <v>0.17899999999999999</v>
      </c>
      <c r="X129" s="10">
        <f>IF(Table2[[#This Row],[DiscountPct]]&gt;0.2,1,0)</f>
        <v>0</v>
      </c>
      <c r="Y129" s="10">
        <v>23</v>
      </c>
      <c r="Z129" s="30">
        <f>Table2[[#This Row],[UnitPrice]]*Y129*(1-V129)</f>
        <v>853.32276999999988</v>
      </c>
      <c r="AA129" s="2">
        <f>T129*Y129</f>
        <v>960.4799999999999</v>
      </c>
      <c r="AB129" s="2">
        <f t="shared" si="9"/>
        <v>-107.15723000000003</v>
      </c>
      <c r="AC129" s="2">
        <f t="shared" si="10"/>
        <v>-0.12557643340514638</v>
      </c>
      <c r="AD129" s="2" t="e">
        <f>_xlfn.PERCENTILE.INC(S:S, 0.33)</f>
        <v>#NUM!</v>
      </c>
      <c r="AE129" s="2" t="e">
        <f>_xlfn.PERCENTILE.INC(S:S, 0.66)</f>
        <v>#NUM!</v>
      </c>
      <c r="AF129" s="30" t="e">
        <f t="shared" si="11"/>
        <v>#NUM!</v>
      </c>
    </row>
    <row r="130" spans="1:32" x14ac:dyDescent="0.3">
      <c r="A130" s="31" t="s">
        <v>143</v>
      </c>
      <c r="B130" s="32">
        <v>45442</v>
      </c>
      <c r="C130" s="47">
        <f>EOMONTH(Table2[[#This Row],[OrderDate]],-1)+1</f>
        <v>45413</v>
      </c>
      <c r="D130" s="45">
        <f>EOMONTH(_xlfn.MINIFS(B130:B760,M130:M760,Table2[[#This Row],[Country]]), -1) + 1</f>
        <v>44927</v>
      </c>
      <c r="E130" s="47"/>
      <c r="F130" s="32" t="str">
        <f>"Q"&amp;ROUNDUP(MONTH(B130)/3,0)&amp;"-"&amp;YEAR(B130)</f>
        <v>Q2-2024</v>
      </c>
      <c r="G130" s="32">
        <v>45456</v>
      </c>
      <c r="H130" s="32">
        <f>IF(G130&lt;B130, B130+3, G130)</f>
        <v>45456</v>
      </c>
      <c r="I130" s="33">
        <f>H130-B130</f>
        <v>14</v>
      </c>
      <c r="J130" s="33">
        <f t="shared" ref="J130:J193" si="12">IF(I130 &lt;= 7, 1, 0)</f>
        <v>0</v>
      </c>
      <c r="K130" s="33">
        <f t="shared" ref="K130:K193" si="13">IF(I130&lt;=7,1,0)</f>
        <v>0</v>
      </c>
      <c r="L130" s="34" t="s">
        <v>648</v>
      </c>
      <c r="M130" s="34" t="s">
        <v>660</v>
      </c>
      <c r="N130" s="34" t="s">
        <v>686</v>
      </c>
      <c r="O130" s="34" t="s">
        <v>705</v>
      </c>
      <c r="P130" s="34" t="s">
        <v>707</v>
      </c>
      <c r="Q130" s="34" t="s">
        <v>721</v>
      </c>
      <c r="R130" s="34" t="s">
        <v>730</v>
      </c>
      <c r="S130" s="34" t="s">
        <v>862</v>
      </c>
      <c r="T130" s="35">
        <v>157.78</v>
      </c>
      <c r="U130" s="35">
        <v>361.1</v>
      </c>
      <c r="V130" s="35">
        <f t="shared" si="8"/>
        <v>0.187</v>
      </c>
      <c r="W130" s="35">
        <v>0.187</v>
      </c>
      <c r="X130" s="33">
        <f>IF(Table2[[#This Row],[DiscountPct]]&gt;0.2,1,0)</f>
        <v>0</v>
      </c>
      <c r="Y130" s="33">
        <v>9</v>
      </c>
      <c r="Z130" s="30">
        <f>Table2[[#This Row],[UnitPrice]]*Y130*(1-V130)</f>
        <v>2642.1686999999997</v>
      </c>
      <c r="AA130" s="31">
        <f>T130*Y130</f>
        <v>1420.02</v>
      </c>
      <c r="AB130" s="31">
        <f t="shared" si="9"/>
        <v>1222.1486999999997</v>
      </c>
      <c r="AC130" s="31">
        <f t="shared" si="10"/>
        <v>0.46255513510549112</v>
      </c>
      <c r="AD130" s="31" t="e">
        <f>_xlfn.PERCENTILE.INC(S:S, 0.33)</f>
        <v>#NUM!</v>
      </c>
      <c r="AE130" s="31" t="e">
        <f>_xlfn.PERCENTILE.INC(S:S, 0.66)</f>
        <v>#NUM!</v>
      </c>
      <c r="AF130" s="30" t="e">
        <f t="shared" si="11"/>
        <v>#NUM!</v>
      </c>
    </row>
    <row r="131" spans="1:32" x14ac:dyDescent="0.3">
      <c r="A131" s="2" t="s">
        <v>144</v>
      </c>
      <c r="B131" s="4">
        <v>44948</v>
      </c>
      <c r="C131" s="46">
        <f>EOMONTH(Table2[[#This Row],[OrderDate]],-1)+1</f>
        <v>44927</v>
      </c>
      <c r="D131" s="45">
        <f>EOMONTH(_xlfn.MINIFS(B131:B761,M131:M761,Table2[[#This Row],[Country]]), -1) + 1</f>
        <v>44927</v>
      </c>
      <c r="E131" s="46"/>
      <c r="F131" s="4" t="str">
        <f>"Q"&amp;ROUNDUP(MONTH(B131)/3,0)&amp;"-"&amp;YEAR(B131)</f>
        <v>Q1-2023</v>
      </c>
      <c r="G131" s="4">
        <v>44956</v>
      </c>
      <c r="H131" s="4">
        <f>IF(G131&lt;B131, B131+3, G131)</f>
        <v>44956</v>
      </c>
      <c r="I131" s="10">
        <f>H131-B131</f>
        <v>8</v>
      </c>
      <c r="J131" s="10">
        <f t="shared" si="12"/>
        <v>0</v>
      </c>
      <c r="K131" s="10">
        <f t="shared" si="13"/>
        <v>0</v>
      </c>
      <c r="L131" s="6" t="s">
        <v>648</v>
      </c>
      <c r="M131" s="6" t="s">
        <v>660</v>
      </c>
      <c r="N131" s="6" t="s">
        <v>686</v>
      </c>
      <c r="O131" s="6" t="s">
        <v>705</v>
      </c>
      <c r="P131" s="6" t="s">
        <v>708</v>
      </c>
      <c r="Q131" s="6" t="s">
        <v>720</v>
      </c>
      <c r="R131" s="6" t="s">
        <v>729</v>
      </c>
      <c r="S131" s="6" t="s">
        <v>863</v>
      </c>
      <c r="T131" s="8">
        <v>413.52</v>
      </c>
      <c r="U131" s="8">
        <v>1004.34</v>
      </c>
      <c r="V131" s="8">
        <f t="shared" ref="V131:V194" si="14">IF(W131&gt;0.3,0.3,W131)</f>
        <v>0.111</v>
      </c>
      <c r="W131" s="8">
        <v>0.111</v>
      </c>
      <c r="X131" s="10">
        <f>IF(Table2[[#This Row],[DiscountPct]]&gt;0.2,1,0)</f>
        <v>0</v>
      </c>
      <c r="Y131" s="10">
        <v>18</v>
      </c>
      <c r="Z131" s="30">
        <f>Table2[[#This Row],[UnitPrice]]*Y131*(1-V131)</f>
        <v>16071.44868</v>
      </c>
      <c r="AA131" s="2">
        <f>T131*Y131</f>
        <v>7443.36</v>
      </c>
      <c r="AB131" s="2">
        <f t="shared" ref="AB131:AB194" si="15">Z131-AA131</f>
        <v>8628.0886800000007</v>
      </c>
      <c r="AC131" s="2">
        <f t="shared" ref="AC131:AC194" si="16">IF(Z131=0,0,AB131/Z131)</f>
        <v>0.53685817948304593</v>
      </c>
      <c r="AD131" s="2" t="e">
        <f>_xlfn.PERCENTILE.INC(S:S, 0.33)</f>
        <v>#NUM!</v>
      </c>
      <c r="AE131" s="2" t="e">
        <f>_xlfn.PERCENTILE.INC(S:S, 0.66)</f>
        <v>#NUM!</v>
      </c>
      <c r="AF131" s="30" t="e">
        <f t="shared" ref="AF131:AF194" si="17">IF(Z131="","",
   IF(Z131&lt;=AD131,"Low",
      IF(Z131&lt;=AE131,"Medium","High")
   )
)</f>
        <v>#NUM!</v>
      </c>
    </row>
    <row r="132" spans="1:32" x14ac:dyDescent="0.3">
      <c r="A132" s="31" t="s">
        <v>145</v>
      </c>
      <c r="B132" s="32">
        <v>45700</v>
      </c>
      <c r="C132" s="47">
        <f>EOMONTH(Table2[[#This Row],[OrderDate]],-1)+1</f>
        <v>45689</v>
      </c>
      <c r="D132" s="45">
        <f>EOMONTH(_xlfn.MINIFS(B132:B762,M132:M762,Table2[[#This Row],[Country]]), -1) + 1</f>
        <v>44927</v>
      </c>
      <c r="E132" s="47"/>
      <c r="F132" s="32" t="str">
        <f>"Q"&amp;ROUNDUP(MONTH(B132)/3,0)&amp;"-"&amp;YEAR(B132)</f>
        <v>Q1-2025</v>
      </c>
      <c r="G132" s="32">
        <v>45716</v>
      </c>
      <c r="H132" s="32">
        <f>IF(G132&lt;B132, B132+3, G132)</f>
        <v>45716</v>
      </c>
      <c r="I132" s="33">
        <f>H132-B132</f>
        <v>16</v>
      </c>
      <c r="J132" s="33">
        <f t="shared" si="12"/>
        <v>0</v>
      </c>
      <c r="K132" s="33">
        <f t="shared" si="13"/>
        <v>0</v>
      </c>
      <c r="L132" s="34" t="s">
        <v>648</v>
      </c>
      <c r="M132" s="34" t="s">
        <v>655</v>
      </c>
      <c r="N132" s="34" t="s">
        <v>670</v>
      </c>
      <c r="O132" s="34" t="s">
        <v>703</v>
      </c>
      <c r="P132" s="34" t="s">
        <v>711</v>
      </c>
      <c r="Q132" s="34" t="s">
        <v>717</v>
      </c>
      <c r="R132" s="34" t="s">
        <v>732</v>
      </c>
      <c r="S132" s="34" t="s">
        <v>864</v>
      </c>
      <c r="T132" s="35">
        <v>414.95</v>
      </c>
      <c r="U132" s="35">
        <v>1027.73</v>
      </c>
      <c r="V132" s="35">
        <f t="shared" si="14"/>
        <v>6.3E-2</v>
      </c>
      <c r="W132" s="35">
        <v>6.3E-2</v>
      </c>
      <c r="X132" s="33">
        <f>IF(Table2[[#This Row],[DiscountPct]]&gt;0.2,1,0)</f>
        <v>0</v>
      </c>
      <c r="Y132" s="33">
        <v>8</v>
      </c>
      <c r="Z132" s="30">
        <f>Table2[[#This Row],[UnitPrice]]*Y132*(1-V132)</f>
        <v>7703.8640800000003</v>
      </c>
      <c r="AA132" s="31">
        <f>T132*Y132</f>
        <v>3319.6</v>
      </c>
      <c r="AB132" s="31">
        <f t="shared" si="15"/>
        <v>4384.2640800000008</v>
      </c>
      <c r="AC132" s="31">
        <f t="shared" si="16"/>
        <v>0.56909935513815568</v>
      </c>
      <c r="AD132" s="31" t="e">
        <f>_xlfn.PERCENTILE.INC(S:S, 0.33)</f>
        <v>#NUM!</v>
      </c>
      <c r="AE132" s="31" t="e">
        <f>_xlfn.PERCENTILE.INC(S:S, 0.66)</f>
        <v>#NUM!</v>
      </c>
      <c r="AF132" s="30" t="e">
        <f t="shared" si="17"/>
        <v>#NUM!</v>
      </c>
    </row>
    <row r="133" spans="1:32" x14ac:dyDescent="0.3">
      <c r="A133" s="2" t="s">
        <v>146</v>
      </c>
      <c r="B133" s="4">
        <v>45719</v>
      </c>
      <c r="C133" s="46">
        <f>EOMONTH(Table2[[#This Row],[OrderDate]],-1)+1</f>
        <v>45717</v>
      </c>
      <c r="D133" s="45">
        <f>EOMONTH(_xlfn.MINIFS(B133:B763,M133:M763,Table2[[#This Row],[Country]]), -1) + 1</f>
        <v>44958</v>
      </c>
      <c r="E133" s="46"/>
      <c r="F133" s="4" t="str">
        <f>"Q"&amp;ROUNDUP(MONTH(B133)/3,0)&amp;"-"&amp;YEAR(B133)</f>
        <v>Q1-2025</v>
      </c>
      <c r="G133" s="4">
        <v>45740</v>
      </c>
      <c r="H133" s="4">
        <f>IF(G133&lt;B133, B133+3, G133)</f>
        <v>45740</v>
      </c>
      <c r="I133" s="10">
        <f>H133-B133</f>
        <v>21</v>
      </c>
      <c r="J133" s="10">
        <f t="shared" si="12"/>
        <v>0</v>
      </c>
      <c r="K133" s="10">
        <f t="shared" si="13"/>
        <v>0</v>
      </c>
      <c r="L133" s="6" t="s">
        <v>646</v>
      </c>
      <c r="M133" s="6" t="s">
        <v>651</v>
      </c>
      <c r="N133" s="6" t="s">
        <v>669</v>
      </c>
      <c r="O133" s="6" t="s">
        <v>706</v>
      </c>
      <c r="P133" s="6" t="s">
        <v>711</v>
      </c>
      <c r="Q133" s="6" t="s">
        <v>722</v>
      </c>
      <c r="R133" s="6" t="s">
        <v>733</v>
      </c>
      <c r="S133" s="6" t="s">
        <v>865</v>
      </c>
      <c r="T133" s="8">
        <v>555.95000000000005</v>
      </c>
      <c r="U133" s="8">
        <v>468.09</v>
      </c>
      <c r="V133" s="8">
        <f t="shared" si="14"/>
        <v>0.14199999999999999</v>
      </c>
      <c r="W133" s="8">
        <v>0.14199999999999999</v>
      </c>
      <c r="X133" s="10">
        <f>IF(Table2[[#This Row],[DiscountPct]]&gt;0.2,1,0)</f>
        <v>0</v>
      </c>
      <c r="Y133" s="10">
        <v>11</v>
      </c>
      <c r="Z133" s="30">
        <f>Table2[[#This Row],[UnitPrice]]*Y133*(1-V133)</f>
        <v>4417.8334199999999</v>
      </c>
      <c r="AA133" s="2">
        <f>T133*Y133</f>
        <v>6115.4500000000007</v>
      </c>
      <c r="AB133" s="2">
        <f t="shared" si="15"/>
        <v>-1697.6165800000008</v>
      </c>
      <c r="AC133" s="2">
        <f t="shared" si="16"/>
        <v>-0.38426450674095375</v>
      </c>
      <c r="AD133" s="2" t="e">
        <f>_xlfn.PERCENTILE.INC(S:S, 0.33)</f>
        <v>#NUM!</v>
      </c>
      <c r="AE133" s="2" t="e">
        <f>_xlfn.PERCENTILE.INC(S:S, 0.66)</f>
        <v>#NUM!</v>
      </c>
      <c r="AF133" s="30" t="e">
        <f t="shared" si="17"/>
        <v>#NUM!</v>
      </c>
    </row>
    <row r="134" spans="1:32" x14ac:dyDescent="0.3">
      <c r="A134" s="31" t="s">
        <v>147</v>
      </c>
      <c r="B134" s="32">
        <v>44953</v>
      </c>
      <c r="C134" s="47">
        <f>EOMONTH(Table2[[#This Row],[OrderDate]],-1)+1</f>
        <v>44927</v>
      </c>
      <c r="D134" s="45">
        <f>EOMONTH(_xlfn.MINIFS(B134:B764,M134:M764,Table2[[#This Row],[Country]]), -1) + 1</f>
        <v>44927</v>
      </c>
      <c r="E134" s="47"/>
      <c r="F134" s="32" t="str">
        <f>"Q"&amp;ROUNDUP(MONTH(B134)/3,0)&amp;"-"&amp;YEAR(B134)</f>
        <v>Q1-2023</v>
      </c>
      <c r="G134" s="32">
        <v>44957</v>
      </c>
      <c r="H134" s="32">
        <f>IF(G134&lt;B134, B134+3, G134)</f>
        <v>44957</v>
      </c>
      <c r="I134" s="33">
        <f>H134-B134</f>
        <v>4</v>
      </c>
      <c r="J134" s="33">
        <f t="shared" si="12"/>
        <v>1</v>
      </c>
      <c r="K134" s="33">
        <f t="shared" si="13"/>
        <v>1</v>
      </c>
      <c r="L134" s="34" t="s">
        <v>649</v>
      </c>
      <c r="M134" s="34" t="s">
        <v>658</v>
      </c>
      <c r="N134" s="34" t="s">
        <v>693</v>
      </c>
      <c r="O134" s="34" t="s">
        <v>706</v>
      </c>
      <c r="P134" s="34" t="s">
        <v>708</v>
      </c>
      <c r="Q134" s="34" t="s">
        <v>725</v>
      </c>
      <c r="R134" s="34" t="s">
        <v>731</v>
      </c>
      <c r="S134" s="34" t="s">
        <v>866</v>
      </c>
      <c r="T134" s="35">
        <v>941.2</v>
      </c>
      <c r="U134" s="35">
        <v>668.02</v>
      </c>
      <c r="V134" s="35">
        <f t="shared" si="14"/>
        <v>0.22</v>
      </c>
      <c r="W134" s="35">
        <v>0.22</v>
      </c>
      <c r="X134" s="33">
        <f>IF(Table2[[#This Row],[DiscountPct]]&gt;0.2,1,0)</f>
        <v>1</v>
      </c>
      <c r="Y134" s="33">
        <v>16</v>
      </c>
      <c r="Z134" s="30">
        <f>Table2[[#This Row],[UnitPrice]]*Y134*(1-V134)</f>
        <v>8336.8896000000004</v>
      </c>
      <c r="AA134" s="31">
        <f>T134*Y134</f>
        <v>15059.2</v>
      </c>
      <c r="AB134" s="31">
        <f t="shared" si="15"/>
        <v>-6722.3104000000003</v>
      </c>
      <c r="AC134" s="31">
        <f t="shared" si="16"/>
        <v>-0.80633314371825193</v>
      </c>
      <c r="AD134" s="31" t="e">
        <f>_xlfn.PERCENTILE.INC(S:S, 0.33)</f>
        <v>#NUM!</v>
      </c>
      <c r="AE134" s="31" t="e">
        <f>_xlfn.PERCENTILE.INC(S:S, 0.66)</f>
        <v>#NUM!</v>
      </c>
      <c r="AF134" s="30" t="e">
        <f t="shared" si="17"/>
        <v>#NUM!</v>
      </c>
    </row>
    <row r="135" spans="1:32" x14ac:dyDescent="0.3">
      <c r="A135" s="2" t="s">
        <v>148</v>
      </c>
      <c r="B135" s="4">
        <v>45666</v>
      </c>
      <c r="C135" s="46">
        <f>EOMONTH(Table2[[#This Row],[OrderDate]],-1)+1</f>
        <v>45658</v>
      </c>
      <c r="D135" s="45">
        <f>EOMONTH(_xlfn.MINIFS(B135:B765,M135:M765,Table2[[#This Row],[Country]]), -1) + 1</f>
        <v>44927</v>
      </c>
      <c r="E135" s="46"/>
      <c r="F135" s="4" t="str">
        <f>"Q"&amp;ROUNDUP(MONTH(B135)/3,0)&amp;"-"&amp;YEAR(B135)</f>
        <v>Q1-2025</v>
      </c>
      <c r="G135" s="4">
        <v>45672</v>
      </c>
      <c r="H135" s="4">
        <f>IF(G135&lt;B135, B135+3, G135)</f>
        <v>45672</v>
      </c>
      <c r="I135" s="10">
        <f>H135-B135</f>
        <v>6</v>
      </c>
      <c r="J135" s="10">
        <f t="shared" si="12"/>
        <v>1</v>
      </c>
      <c r="K135" s="10">
        <f t="shared" si="13"/>
        <v>1</v>
      </c>
      <c r="L135" s="6" t="s">
        <v>647</v>
      </c>
      <c r="M135" s="6" t="s">
        <v>659</v>
      </c>
      <c r="N135" s="6" t="s">
        <v>699</v>
      </c>
      <c r="O135" s="6" t="s">
        <v>702</v>
      </c>
      <c r="P135" s="6" t="s">
        <v>708</v>
      </c>
      <c r="Q135" s="6" t="s">
        <v>712</v>
      </c>
      <c r="R135" s="6" t="s">
        <v>730</v>
      </c>
      <c r="S135" s="6" t="s">
        <v>867</v>
      </c>
      <c r="T135" s="8">
        <v>304.77999999999997</v>
      </c>
      <c r="U135" s="8">
        <v>537.27</v>
      </c>
      <c r="V135" s="8">
        <f t="shared" si="14"/>
        <v>0.187</v>
      </c>
      <c r="W135" s="8">
        <v>0.187</v>
      </c>
      <c r="X135" s="10">
        <f>IF(Table2[[#This Row],[DiscountPct]]&gt;0.2,1,0)</f>
        <v>0</v>
      </c>
      <c r="Y135" s="10">
        <v>8</v>
      </c>
      <c r="Z135" s="30">
        <f>Table2[[#This Row],[UnitPrice]]*Y135*(1-V135)</f>
        <v>3494.4040799999998</v>
      </c>
      <c r="AA135" s="2">
        <f>T135*Y135</f>
        <v>2438.2399999999998</v>
      </c>
      <c r="AB135" s="2">
        <f t="shared" si="15"/>
        <v>1056.16408</v>
      </c>
      <c r="AC135" s="2">
        <f t="shared" si="16"/>
        <v>0.3022444044307549</v>
      </c>
      <c r="AD135" s="2" t="e">
        <f>_xlfn.PERCENTILE.INC(S:S, 0.33)</f>
        <v>#NUM!</v>
      </c>
      <c r="AE135" s="2" t="e">
        <f>_xlfn.PERCENTILE.INC(S:S, 0.66)</f>
        <v>#NUM!</v>
      </c>
      <c r="AF135" s="30" t="e">
        <f t="shared" si="17"/>
        <v>#NUM!</v>
      </c>
    </row>
    <row r="136" spans="1:32" x14ac:dyDescent="0.3">
      <c r="A136" s="31" t="s">
        <v>149</v>
      </c>
      <c r="B136" s="32">
        <v>45647</v>
      </c>
      <c r="C136" s="47">
        <f>EOMONTH(Table2[[#This Row],[OrderDate]],-1)+1</f>
        <v>45627</v>
      </c>
      <c r="D136" s="45">
        <f>EOMONTH(_xlfn.MINIFS(B136:B766,M136:M766,Table2[[#This Row],[Country]]), -1) + 1</f>
        <v>44927</v>
      </c>
      <c r="E136" s="47"/>
      <c r="F136" s="32" t="str">
        <f>"Q"&amp;ROUNDUP(MONTH(B136)/3,0)&amp;"-"&amp;YEAR(B136)</f>
        <v>Q4-2024</v>
      </c>
      <c r="G136" s="32">
        <v>45652</v>
      </c>
      <c r="H136" s="32">
        <f>IF(G136&lt;B136, B136+3, G136)</f>
        <v>45652</v>
      </c>
      <c r="I136" s="33">
        <f>H136-B136</f>
        <v>5</v>
      </c>
      <c r="J136" s="33">
        <f t="shared" si="12"/>
        <v>1</v>
      </c>
      <c r="K136" s="33">
        <f t="shared" si="13"/>
        <v>1</v>
      </c>
      <c r="L136" s="34" t="s">
        <v>648</v>
      </c>
      <c r="M136" s="34" t="s">
        <v>660</v>
      </c>
      <c r="N136" s="34" t="s">
        <v>686</v>
      </c>
      <c r="O136" s="34" t="s">
        <v>704</v>
      </c>
      <c r="P136" s="34" t="s">
        <v>709</v>
      </c>
      <c r="Q136" s="34" t="s">
        <v>724</v>
      </c>
      <c r="R136" s="34" t="s">
        <v>728</v>
      </c>
      <c r="S136" s="34" t="s">
        <v>868</v>
      </c>
      <c r="T136" s="35">
        <v>699.57</v>
      </c>
      <c r="U136" s="35">
        <v>572.71</v>
      </c>
      <c r="V136" s="35">
        <f t="shared" si="14"/>
        <v>0.192</v>
      </c>
      <c r="W136" s="35">
        <v>0.192</v>
      </c>
      <c r="X136" s="33">
        <f>IF(Table2[[#This Row],[DiscountPct]]&gt;0.2,1,0)</f>
        <v>0</v>
      </c>
      <c r="Y136" s="33">
        <v>26</v>
      </c>
      <c r="Z136" s="30">
        <f>Table2[[#This Row],[UnitPrice]]*Y136*(1-V136)</f>
        <v>12031.491680000001</v>
      </c>
      <c r="AA136" s="31">
        <f>T136*Y136</f>
        <v>18188.82</v>
      </c>
      <c r="AB136" s="31">
        <f t="shared" si="15"/>
        <v>-6157.3283199999987</v>
      </c>
      <c r="AC136" s="31">
        <f t="shared" si="16"/>
        <v>-0.51176765805651114</v>
      </c>
      <c r="AD136" s="31" t="e">
        <f>_xlfn.PERCENTILE.INC(S:S, 0.33)</f>
        <v>#NUM!</v>
      </c>
      <c r="AE136" s="31" t="e">
        <f>_xlfn.PERCENTILE.INC(S:S, 0.66)</f>
        <v>#NUM!</v>
      </c>
      <c r="AF136" s="30" t="e">
        <f t="shared" si="17"/>
        <v>#NUM!</v>
      </c>
    </row>
    <row r="137" spans="1:32" x14ac:dyDescent="0.3">
      <c r="A137" s="2" t="s">
        <v>150</v>
      </c>
      <c r="B137" s="4">
        <v>45028</v>
      </c>
      <c r="C137" s="46">
        <f>EOMONTH(Table2[[#This Row],[OrderDate]],-1)+1</f>
        <v>45017</v>
      </c>
      <c r="D137" s="45">
        <f>EOMONTH(_xlfn.MINIFS(B137:B767,M137:M767,Table2[[#This Row],[Country]]), -1) + 1</f>
        <v>44927</v>
      </c>
      <c r="E137" s="46"/>
      <c r="F137" s="4" t="str">
        <f>"Q"&amp;ROUNDUP(MONTH(B137)/3,0)&amp;"-"&amp;YEAR(B137)</f>
        <v>Q2-2023</v>
      </c>
      <c r="G137" s="4">
        <v>45033</v>
      </c>
      <c r="H137" s="4">
        <f>IF(G137&lt;B137, B137+3, G137)</f>
        <v>45033</v>
      </c>
      <c r="I137" s="10">
        <f>H137-B137</f>
        <v>5</v>
      </c>
      <c r="J137" s="10">
        <f t="shared" si="12"/>
        <v>1</v>
      </c>
      <c r="K137" s="10">
        <f t="shared" si="13"/>
        <v>1</v>
      </c>
      <c r="L137" s="6" t="s">
        <v>649</v>
      </c>
      <c r="M137" s="6" t="s">
        <v>657</v>
      </c>
      <c r="N137" s="6" t="s">
        <v>679</v>
      </c>
      <c r="O137" s="6" t="s">
        <v>706</v>
      </c>
      <c r="P137" s="6" t="s">
        <v>711</v>
      </c>
      <c r="Q137" s="6" t="s">
        <v>718</v>
      </c>
      <c r="R137" s="6" t="s">
        <v>732</v>
      </c>
      <c r="S137" s="6" t="s">
        <v>869</v>
      </c>
      <c r="T137" s="8">
        <v>1087.81</v>
      </c>
      <c r="U137" s="8">
        <v>2323.87</v>
      </c>
      <c r="V137" s="8">
        <f t="shared" si="14"/>
        <v>9.4E-2</v>
      </c>
      <c r="W137" s="8">
        <v>9.4E-2</v>
      </c>
      <c r="X137" s="10">
        <f>IF(Table2[[#This Row],[DiscountPct]]&gt;0.2,1,0)</f>
        <v>0</v>
      </c>
      <c r="Y137" s="10">
        <v>13</v>
      </c>
      <c r="Z137" s="30">
        <f>Table2[[#This Row],[UnitPrice]]*Y137*(1-V137)</f>
        <v>27370.540859999997</v>
      </c>
      <c r="AA137" s="2">
        <f>T137*Y137</f>
        <v>14141.529999999999</v>
      </c>
      <c r="AB137" s="2">
        <f t="shared" si="15"/>
        <v>13229.010859999999</v>
      </c>
      <c r="AC137" s="2">
        <f t="shared" si="16"/>
        <v>0.48333026839572651</v>
      </c>
      <c r="AD137" s="2" t="e">
        <f>_xlfn.PERCENTILE.INC(S:S, 0.33)</f>
        <v>#NUM!</v>
      </c>
      <c r="AE137" s="2" t="e">
        <f>_xlfn.PERCENTILE.INC(S:S, 0.66)</f>
        <v>#NUM!</v>
      </c>
      <c r="AF137" s="30" t="e">
        <f t="shared" si="17"/>
        <v>#NUM!</v>
      </c>
    </row>
    <row r="138" spans="1:32" x14ac:dyDescent="0.3">
      <c r="A138" s="31" t="s">
        <v>151</v>
      </c>
      <c r="B138" s="32">
        <v>45640</v>
      </c>
      <c r="C138" s="47">
        <f>EOMONTH(Table2[[#This Row],[OrderDate]],-1)+1</f>
        <v>45627</v>
      </c>
      <c r="D138" s="45">
        <f>EOMONTH(_xlfn.MINIFS(B138:B768,M138:M768,Table2[[#This Row],[Country]]), -1) + 1</f>
        <v>44927</v>
      </c>
      <c r="E138" s="47"/>
      <c r="F138" s="32" t="str">
        <f>"Q"&amp;ROUNDUP(MONTH(B138)/3,0)&amp;"-"&amp;YEAR(B138)</f>
        <v>Q4-2024</v>
      </c>
      <c r="G138" s="32">
        <v>45669</v>
      </c>
      <c r="H138" s="32">
        <f>IF(G138&lt;B138, B138+3, G138)</f>
        <v>45669</v>
      </c>
      <c r="I138" s="33">
        <f>H138-B138</f>
        <v>29</v>
      </c>
      <c r="J138" s="33">
        <f t="shared" si="12"/>
        <v>0</v>
      </c>
      <c r="K138" s="33">
        <f t="shared" si="13"/>
        <v>0</v>
      </c>
      <c r="L138" s="34" t="s">
        <v>647</v>
      </c>
      <c r="M138" s="34" t="s">
        <v>659</v>
      </c>
      <c r="N138" s="34" t="s">
        <v>676</v>
      </c>
      <c r="O138" s="34" t="s">
        <v>702</v>
      </c>
      <c r="P138" s="34" t="s">
        <v>708</v>
      </c>
      <c r="Q138" s="34" t="s">
        <v>713</v>
      </c>
      <c r="R138" s="34" t="s">
        <v>727</v>
      </c>
      <c r="S138" s="34" t="s">
        <v>870</v>
      </c>
      <c r="T138" s="35">
        <v>1412.15</v>
      </c>
      <c r="U138" s="35">
        <v>1631.04</v>
      </c>
      <c r="V138" s="35">
        <f t="shared" si="14"/>
        <v>8.9999999999999993E-3</v>
      </c>
      <c r="W138" s="35">
        <v>8.9999999999999993E-3</v>
      </c>
      <c r="X138" s="33">
        <f>IF(Table2[[#This Row],[DiscountPct]]&gt;0.2,1,0)</f>
        <v>0</v>
      </c>
      <c r="Y138" s="33">
        <v>6</v>
      </c>
      <c r="Z138" s="30">
        <f>Table2[[#This Row],[UnitPrice]]*Y138*(1-V138)</f>
        <v>9698.1638399999993</v>
      </c>
      <c r="AA138" s="31">
        <f>T138*Y138</f>
        <v>8472.9000000000015</v>
      </c>
      <c r="AB138" s="31">
        <f t="shared" si="15"/>
        <v>1225.2638399999978</v>
      </c>
      <c r="AC138" s="31">
        <f t="shared" si="16"/>
        <v>0.12633977526203535</v>
      </c>
      <c r="AD138" s="31" t="e">
        <f>_xlfn.PERCENTILE.INC(S:S, 0.33)</f>
        <v>#NUM!</v>
      </c>
      <c r="AE138" s="31" t="e">
        <f>_xlfn.PERCENTILE.INC(S:S, 0.66)</f>
        <v>#NUM!</v>
      </c>
      <c r="AF138" s="30" t="e">
        <f t="shared" si="17"/>
        <v>#NUM!</v>
      </c>
    </row>
    <row r="139" spans="1:32" x14ac:dyDescent="0.3">
      <c r="A139" s="2" t="s">
        <v>152</v>
      </c>
      <c r="B139" s="4">
        <v>45016</v>
      </c>
      <c r="C139" s="46">
        <f>EOMONTH(Table2[[#This Row],[OrderDate]],-1)+1</f>
        <v>44986</v>
      </c>
      <c r="D139" s="45">
        <f>EOMONTH(_xlfn.MINIFS(B139:B769,M139:M769,Table2[[#This Row],[Country]]), -1) + 1</f>
        <v>44927</v>
      </c>
      <c r="E139" s="46"/>
      <c r="F139" s="4" t="str">
        <f>"Q"&amp;ROUNDUP(MONTH(B139)/3,0)&amp;"-"&amp;YEAR(B139)</f>
        <v>Q1-2023</v>
      </c>
      <c r="G139" s="4">
        <v>45028</v>
      </c>
      <c r="H139" s="4">
        <f>IF(G139&lt;B139, B139+3, G139)</f>
        <v>45028</v>
      </c>
      <c r="I139" s="10">
        <f>H139-B139</f>
        <v>12</v>
      </c>
      <c r="J139" s="10">
        <f t="shared" si="12"/>
        <v>0</v>
      </c>
      <c r="K139" s="10">
        <f t="shared" si="13"/>
        <v>0</v>
      </c>
      <c r="L139" s="6" t="s">
        <v>646</v>
      </c>
      <c r="M139" s="6" t="s">
        <v>650</v>
      </c>
      <c r="N139" s="6" t="s">
        <v>675</v>
      </c>
      <c r="O139" s="6" t="s">
        <v>705</v>
      </c>
      <c r="P139" s="6" t="s">
        <v>708</v>
      </c>
      <c r="Q139" s="6" t="s">
        <v>712</v>
      </c>
      <c r="R139" s="6" t="s">
        <v>730</v>
      </c>
      <c r="S139" s="6" t="s">
        <v>871</v>
      </c>
      <c r="T139" s="8">
        <v>304.22000000000003</v>
      </c>
      <c r="U139" s="8">
        <v>393.31</v>
      </c>
      <c r="V139" s="8">
        <f t="shared" si="14"/>
        <v>0.26500000000000001</v>
      </c>
      <c r="W139" s="8">
        <v>0.26500000000000001</v>
      </c>
      <c r="X139" s="10">
        <f>IF(Table2[[#This Row],[DiscountPct]]&gt;0.2,1,0)</f>
        <v>1</v>
      </c>
      <c r="Y139" s="10">
        <v>15</v>
      </c>
      <c r="Z139" s="30">
        <f>Table2[[#This Row],[UnitPrice]]*Y139*(1-V139)</f>
        <v>4336.2427499999994</v>
      </c>
      <c r="AA139" s="2">
        <f>T139*Y139</f>
        <v>4563.3</v>
      </c>
      <c r="AB139" s="2">
        <f t="shared" si="15"/>
        <v>-227.05725000000075</v>
      </c>
      <c r="AC139" s="2">
        <f t="shared" si="16"/>
        <v>-5.2362670424759034E-2</v>
      </c>
      <c r="AD139" s="2" t="e">
        <f>_xlfn.PERCENTILE.INC(S:S, 0.33)</f>
        <v>#NUM!</v>
      </c>
      <c r="AE139" s="2" t="e">
        <f>_xlfn.PERCENTILE.INC(S:S, 0.66)</f>
        <v>#NUM!</v>
      </c>
      <c r="AF139" s="30" t="e">
        <f t="shared" si="17"/>
        <v>#NUM!</v>
      </c>
    </row>
    <row r="140" spans="1:32" x14ac:dyDescent="0.3">
      <c r="A140" s="31" t="s">
        <v>153</v>
      </c>
      <c r="B140" s="32">
        <v>45616</v>
      </c>
      <c r="C140" s="47">
        <f>EOMONTH(Table2[[#This Row],[OrderDate]],-1)+1</f>
        <v>45597</v>
      </c>
      <c r="D140" s="45">
        <f>EOMONTH(_xlfn.MINIFS(B140:B770,M140:M770,Table2[[#This Row],[Country]]), -1) + 1</f>
        <v>44927</v>
      </c>
      <c r="E140" s="47"/>
      <c r="F140" s="32" t="str">
        <f>"Q"&amp;ROUNDUP(MONTH(B140)/3,0)&amp;"-"&amp;YEAR(B140)</f>
        <v>Q4-2024</v>
      </c>
      <c r="G140" s="32">
        <v>45641</v>
      </c>
      <c r="H140" s="32">
        <f>IF(G140&lt;B140, B140+3, G140)</f>
        <v>45641</v>
      </c>
      <c r="I140" s="33">
        <f>H140-B140</f>
        <v>25</v>
      </c>
      <c r="J140" s="33">
        <f t="shared" si="12"/>
        <v>0</v>
      </c>
      <c r="K140" s="33">
        <f t="shared" si="13"/>
        <v>0</v>
      </c>
      <c r="L140" s="34" t="s">
        <v>649</v>
      </c>
      <c r="M140" s="34" t="s">
        <v>657</v>
      </c>
      <c r="N140" s="34" t="s">
        <v>690</v>
      </c>
      <c r="O140" s="34" t="s">
        <v>701</v>
      </c>
      <c r="P140" s="34" t="s">
        <v>708</v>
      </c>
      <c r="Q140" s="34" t="s">
        <v>715</v>
      </c>
      <c r="R140" s="34" t="s">
        <v>728</v>
      </c>
      <c r="S140" s="34" t="s">
        <v>872</v>
      </c>
      <c r="T140" s="35">
        <v>1203.58</v>
      </c>
      <c r="U140" s="35">
        <v>1856.16</v>
      </c>
      <c r="V140" s="35">
        <f t="shared" si="14"/>
        <v>0.129</v>
      </c>
      <c r="W140" s="35">
        <v>0.129</v>
      </c>
      <c r="X140" s="33">
        <f>IF(Table2[[#This Row],[DiscountPct]]&gt;0.2,1,0)</f>
        <v>0</v>
      </c>
      <c r="Y140" s="33">
        <v>22</v>
      </c>
      <c r="Z140" s="30">
        <f>Table2[[#This Row],[UnitPrice]]*Y140*(1-V140)</f>
        <v>35567.737920000007</v>
      </c>
      <c r="AA140" s="31">
        <f>T140*Y140</f>
        <v>26478.76</v>
      </c>
      <c r="AB140" s="31">
        <f t="shared" si="15"/>
        <v>9088.9779200000085</v>
      </c>
      <c r="AC140" s="31">
        <f t="shared" si="16"/>
        <v>0.25553994860295032</v>
      </c>
      <c r="AD140" s="31" t="e">
        <f>_xlfn.PERCENTILE.INC(S:S, 0.33)</f>
        <v>#NUM!</v>
      </c>
      <c r="AE140" s="31" t="e">
        <f>_xlfn.PERCENTILE.INC(S:S, 0.66)</f>
        <v>#NUM!</v>
      </c>
      <c r="AF140" s="30" t="e">
        <f t="shared" si="17"/>
        <v>#NUM!</v>
      </c>
    </row>
    <row r="141" spans="1:32" x14ac:dyDescent="0.3">
      <c r="A141" s="2" t="s">
        <v>154</v>
      </c>
      <c r="B141" s="4">
        <v>45336</v>
      </c>
      <c r="C141" s="46">
        <f>EOMONTH(Table2[[#This Row],[OrderDate]],-1)+1</f>
        <v>45323</v>
      </c>
      <c r="D141" s="45">
        <f>EOMONTH(_xlfn.MINIFS(B141:B771,M141:M771,Table2[[#This Row],[Country]]), -1) + 1</f>
        <v>44927</v>
      </c>
      <c r="E141" s="46"/>
      <c r="F141" s="4" t="str">
        <f>"Q"&amp;ROUNDUP(MONTH(B141)/3,0)&amp;"-"&amp;YEAR(B141)</f>
        <v>Q1-2024</v>
      </c>
      <c r="G141" s="4">
        <v>45336</v>
      </c>
      <c r="H141" s="4">
        <f>IF(G141&lt;B141, B141+3, G141)</f>
        <v>45336</v>
      </c>
      <c r="I141" s="10">
        <f>H141-B141</f>
        <v>0</v>
      </c>
      <c r="J141" s="10">
        <f t="shared" si="12"/>
        <v>1</v>
      </c>
      <c r="K141" s="10">
        <f t="shared" si="13"/>
        <v>1</v>
      </c>
      <c r="L141" s="6" t="s">
        <v>647</v>
      </c>
      <c r="M141" s="6" t="s">
        <v>659</v>
      </c>
      <c r="N141" s="6" t="s">
        <v>699</v>
      </c>
      <c r="O141" s="6" t="s">
        <v>701</v>
      </c>
      <c r="P141" s="6" t="s">
        <v>710</v>
      </c>
      <c r="Q141" s="6" t="s">
        <v>716</v>
      </c>
      <c r="R141" s="6" t="s">
        <v>733</v>
      </c>
      <c r="S141" s="6" t="s">
        <v>873</v>
      </c>
      <c r="T141" s="8">
        <v>65.930000000000007</v>
      </c>
      <c r="U141" s="8">
        <v>84.9</v>
      </c>
      <c r="V141" s="8">
        <f t="shared" si="14"/>
        <v>0.25900000000000001</v>
      </c>
      <c r="W141" s="8">
        <v>0.25900000000000001</v>
      </c>
      <c r="X141" s="10">
        <f>IF(Table2[[#This Row],[DiscountPct]]&gt;0.2,1,0)</f>
        <v>1</v>
      </c>
      <c r="Y141" s="10">
        <v>23</v>
      </c>
      <c r="Z141" s="30">
        <f>Table2[[#This Row],[UnitPrice]]*Y141*(1-V141)</f>
        <v>1446.9507000000001</v>
      </c>
      <c r="AA141" s="2">
        <f>T141*Y141</f>
        <v>1516.39</v>
      </c>
      <c r="AB141" s="2">
        <f t="shared" si="15"/>
        <v>-69.439300000000003</v>
      </c>
      <c r="AC141" s="2">
        <f t="shared" si="16"/>
        <v>-4.7990093926489688E-2</v>
      </c>
      <c r="AD141" s="2" t="e">
        <f>_xlfn.PERCENTILE.INC(S:S, 0.33)</f>
        <v>#NUM!</v>
      </c>
      <c r="AE141" s="2" t="e">
        <f>_xlfn.PERCENTILE.INC(S:S, 0.66)</f>
        <v>#NUM!</v>
      </c>
      <c r="AF141" s="30" t="e">
        <f t="shared" si="17"/>
        <v>#NUM!</v>
      </c>
    </row>
    <row r="142" spans="1:32" x14ac:dyDescent="0.3">
      <c r="A142" s="31" t="s">
        <v>155</v>
      </c>
      <c r="B142" s="32">
        <v>45048</v>
      </c>
      <c r="C142" s="47">
        <f>EOMONTH(Table2[[#This Row],[OrderDate]],-1)+1</f>
        <v>45047</v>
      </c>
      <c r="D142" s="45">
        <f>EOMONTH(_xlfn.MINIFS(B142:B772,M142:M772,Table2[[#This Row],[Country]]), -1) + 1</f>
        <v>44958</v>
      </c>
      <c r="E142" s="47"/>
      <c r="F142" s="32" t="str">
        <f>"Q"&amp;ROUNDUP(MONTH(B142)/3,0)&amp;"-"&amp;YEAR(B142)</f>
        <v>Q2-2023</v>
      </c>
      <c r="G142" s="32">
        <v>45064</v>
      </c>
      <c r="H142" s="32">
        <f>IF(G142&lt;B142, B142+3, G142)</f>
        <v>45064</v>
      </c>
      <c r="I142" s="33">
        <f>H142-B142</f>
        <v>16</v>
      </c>
      <c r="J142" s="33">
        <f t="shared" si="12"/>
        <v>0</v>
      </c>
      <c r="K142" s="33">
        <f t="shared" si="13"/>
        <v>0</v>
      </c>
      <c r="L142" s="34" t="s">
        <v>647</v>
      </c>
      <c r="M142" s="34" t="s">
        <v>654</v>
      </c>
      <c r="N142" s="34" t="s">
        <v>680</v>
      </c>
      <c r="O142" s="34" t="s">
        <v>705</v>
      </c>
      <c r="P142" s="34" t="s">
        <v>709</v>
      </c>
      <c r="Q142" s="34" t="s">
        <v>723</v>
      </c>
      <c r="R142" s="34" t="s">
        <v>732</v>
      </c>
      <c r="S142" s="34" t="s">
        <v>874</v>
      </c>
      <c r="T142" s="35">
        <v>1463.92</v>
      </c>
      <c r="U142" s="35">
        <v>2252.2399999999998</v>
      </c>
      <c r="V142" s="35">
        <f t="shared" si="14"/>
        <v>0.11799999999999999</v>
      </c>
      <c r="W142" s="35">
        <v>0.11799999999999999</v>
      </c>
      <c r="X142" s="33">
        <f>IF(Table2[[#This Row],[DiscountPct]]&gt;0.2,1,0)</f>
        <v>0</v>
      </c>
      <c r="Y142" s="33">
        <v>44</v>
      </c>
      <c r="Z142" s="30">
        <f>Table2[[#This Row],[UnitPrice]]*Y142*(1-V142)</f>
        <v>87404.929919999995</v>
      </c>
      <c r="AA142" s="31">
        <f>T142*Y142</f>
        <v>64412.480000000003</v>
      </c>
      <c r="AB142" s="31">
        <f t="shared" si="15"/>
        <v>22992.449919999992</v>
      </c>
      <c r="AC142" s="31">
        <f t="shared" si="16"/>
        <v>0.26305667130040061</v>
      </c>
      <c r="AD142" s="31" t="e">
        <f>_xlfn.PERCENTILE.INC(S:S, 0.33)</f>
        <v>#NUM!</v>
      </c>
      <c r="AE142" s="31" t="e">
        <f>_xlfn.PERCENTILE.INC(S:S, 0.66)</f>
        <v>#NUM!</v>
      </c>
      <c r="AF142" s="30" t="e">
        <f t="shared" si="17"/>
        <v>#NUM!</v>
      </c>
    </row>
    <row r="143" spans="1:32" x14ac:dyDescent="0.3">
      <c r="A143" s="2" t="s">
        <v>156</v>
      </c>
      <c r="B143" s="4">
        <v>45649</v>
      </c>
      <c r="C143" s="46">
        <f>EOMONTH(Table2[[#This Row],[OrderDate]],-1)+1</f>
        <v>45627</v>
      </c>
      <c r="D143" s="45">
        <f>EOMONTH(_xlfn.MINIFS(B143:B773,M143:M773,Table2[[#This Row],[Country]]), -1) + 1</f>
        <v>44927</v>
      </c>
      <c r="E143" s="46"/>
      <c r="F143" s="4" t="str">
        <f>"Q"&amp;ROUNDUP(MONTH(B143)/3,0)&amp;"-"&amp;YEAR(B143)</f>
        <v>Q4-2024</v>
      </c>
      <c r="G143" s="4">
        <v>45668</v>
      </c>
      <c r="H143" s="4">
        <f>IF(G143&lt;B143, B143+3, G143)</f>
        <v>45668</v>
      </c>
      <c r="I143" s="10">
        <f>H143-B143</f>
        <v>19</v>
      </c>
      <c r="J143" s="10">
        <f t="shared" si="12"/>
        <v>0</v>
      </c>
      <c r="K143" s="10">
        <f t="shared" si="13"/>
        <v>0</v>
      </c>
      <c r="L143" s="6" t="s">
        <v>649</v>
      </c>
      <c r="M143" s="6" t="s">
        <v>656</v>
      </c>
      <c r="N143" s="6" t="s">
        <v>671</v>
      </c>
      <c r="O143" s="6" t="s">
        <v>702</v>
      </c>
      <c r="P143" s="6" t="s">
        <v>707</v>
      </c>
      <c r="Q143" s="6" t="s">
        <v>723</v>
      </c>
      <c r="R143" s="6" t="s">
        <v>730</v>
      </c>
      <c r="S143" s="6" t="s">
        <v>875</v>
      </c>
      <c r="T143" s="8">
        <v>501.81</v>
      </c>
      <c r="U143" s="8">
        <v>921.62</v>
      </c>
      <c r="V143" s="8">
        <f t="shared" si="14"/>
        <v>0.01</v>
      </c>
      <c r="W143" s="8">
        <v>0.01</v>
      </c>
      <c r="X143" s="10">
        <f>IF(Table2[[#This Row],[DiscountPct]]&gt;0.2,1,0)</f>
        <v>0</v>
      </c>
      <c r="Y143" s="10">
        <v>9</v>
      </c>
      <c r="Z143" s="30">
        <f>Table2[[#This Row],[UnitPrice]]*Y143*(1-V143)</f>
        <v>8211.6342000000004</v>
      </c>
      <c r="AA143" s="2">
        <f>T143*Y143</f>
        <v>4516.29</v>
      </c>
      <c r="AB143" s="2">
        <f t="shared" si="15"/>
        <v>3695.3442000000005</v>
      </c>
      <c r="AC143" s="2">
        <f t="shared" si="16"/>
        <v>0.45001325071202031</v>
      </c>
      <c r="AD143" s="2" t="e">
        <f>_xlfn.PERCENTILE.INC(S:S, 0.33)</f>
        <v>#NUM!</v>
      </c>
      <c r="AE143" s="2" t="e">
        <f>_xlfn.PERCENTILE.INC(S:S, 0.66)</f>
        <v>#NUM!</v>
      </c>
      <c r="AF143" s="30" t="e">
        <f t="shared" si="17"/>
        <v>#NUM!</v>
      </c>
    </row>
    <row r="144" spans="1:32" x14ac:dyDescent="0.3">
      <c r="A144" s="31" t="s">
        <v>157</v>
      </c>
      <c r="B144" s="32">
        <v>45133</v>
      </c>
      <c r="C144" s="47">
        <f>EOMONTH(Table2[[#This Row],[OrderDate]],-1)+1</f>
        <v>45108</v>
      </c>
      <c r="D144" s="45">
        <f>EOMONTH(_xlfn.MINIFS(B144:B774,M144:M774,Table2[[#This Row],[Country]]), -1) + 1</f>
        <v>44927</v>
      </c>
      <c r="E144" s="47"/>
      <c r="F144" s="32" t="str">
        <f>"Q"&amp;ROUNDUP(MONTH(B144)/3,0)&amp;"-"&amp;YEAR(B144)</f>
        <v>Q3-2023</v>
      </c>
      <c r="G144" s="32">
        <v>45163</v>
      </c>
      <c r="H144" s="32">
        <f>IF(G144&lt;B144, B144+3, G144)</f>
        <v>45163</v>
      </c>
      <c r="I144" s="33">
        <f>H144-B144</f>
        <v>30</v>
      </c>
      <c r="J144" s="33">
        <f t="shared" si="12"/>
        <v>0</v>
      </c>
      <c r="K144" s="33">
        <f t="shared" si="13"/>
        <v>0</v>
      </c>
      <c r="L144" s="34" t="s">
        <v>648</v>
      </c>
      <c r="M144" s="34" t="s">
        <v>660</v>
      </c>
      <c r="N144" s="34" t="s">
        <v>700</v>
      </c>
      <c r="O144" s="34" t="s">
        <v>704</v>
      </c>
      <c r="P144" s="34" t="s">
        <v>707</v>
      </c>
      <c r="Q144" s="34" t="s">
        <v>724</v>
      </c>
      <c r="R144" s="34" t="s">
        <v>733</v>
      </c>
      <c r="S144" s="34" t="s">
        <v>876</v>
      </c>
      <c r="T144" s="35">
        <v>1261.48</v>
      </c>
      <c r="U144" s="35">
        <v>1643.18</v>
      </c>
      <c r="V144" s="35">
        <f t="shared" si="14"/>
        <v>0.151</v>
      </c>
      <c r="W144" s="35">
        <v>0.151</v>
      </c>
      <c r="X144" s="33">
        <f>IF(Table2[[#This Row],[DiscountPct]]&gt;0.2,1,0)</f>
        <v>0</v>
      </c>
      <c r="Y144" s="33">
        <v>23</v>
      </c>
      <c r="Z144" s="30">
        <f>Table2[[#This Row],[UnitPrice]]*Y144*(1-V144)</f>
        <v>32086.37586</v>
      </c>
      <c r="AA144" s="31">
        <f>T144*Y144</f>
        <v>29014.04</v>
      </c>
      <c r="AB144" s="31">
        <f t="shared" si="15"/>
        <v>3072.3358599999992</v>
      </c>
      <c r="AC144" s="31">
        <f t="shared" si="16"/>
        <v>9.5752037357079045E-2</v>
      </c>
      <c r="AD144" s="31" t="e">
        <f>_xlfn.PERCENTILE.INC(S:S, 0.33)</f>
        <v>#NUM!</v>
      </c>
      <c r="AE144" s="31" t="e">
        <f>_xlfn.PERCENTILE.INC(S:S, 0.66)</f>
        <v>#NUM!</v>
      </c>
      <c r="AF144" s="30" t="e">
        <f t="shared" si="17"/>
        <v>#NUM!</v>
      </c>
    </row>
    <row r="145" spans="1:32" x14ac:dyDescent="0.3">
      <c r="A145" s="2" t="s">
        <v>158</v>
      </c>
      <c r="B145" s="4">
        <v>45458</v>
      </c>
      <c r="C145" s="46">
        <f>EOMONTH(Table2[[#This Row],[OrderDate]],-1)+1</f>
        <v>45444</v>
      </c>
      <c r="D145" s="45">
        <f>EOMONTH(_xlfn.MINIFS(B145:B775,M145:M775,Table2[[#This Row],[Country]]), -1) + 1</f>
        <v>44986</v>
      </c>
      <c r="E145" s="46"/>
      <c r="F145" s="4" t="str">
        <f>"Q"&amp;ROUNDUP(MONTH(B145)/3,0)&amp;"-"&amp;YEAR(B145)</f>
        <v>Q2-2024</v>
      </c>
      <c r="G145" s="4">
        <v>45479</v>
      </c>
      <c r="H145" s="4">
        <f>IF(G145&lt;B145, B145+3, G145)</f>
        <v>45479</v>
      </c>
      <c r="I145" s="10">
        <f>H145-B145</f>
        <v>21</v>
      </c>
      <c r="J145" s="10">
        <f t="shared" si="12"/>
        <v>0</v>
      </c>
      <c r="K145" s="10">
        <f t="shared" si="13"/>
        <v>0</v>
      </c>
      <c r="L145" s="6" t="s">
        <v>648</v>
      </c>
      <c r="M145" s="6" t="s">
        <v>653</v>
      </c>
      <c r="N145" s="6" t="s">
        <v>667</v>
      </c>
      <c r="O145" s="6" t="s">
        <v>706</v>
      </c>
      <c r="P145" s="6" t="s">
        <v>710</v>
      </c>
      <c r="Q145" s="6" t="s">
        <v>716</v>
      </c>
      <c r="R145" s="6" t="s">
        <v>728</v>
      </c>
      <c r="S145" s="6" t="s">
        <v>877</v>
      </c>
      <c r="T145" s="8">
        <v>817.23</v>
      </c>
      <c r="U145" s="8">
        <v>1467.17</v>
      </c>
      <c r="V145" s="8">
        <f t="shared" si="14"/>
        <v>0.245</v>
      </c>
      <c r="W145" s="8">
        <v>0.245</v>
      </c>
      <c r="X145" s="10">
        <f>IF(Table2[[#This Row],[DiscountPct]]&gt;0.2,1,0)</f>
        <v>1</v>
      </c>
      <c r="Y145" s="10">
        <v>9</v>
      </c>
      <c r="Z145" s="30">
        <f>Table2[[#This Row],[UnitPrice]]*Y145*(1-V145)</f>
        <v>9969.4201499999999</v>
      </c>
      <c r="AA145" s="2">
        <f>T145*Y145</f>
        <v>7355.07</v>
      </c>
      <c r="AB145" s="2">
        <f t="shared" si="15"/>
        <v>2614.3501500000002</v>
      </c>
      <c r="AC145" s="2">
        <f t="shared" si="16"/>
        <v>0.26223693160328893</v>
      </c>
      <c r="AD145" s="2" t="e">
        <f>_xlfn.PERCENTILE.INC(S:S, 0.33)</f>
        <v>#NUM!</v>
      </c>
      <c r="AE145" s="2" t="e">
        <f>_xlfn.PERCENTILE.INC(S:S, 0.66)</f>
        <v>#NUM!</v>
      </c>
      <c r="AF145" s="30" t="e">
        <f t="shared" si="17"/>
        <v>#NUM!</v>
      </c>
    </row>
    <row r="146" spans="1:32" x14ac:dyDescent="0.3">
      <c r="A146" s="31" t="s">
        <v>159</v>
      </c>
      <c r="B146" s="32">
        <v>45112</v>
      </c>
      <c r="C146" s="47">
        <f>EOMONTH(Table2[[#This Row],[OrderDate]],-1)+1</f>
        <v>45108</v>
      </c>
      <c r="D146" s="45">
        <f>EOMONTH(_xlfn.MINIFS(B146:B776,M146:M776,Table2[[#This Row],[Country]]), -1) + 1</f>
        <v>44927</v>
      </c>
      <c r="E146" s="47"/>
      <c r="F146" s="32" t="str">
        <f>"Q"&amp;ROUNDUP(MONTH(B146)/3,0)&amp;"-"&amp;YEAR(B146)</f>
        <v>Q3-2023</v>
      </c>
      <c r="G146" s="32">
        <v>45121</v>
      </c>
      <c r="H146" s="32">
        <f>IF(G146&lt;B146, B146+3, G146)</f>
        <v>45121</v>
      </c>
      <c r="I146" s="33">
        <f>H146-B146</f>
        <v>9</v>
      </c>
      <c r="J146" s="33">
        <f t="shared" si="12"/>
        <v>0</v>
      </c>
      <c r="K146" s="33">
        <f t="shared" si="13"/>
        <v>0</v>
      </c>
      <c r="L146" s="34" t="s">
        <v>648</v>
      </c>
      <c r="M146" s="34" t="s">
        <v>655</v>
      </c>
      <c r="N146" s="34" t="s">
        <v>672</v>
      </c>
      <c r="O146" s="34" t="s">
        <v>706</v>
      </c>
      <c r="P146" s="34" t="s">
        <v>711</v>
      </c>
      <c r="Q146" s="34" t="s">
        <v>717</v>
      </c>
      <c r="R146" s="34" t="s">
        <v>729</v>
      </c>
      <c r="S146" s="34" t="s">
        <v>878</v>
      </c>
      <c r="T146" s="35">
        <v>578.85</v>
      </c>
      <c r="U146" s="35">
        <v>998.76</v>
      </c>
      <c r="V146" s="35">
        <f t="shared" si="14"/>
        <v>8.2000000000000003E-2</v>
      </c>
      <c r="W146" s="35">
        <v>8.2000000000000003E-2</v>
      </c>
      <c r="X146" s="33">
        <f>IF(Table2[[#This Row],[DiscountPct]]&gt;0.2,1,0)</f>
        <v>0</v>
      </c>
      <c r="Y146" s="33">
        <v>28</v>
      </c>
      <c r="Z146" s="30">
        <f>Table2[[#This Row],[UnitPrice]]*Y146*(1-V146)</f>
        <v>25672.127039999999</v>
      </c>
      <c r="AA146" s="31">
        <f>T146*Y146</f>
        <v>16207.800000000001</v>
      </c>
      <c r="AB146" s="31">
        <f t="shared" si="15"/>
        <v>9464.3270399999983</v>
      </c>
      <c r="AC146" s="31">
        <f t="shared" si="16"/>
        <v>0.36866158480960831</v>
      </c>
      <c r="AD146" s="31" t="e">
        <f>_xlfn.PERCENTILE.INC(S:S, 0.33)</f>
        <v>#NUM!</v>
      </c>
      <c r="AE146" s="31" t="e">
        <f>_xlfn.PERCENTILE.INC(S:S, 0.66)</f>
        <v>#NUM!</v>
      </c>
      <c r="AF146" s="30" t="e">
        <f t="shared" si="17"/>
        <v>#NUM!</v>
      </c>
    </row>
    <row r="147" spans="1:32" x14ac:dyDescent="0.3">
      <c r="A147" s="2" t="s">
        <v>160</v>
      </c>
      <c r="B147" s="4">
        <v>45260</v>
      </c>
      <c r="C147" s="46">
        <f>EOMONTH(Table2[[#This Row],[OrderDate]],-1)+1</f>
        <v>45231</v>
      </c>
      <c r="D147" s="45">
        <f>EOMONTH(_xlfn.MINIFS(B147:B777,M147:M777,Table2[[#This Row],[Country]]), -1) + 1</f>
        <v>44927</v>
      </c>
      <c r="E147" s="46"/>
      <c r="F147" s="4" t="str">
        <f>"Q"&amp;ROUNDUP(MONTH(B147)/3,0)&amp;"-"&amp;YEAR(B147)</f>
        <v>Q4-2023</v>
      </c>
      <c r="G147" s="4">
        <v>45259</v>
      </c>
      <c r="H147" s="4">
        <f>IF(G147&lt;B147, B147+3, G147)</f>
        <v>45263</v>
      </c>
      <c r="I147" s="10">
        <f>H147-B147</f>
        <v>3</v>
      </c>
      <c r="J147" s="10">
        <f t="shared" si="12"/>
        <v>1</v>
      </c>
      <c r="K147" s="10">
        <f t="shared" si="13"/>
        <v>1</v>
      </c>
      <c r="L147" s="6" t="s">
        <v>646</v>
      </c>
      <c r="M147" s="6" t="s">
        <v>661</v>
      </c>
      <c r="N147" s="6" t="s">
        <v>687</v>
      </c>
      <c r="O147" s="6" t="s">
        <v>705</v>
      </c>
      <c r="P147" s="6" t="s">
        <v>709</v>
      </c>
      <c r="Q147" s="6" t="s">
        <v>718</v>
      </c>
      <c r="R147" s="6" t="s">
        <v>731</v>
      </c>
      <c r="S147" s="6" t="s">
        <v>879</v>
      </c>
      <c r="T147" s="8">
        <v>275.56</v>
      </c>
      <c r="U147" s="8">
        <v>630.72</v>
      </c>
      <c r="V147" s="8">
        <f t="shared" si="14"/>
        <v>0.107</v>
      </c>
      <c r="W147" s="8">
        <v>0.107</v>
      </c>
      <c r="X147" s="10">
        <f>IF(Table2[[#This Row],[DiscountPct]]&gt;0.2,1,0)</f>
        <v>0</v>
      </c>
      <c r="Y147" s="10">
        <v>23</v>
      </c>
      <c r="Z147" s="30">
        <f>Table2[[#This Row],[UnitPrice]]*Y147*(1-V147)</f>
        <v>12954.358080000002</v>
      </c>
      <c r="AA147" s="2">
        <f>T147*Y147</f>
        <v>6337.88</v>
      </c>
      <c r="AB147" s="2">
        <f t="shared" si="15"/>
        <v>6616.4780800000017</v>
      </c>
      <c r="AC147" s="2">
        <f t="shared" si="16"/>
        <v>0.5107530638831933</v>
      </c>
      <c r="AD147" s="2" t="e">
        <f>_xlfn.PERCENTILE.INC(S:S, 0.33)</f>
        <v>#NUM!</v>
      </c>
      <c r="AE147" s="2" t="e">
        <f>_xlfn.PERCENTILE.INC(S:S, 0.66)</f>
        <v>#NUM!</v>
      </c>
      <c r="AF147" s="30" t="e">
        <f t="shared" si="17"/>
        <v>#NUM!</v>
      </c>
    </row>
    <row r="148" spans="1:32" x14ac:dyDescent="0.3">
      <c r="A148" s="31" t="s">
        <v>161</v>
      </c>
      <c r="B148" s="32">
        <v>45911</v>
      </c>
      <c r="C148" s="47">
        <f>EOMONTH(Table2[[#This Row],[OrderDate]],-1)+1</f>
        <v>45901</v>
      </c>
      <c r="D148" s="45">
        <f>EOMONTH(_xlfn.MINIFS(B148:B778,M148:M778,Table2[[#This Row],[Country]]), -1) + 1</f>
        <v>44927</v>
      </c>
      <c r="E148" s="47"/>
      <c r="F148" s="32" t="str">
        <f>"Q"&amp;ROUNDUP(MONTH(B148)/3,0)&amp;"-"&amp;YEAR(B148)</f>
        <v>Q3-2025</v>
      </c>
      <c r="G148" s="32">
        <v>45928</v>
      </c>
      <c r="H148" s="32">
        <f>IF(G148&lt;B148, B148+3, G148)</f>
        <v>45928</v>
      </c>
      <c r="I148" s="33">
        <f>H148-B148</f>
        <v>17</v>
      </c>
      <c r="J148" s="33">
        <f t="shared" si="12"/>
        <v>0</v>
      </c>
      <c r="K148" s="33">
        <f t="shared" si="13"/>
        <v>0</v>
      </c>
      <c r="L148" s="34" t="s">
        <v>646</v>
      </c>
      <c r="M148" s="34" t="s">
        <v>650</v>
      </c>
      <c r="N148" s="34" t="s">
        <v>664</v>
      </c>
      <c r="O148" s="34" t="s">
        <v>703</v>
      </c>
      <c r="P148" s="34" t="s">
        <v>710</v>
      </c>
      <c r="Q148" s="34" t="s">
        <v>713</v>
      </c>
      <c r="R148" s="34" t="s">
        <v>731</v>
      </c>
      <c r="S148" s="34" t="s">
        <v>880</v>
      </c>
      <c r="T148" s="35">
        <v>891.46</v>
      </c>
      <c r="U148" s="35">
        <v>728.61</v>
      </c>
      <c r="V148" s="35">
        <f t="shared" si="14"/>
        <v>0.185</v>
      </c>
      <c r="W148" s="35">
        <v>0.185</v>
      </c>
      <c r="X148" s="33">
        <f>IF(Table2[[#This Row],[DiscountPct]]&gt;0.2,1,0)</f>
        <v>0</v>
      </c>
      <c r="Y148" s="33">
        <v>6</v>
      </c>
      <c r="Z148" s="30">
        <f>Table2[[#This Row],[UnitPrice]]*Y148*(1-V148)</f>
        <v>3562.9028999999996</v>
      </c>
      <c r="AA148" s="31">
        <f>T148*Y148</f>
        <v>5348.76</v>
      </c>
      <c r="AB148" s="31">
        <f t="shared" si="15"/>
        <v>-1785.8571000000006</v>
      </c>
      <c r="AC148" s="31">
        <f t="shared" si="16"/>
        <v>-0.50123653383874167</v>
      </c>
      <c r="AD148" s="31" t="e">
        <f>_xlfn.PERCENTILE.INC(S:S, 0.33)</f>
        <v>#NUM!</v>
      </c>
      <c r="AE148" s="31" t="e">
        <f>_xlfn.PERCENTILE.INC(S:S, 0.66)</f>
        <v>#NUM!</v>
      </c>
      <c r="AF148" s="30" t="e">
        <f t="shared" si="17"/>
        <v>#NUM!</v>
      </c>
    </row>
    <row r="149" spans="1:32" x14ac:dyDescent="0.3">
      <c r="A149" s="2" t="s">
        <v>162</v>
      </c>
      <c r="B149" s="4">
        <v>45386</v>
      </c>
      <c r="C149" s="46">
        <f>EOMONTH(Table2[[#This Row],[OrderDate]],-1)+1</f>
        <v>45383</v>
      </c>
      <c r="D149" s="45">
        <f>EOMONTH(_xlfn.MINIFS(B149:B779,M149:M779,Table2[[#This Row],[Country]]), -1) + 1</f>
        <v>44927</v>
      </c>
      <c r="E149" s="46"/>
      <c r="F149" s="4" t="str">
        <f>"Q"&amp;ROUNDUP(MONTH(B149)/3,0)&amp;"-"&amp;YEAR(B149)</f>
        <v>Q2-2024</v>
      </c>
      <c r="G149" s="4">
        <v>45406</v>
      </c>
      <c r="H149" s="4">
        <f>IF(G149&lt;B149, B149+3, G149)</f>
        <v>45406</v>
      </c>
      <c r="I149" s="10">
        <f>H149-B149</f>
        <v>20</v>
      </c>
      <c r="J149" s="10">
        <f t="shared" si="12"/>
        <v>0</v>
      </c>
      <c r="K149" s="10">
        <f t="shared" si="13"/>
        <v>0</v>
      </c>
      <c r="L149" s="6" t="s">
        <v>649</v>
      </c>
      <c r="M149" s="6" t="s">
        <v>656</v>
      </c>
      <c r="N149" s="6" t="s">
        <v>698</v>
      </c>
      <c r="O149" s="6" t="s">
        <v>703</v>
      </c>
      <c r="P149" s="6" t="s">
        <v>711</v>
      </c>
      <c r="Q149" s="6" t="s">
        <v>719</v>
      </c>
      <c r="R149" s="6" t="s">
        <v>733</v>
      </c>
      <c r="S149" s="6" t="s">
        <v>881</v>
      </c>
      <c r="T149" s="8">
        <v>683.42</v>
      </c>
      <c r="U149" s="8">
        <v>951.51</v>
      </c>
      <c r="V149" s="8">
        <f t="shared" si="14"/>
        <v>0</v>
      </c>
      <c r="W149" s="8">
        <v>0</v>
      </c>
      <c r="X149" s="10">
        <f>IF(Table2[[#This Row],[DiscountPct]]&gt;0.2,1,0)</f>
        <v>0</v>
      </c>
      <c r="Y149" s="10">
        <v>14</v>
      </c>
      <c r="Z149" s="30">
        <f>Table2[[#This Row],[UnitPrice]]*Y149*(1-V149)</f>
        <v>13321.14</v>
      </c>
      <c r="AA149" s="2">
        <f>T149*Y149</f>
        <v>9567.8799999999992</v>
      </c>
      <c r="AB149" s="2">
        <f t="shared" si="15"/>
        <v>3753.26</v>
      </c>
      <c r="AC149" s="2">
        <f t="shared" si="16"/>
        <v>0.28175216235247136</v>
      </c>
      <c r="AD149" s="2" t="e">
        <f>_xlfn.PERCENTILE.INC(S:S, 0.33)</f>
        <v>#NUM!</v>
      </c>
      <c r="AE149" s="2" t="e">
        <f>_xlfn.PERCENTILE.INC(S:S, 0.66)</f>
        <v>#NUM!</v>
      </c>
      <c r="AF149" s="30" t="e">
        <f t="shared" si="17"/>
        <v>#NUM!</v>
      </c>
    </row>
    <row r="150" spans="1:32" x14ac:dyDescent="0.3">
      <c r="A150" s="31" t="s">
        <v>163</v>
      </c>
      <c r="B150" s="32">
        <v>45183</v>
      </c>
      <c r="C150" s="47">
        <f>EOMONTH(Table2[[#This Row],[OrderDate]],-1)+1</f>
        <v>45170</v>
      </c>
      <c r="D150" s="45">
        <f>EOMONTH(_xlfn.MINIFS(B150:B780,M150:M780,Table2[[#This Row],[Country]]), -1) + 1</f>
        <v>44927</v>
      </c>
      <c r="E150" s="47"/>
      <c r="F150" s="32" t="str">
        <f>"Q"&amp;ROUNDUP(MONTH(B150)/3,0)&amp;"-"&amp;YEAR(B150)</f>
        <v>Q3-2023</v>
      </c>
      <c r="G150" s="32">
        <v>45185</v>
      </c>
      <c r="H150" s="32">
        <f>IF(G150&lt;B150, B150+3, G150)</f>
        <v>45185</v>
      </c>
      <c r="I150" s="33">
        <f>H150-B150</f>
        <v>2</v>
      </c>
      <c r="J150" s="33">
        <f t="shared" si="12"/>
        <v>1</v>
      </c>
      <c r="K150" s="33">
        <f t="shared" si="13"/>
        <v>1</v>
      </c>
      <c r="L150" s="34" t="s">
        <v>649</v>
      </c>
      <c r="M150" s="34" t="s">
        <v>657</v>
      </c>
      <c r="N150" s="34" t="s">
        <v>679</v>
      </c>
      <c r="O150" s="34" t="s">
        <v>703</v>
      </c>
      <c r="P150" s="34" t="s">
        <v>711</v>
      </c>
      <c r="Q150" s="34" t="s">
        <v>717</v>
      </c>
      <c r="R150" s="34" t="s">
        <v>728</v>
      </c>
      <c r="S150" s="34" t="s">
        <v>882</v>
      </c>
      <c r="T150" s="35">
        <v>376.83</v>
      </c>
      <c r="U150" s="35">
        <v>732.88</v>
      </c>
      <c r="V150" s="35">
        <f t="shared" si="14"/>
        <v>0.188</v>
      </c>
      <c r="W150" s="35">
        <v>0.188</v>
      </c>
      <c r="X150" s="33">
        <f>IF(Table2[[#This Row],[DiscountPct]]&gt;0.2,1,0)</f>
        <v>0</v>
      </c>
      <c r="Y150" s="33">
        <v>25</v>
      </c>
      <c r="Z150" s="30">
        <f>Table2[[#This Row],[UnitPrice]]*Y150*(1-V150)</f>
        <v>14877.464000000002</v>
      </c>
      <c r="AA150" s="31">
        <f>T150*Y150</f>
        <v>9420.75</v>
      </c>
      <c r="AB150" s="31">
        <f t="shared" si="15"/>
        <v>5456.7140000000018</v>
      </c>
      <c r="AC150" s="31">
        <f t="shared" si="16"/>
        <v>0.36677716040852132</v>
      </c>
      <c r="AD150" s="31" t="e">
        <f>_xlfn.PERCENTILE.INC(S:S, 0.33)</f>
        <v>#NUM!</v>
      </c>
      <c r="AE150" s="31" t="e">
        <f>_xlfn.PERCENTILE.INC(S:S, 0.66)</f>
        <v>#NUM!</v>
      </c>
      <c r="AF150" s="30" t="e">
        <f t="shared" si="17"/>
        <v>#NUM!</v>
      </c>
    </row>
    <row r="151" spans="1:32" x14ac:dyDescent="0.3">
      <c r="A151" s="2" t="s">
        <v>164</v>
      </c>
      <c r="B151" s="4">
        <v>45558</v>
      </c>
      <c r="C151" s="46">
        <f>EOMONTH(Table2[[#This Row],[OrderDate]],-1)+1</f>
        <v>45536</v>
      </c>
      <c r="D151" s="45">
        <f>EOMONTH(_xlfn.MINIFS(B151:B781,M151:M781,Table2[[#This Row],[Country]]), -1) + 1</f>
        <v>44986</v>
      </c>
      <c r="E151" s="46"/>
      <c r="F151" s="4" t="str">
        <f>"Q"&amp;ROUNDUP(MONTH(B151)/3,0)&amp;"-"&amp;YEAR(B151)</f>
        <v>Q3-2024</v>
      </c>
      <c r="G151" s="4">
        <v>45583</v>
      </c>
      <c r="H151" s="4">
        <f>IF(G151&lt;B151, B151+3, G151)</f>
        <v>45583</v>
      </c>
      <c r="I151" s="10">
        <f>H151-B151</f>
        <v>25</v>
      </c>
      <c r="J151" s="10">
        <f t="shared" si="12"/>
        <v>0</v>
      </c>
      <c r="K151" s="10">
        <f t="shared" si="13"/>
        <v>0</v>
      </c>
      <c r="L151" s="6" t="s">
        <v>648</v>
      </c>
      <c r="M151" s="6" t="s">
        <v>653</v>
      </c>
      <c r="N151" s="6" t="s">
        <v>688</v>
      </c>
      <c r="O151" s="6" t="s">
        <v>705</v>
      </c>
      <c r="P151" s="6" t="s">
        <v>708</v>
      </c>
      <c r="Q151" s="6" t="s">
        <v>725</v>
      </c>
      <c r="R151" s="6" t="s">
        <v>730</v>
      </c>
      <c r="S151" s="6" t="s">
        <v>883</v>
      </c>
      <c r="T151" s="8">
        <v>1297</v>
      </c>
      <c r="U151" s="8">
        <v>2411.52</v>
      </c>
      <c r="V151" s="8">
        <f t="shared" si="14"/>
        <v>2.1000000000000001E-2</v>
      </c>
      <c r="W151" s="8">
        <v>2.1000000000000001E-2</v>
      </c>
      <c r="X151" s="10">
        <f>IF(Table2[[#This Row],[DiscountPct]]&gt;0.2,1,0)</f>
        <v>0</v>
      </c>
      <c r="Y151" s="10">
        <v>18</v>
      </c>
      <c r="Z151" s="30">
        <f>Table2[[#This Row],[UnitPrice]]*Y151*(1-V151)</f>
        <v>42495.805439999996</v>
      </c>
      <c r="AA151" s="2">
        <f>T151*Y151</f>
        <v>23346</v>
      </c>
      <c r="AB151" s="2">
        <f t="shared" si="15"/>
        <v>19149.805439999996</v>
      </c>
      <c r="AC151" s="2">
        <f t="shared" si="16"/>
        <v>0.45062813239385913</v>
      </c>
      <c r="AD151" s="2" t="e">
        <f>_xlfn.PERCENTILE.INC(S:S, 0.33)</f>
        <v>#NUM!</v>
      </c>
      <c r="AE151" s="2" t="e">
        <f>_xlfn.PERCENTILE.INC(S:S, 0.66)</f>
        <v>#NUM!</v>
      </c>
      <c r="AF151" s="30" t="e">
        <f t="shared" si="17"/>
        <v>#NUM!</v>
      </c>
    </row>
    <row r="152" spans="1:32" x14ac:dyDescent="0.3">
      <c r="A152" s="31" t="s">
        <v>165</v>
      </c>
      <c r="B152" s="32">
        <v>45763</v>
      </c>
      <c r="C152" s="47">
        <f>EOMONTH(Table2[[#This Row],[OrderDate]],-1)+1</f>
        <v>45748</v>
      </c>
      <c r="D152" s="45">
        <f>EOMONTH(_xlfn.MINIFS(B152:B782,M152:M782,Table2[[#This Row],[Country]]), -1) + 1</f>
        <v>44986</v>
      </c>
      <c r="E152" s="47"/>
      <c r="F152" s="32" t="str">
        <f>"Q"&amp;ROUNDUP(MONTH(B152)/3,0)&amp;"-"&amp;YEAR(B152)</f>
        <v>Q2-2025</v>
      </c>
      <c r="G152" s="32">
        <v>45793</v>
      </c>
      <c r="H152" s="32">
        <f>IF(G152&lt;B152, B152+3, G152)</f>
        <v>45793</v>
      </c>
      <c r="I152" s="33">
        <f>H152-B152</f>
        <v>30</v>
      </c>
      <c r="J152" s="33">
        <f t="shared" si="12"/>
        <v>0</v>
      </c>
      <c r="K152" s="33">
        <f t="shared" si="13"/>
        <v>0</v>
      </c>
      <c r="L152" s="34" t="s">
        <v>648</v>
      </c>
      <c r="M152" s="34" t="s">
        <v>653</v>
      </c>
      <c r="N152" s="34" t="s">
        <v>681</v>
      </c>
      <c r="O152" s="34" t="s">
        <v>706</v>
      </c>
      <c r="P152" s="34" t="s">
        <v>710</v>
      </c>
      <c r="Q152" s="34" t="s">
        <v>723</v>
      </c>
      <c r="R152" s="34" t="s">
        <v>728</v>
      </c>
      <c r="S152" s="34" t="s">
        <v>884</v>
      </c>
      <c r="T152" s="35">
        <v>763.32</v>
      </c>
      <c r="U152" s="35">
        <v>568.29</v>
      </c>
      <c r="V152" s="35">
        <f t="shared" si="14"/>
        <v>0.13100000000000001</v>
      </c>
      <c r="W152" s="35">
        <v>0.13100000000000001</v>
      </c>
      <c r="X152" s="33">
        <f>IF(Table2[[#This Row],[DiscountPct]]&gt;0.2,1,0)</f>
        <v>0</v>
      </c>
      <c r="Y152" s="33">
        <v>16</v>
      </c>
      <c r="Z152" s="30">
        <f>Table2[[#This Row],[UnitPrice]]*Y152*(1-V152)</f>
        <v>7901.5041599999995</v>
      </c>
      <c r="AA152" s="31">
        <f>T152*Y152</f>
        <v>12213.12</v>
      </c>
      <c r="AB152" s="31">
        <f t="shared" si="15"/>
        <v>-4311.6158400000013</v>
      </c>
      <c r="AC152" s="31">
        <f t="shared" si="16"/>
        <v>-0.54567026134426555</v>
      </c>
      <c r="AD152" s="31" t="e">
        <f>_xlfn.PERCENTILE.INC(S:S, 0.33)</f>
        <v>#NUM!</v>
      </c>
      <c r="AE152" s="31" t="e">
        <f>_xlfn.PERCENTILE.INC(S:S, 0.66)</f>
        <v>#NUM!</v>
      </c>
      <c r="AF152" s="30" t="e">
        <f t="shared" si="17"/>
        <v>#NUM!</v>
      </c>
    </row>
    <row r="153" spans="1:32" x14ac:dyDescent="0.3">
      <c r="A153" s="2" t="s">
        <v>166</v>
      </c>
      <c r="B153" s="4">
        <v>45110</v>
      </c>
      <c r="C153" s="46">
        <f>EOMONTH(Table2[[#This Row],[OrderDate]],-1)+1</f>
        <v>45108</v>
      </c>
      <c r="D153" s="45">
        <f>EOMONTH(_xlfn.MINIFS(B153:B783,M153:M783,Table2[[#This Row],[Country]]), -1) + 1</f>
        <v>44927</v>
      </c>
      <c r="E153" s="46"/>
      <c r="F153" s="4" t="str">
        <f>"Q"&amp;ROUNDUP(MONTH(B153)/3,0)&amp;"-"&amp;YEAR(B153)</f>
        <v>Q3-2023</v>
      </c>
      <c r="G153" s="4">
        <v>45130</v>
      </c>
      <c r="H153" s="4">
        <f>IF(G153&lt;B153, B153+3, G153)</f>
        <v>45130</v>
      </c>
      <c r="I153" s="10">
        <f>H153-B153</f>
        <v>20</v>
      </c>
      <c r="J153" s="10">
        <f t="shared" si="12"/>
        <v>0</v>
      </c>
      <c r="K153" s="10">
        <f t="shared" si="13"/>
        <v>0</v>
      </c>
      <c r="L153" s="6" t="s">
        <v>646</v>
      </c>
      <c r="M153" s="6" t="s">
        <v>661</v>
      </c>
      <c r="N153" s="6" t="s">
        <v>682</v>
      </c>
      <c r="O153" s="6" t="s">
        <v>705</v>
      </c>
      <c r="P153" s="6" t="s">
        <v>710</v>
      </c>
      <c r="Q153" s="6" t="s">
        <v>721</v>
      </c>
      <c r="R153" s="6" t="s">
        <v>731</v>
      </c>
      <c r="S153" s="6" t="s">
        <v>885</v>
      </c>
      <c r="T153" s="8">
        <v>1001.96</v>
      </c>
      <c r="U153" s="8">
        <v>1254.95</v>
      </c>
      <c r="V153" s="8">
        <f t="shared" si="14"/>
        <v>4.4999999999999998E-2</v>
      </c>
      <c r="W153" s="8">
        <v>4.4999999999999998E-2</v>
      </c>
      <c r="X153" s="10">
        <f>IF(Table2[[#This Row],[DiscountPct]]&gt;0.2,1,0)</f>
        <v>0</v>
      </c>
      <c r="Y153" s="10">
        <v>18</v>
      </c>
      <c r="Z153" s="30">
        <f>Table2[[#This Row],[UnitPrice]]*Y153*(1-V153)</f>
        <v>21572.590500000002</v>
      </c>
      <c r="AA153" s="2">
        <f>T153*Y153</f>
        <v>18035.28</v>
      </c>
      <c r="AB153" s="2">
        <f t="shared" si="15"/>
        <v>3537.3105000000032</v>
      </c>
      <c r="AC153" s="2">
        <f t="shared" si="16"/>
        <v>0.16397244920585699</v>
      </c>
      <c r="AD153" s="2" t="e">
        <f>_xlfn.PERCENTILE.INC(S:S, 0.33)</f>
        <v>#NUM!</v>
      </c>
      <c r="AE153" s="2" t="e">
        <f>_xlfn.PERCENTILE.INC(S:S, 0.66)</f>
        <v>#NUM!</v>
      </c>
      <c r="AF153" s="30" t="e">
        <f t="shared" si="17"/>
        <v>#NUM!</v>
      </c>
    </row>
    <row r="154" spans="1:32" x14ac:dyDescent="0.3">
      <c r="A154" s="31" t="s">
        <v>167</v>
      </c>
      <c r="B154" s="32">
        <v>45267</v>
      </c>
      <c r="C154" s="47">
        <f>EOMONTH(Table2[[#This Row],[OrderDate]],-1)+1</f>
        <v>45261</v>
      </c>
      <c r="D154" s="45">
        <f>EOMONTH(_xlfn.MINIFS(B154:B784,M154:M784,Table2[[#This Row],[Country]]), -1) + 1</f>
        <v>44986</v>
      </c>
      <c r="E154" s="47"/>
      <c r="F154" s="32" t="str">
        <f>"Q"&amp;ROUNDUP(MONTH(B154)/3,0)&amp;"-"&amp;YEAR(B154)</f>
        <v>Q4-2023</v>
      </c>
      <c r="G154" s="32">
        <v>45265</v>
      </c>
      <c r="H154" s="32">
        <f>IF(G154&lt;B154, B154+3, G154)</f>
        <v>45270</v>
      </c>
      <c r="I154" s="33">
        <f>H154-B154</f>
        <v>3</v>
      </c>
      <c r="J154" s="33">
        <f t="shared" si="12"/>
        <v>1</v>
      </c>
      <c r="K154" s="33">
        <f t="shared" si="13"/>
        <v>1</v>
      </c>
      <c r="L154" s="34" t="s">
        <v>647</v>
      </c>
      <c r="M154" s="34" t="s">
        <v>652</v>
      </c>
      <c r="N154" s="34" t="s">
        <v>689</v>
      </c>
      <c r="O154" s="34" t="s">
        <v>703</v>
      </c>
      <c r="P154" s="34" t="s">
        <v>709</v>
      </c>
      <c r="Q154" s="34" t="s">
        <v>722</v>
      </c>
      <c r="R154" s="34" t="s">
        <v>728</v>
      </c>
      <c r="S154" s="34" t="s">
        <v>886</v>
      </c>
      <c r="T154" s="35">
        <v>1097.5899999999999</v>
      </c>
      <c r="U154" s="35">
        <v>845.55</v>
      </c>
      <c r="V154" s="35">
        <f t="shared" si="14"/>
        <v>0.184</v>
      </c>
      <c r="W154" s="35">
        <v>0.184</v>
      </c>
      <c r="X154" s="33">
        <f>IF(Table2[[#This Row],[DiscountPct]]&gt;0.2,1,0)</f>
        <v>0</v>
      </c>
      <c r="Y154" s="33">
        <v>6</v>
      </c>
      <c r="Z154" s="30">
        <f>Table2[[#This Row],[UnitPrice]]*Y154*(1-V154)</f>
        <v>4139.8127999999997</v>
      </c>
      <c r="AA154" s="31">
        <f>T154*Y154</f>
        <v>6585.5399999999991</v>
      </c>
      <c r="AB154" s="31">
        <f t="shared" si="15"/>
        <v>-2445.7271999999994</v>
      </c>
      <c r="AC154" s="31">
        <f t="shared" si="16"/>
        <v>-0.59078207594314402</v>
      </c>
      <c r="AD154" s="31" t="e">
        <f>_xlfn.PERCENTILE.INC(S:S, 0.33)</f>
        <v>#NUM!</v>
      </c>
      <c r="AE154" s="31" t="e">
        <f>_xlfn.PERCENTILE.INC(S:S, 0.66)</f>
        <v>#NUM!</v>
      </c>
      <c r="AF154" s="30" t="e">
        <f t="shared" si="17"/>
        <v>#NUM!</v>
      </c>
    </row>
    <row r="155" spans="1:32" x14ac:dyDescent="0.3">
      <c r="A155" s="2" t="s">
        <v>168</v>
      </c>
      <c r="B155" s="4">
        <v>45340</v>
      </c>
      <c r="C155" s="46">
        <f>EOMONTH(Table2[[#This Row],[OrderDate]],-1)+1</f>
        <v>45323</v>
      </c>
      <c r="D155" s="45">
        <f>EOMONTH(_xlfn.MINIFS(B155:B785,M155:M785,Table2[[#This Row],[Country]]), -1) + 1</f>
        <v>44927</v>
      </c>
      <c r="E155" s="46"/>
      <c r="F155" s="4" t="str">
        <f>"Q"&amp;ROUNDUP(MONTH(B155)/3,0)&amp;"-"&amp;YEAR(B155)</f>
        <v>Q1-2024</v>
      </c>
      <c r="G155" s="4">
        <v>45355</v>
      </c>
      <c r="H155" s="4">
        <f>IF(G155&lt;B155, B155+3, G155)</f>
        <v>45355</v>
      </c>
      <c r="I155" s="10">
        <f>H155-B155</f>
        <v>15</v>
      </c>
      <c r="J155" s="10">
        <f t="shared" si="12"/>
        <v>0</v>
      </c>
      <c r="K155" s="10">
        <f t="shared" si="13"/>
        <v>0</v>
      </c>
      <c r="L155" s="6" t="s">
        <v>646</v>
      </c>
      <c r="M155" s="6" t="s">
        <v>650</v>
      </c>
      <c r="N155" s="6" t="s">
        <v>662</v>
      </c>
      <c r="O155" s="6" t="s">
        <v>702</v>
      </c>
      <c r="P155" s="6" t="s">
        <v>711</v>
      </c>
      <c r="Q155" s="6" t="s">
        <v>723</v>
      </c>
      <c r="R155" s="6" t="s">
        <v>728</v>
      </c>
      <c r="S155" s="6" t="s">
        <v>887</v>
      </c>
      <c r="T155" s="8">
        <v>928.68</v>
      </c>
      <c r="U155" s="8">
        <v>2145.17</v>
      </c>
      <c r="V155" s="8">
        <f t="shared" si="14"/>
        <v>0.13600000000000001</v>
      </c>
      <c r="W155" s="8">
        <v>0.13600000000000001</v>
      </c>
      <c r="X155" s="10">
        <f>IF(Table2[[#This Row],[DiscountPct]]&gt;0.2,1,0)</f>
        <v>0</v>
      </c>
      <c r="Y155" s="10">
        <v>16</v>
      </c>
      <c r="Z155" s="30">
        <f>Table2[[#This Row],[UnitPrice]]*Y155*(1-V155)</f>
        <v>29654.83008</v>
      </c>
      <c r="AA155" s="2">
        <f>T155*Y155</f>
        <v>14858.88</v>
      </c>
      <c r="AB155" s="2">
        <f t="shared" si="15"/>
        <v>14795.950080000001</v>
      </c>
      <c r="AC155" s="2">
        <f t="shared" si="16"/>
        <v>0.49893896003062177</v>
      </c>
      <c r="AD155" s="2" t="e">
        <f>_xlfn.PERCENTILE.INC(S:S, 0.33)</f>
        <v>#NUM!</v>
      </c>
      <c r="AE155" s="2" t="e">
        <f>_xlfn.PERCENTILE.INC(S:S, 0.66)</f>
        <v>#NUM!</v>
      </c>
      <c r="AF155" s="30" t="e">
        <f t="shared" si="17"/>
        <v>#NUM!</v>
      </c>
    </row>
    <row r="156" spans="1:32" x14ac:dyDescent="0.3">
      <c r="A156" s="31" t="s">
        <v>169</v>
      </c>
      <c r="B156" s="32">
        <v>45230</v>
      </c>
      <c r="C156" s="47">
        <f>EOMONTH(Table2[[#This Row],[OrderDate]],-1)+1</f>
        <v>45200</v>
      </c>
      <c r="D156" s="45">
        <f>EOMONTH(_xlfn.MINIFS(B156:B786,M156:M786,Table2[[#This Row],[Country]]), -1) + 1</f>
        <v>44927</v>
      </c>
      <c r="E156" s="47"/>
      <c r="F156" s="32" t="str">
        <f>"Q"&amp;ROUNDUP(MONTH(B156)/3,0)&amp;"-"&amp;YEAR(B156)</f>
        <v>Q4-2023</v>
      </c>
      <c r="G156" s="32">
        <v>45232</v>
      </c>
      <c r="H156" s="32">
        <f>IF(G156&lt;B156, B156+3, G156)</f>
        <v>45232</v>
      </c>
      <c r="I156" s="33">
        <f>H156-B156</f>
        <v>2</v>
      </c>
      <c r="J156" s="33">
        <f t="shared" si="12"/>
        <v>1</v>
      </c>
      <c r="K156" s="33">
        <f t="shared" si="13"/>
        <v>1</v>
      </c>
      <c r="L156" s="34" t="s">
        <v>646</v>
      </c>
      <c r="M156" s="34" t="s">
        <v>650</v>
      </c>
      <c r="N156" s="34" t="s">
        <v>662</v>
      </c>
      <c r="O156" s="34" t="s">
        <v>702</v>
      </c>
      <c r="P156" s="34" t="s">
        <v>707</v>
      </c>
      <c r="Q156" s="34" t="s">
        <v>719</v>
      </c>
      <c r="R156" s="34" t="s">
        <v>733</v>
      </c>
      <c r="S156" s="34" t="s">
        <v>888</v>
      </c>
      <c r="T156" s="35">
        <v>867.89</v>
      </c>
      <c r="U156" s="35">
        <v>1349.94</v>
      </c>
      <c r="V156" s="35">
        <f t="shared" si="14"/>
        <v>0.184</v>
      </c>
      <c r="W156" s="35">
        <v>0.184</v>
      </c>
      <c r="X156" s="33">
        <f>IF(Table2[[#This Row],[DiscountPct]]&gt;0.2,1,0)</f>
        <v>0</v>
      </c>
      <c r="Y156" s="33">
        <v>10</v>
      </c>
      <c r="Z156" s="30">
        <f>Table2[[#This Row],[UnitPrice]]*Y156*(1-V156)</f>
        <v>11015.510400000003</v>
      </c>
      <c r="AA156" s="31">
        <f>T156*Y156</f>
        <v>8678.9</v>
      </c>
      <c r="AB156" s="31">
        <f t="shared" si="15"/>
        <v>2336.6104000000032</v>
      </c>
      <c r="AC156" s="31">
        <f t="shared" si="16"/>
        <v>0.21212003031652557</v>
      </c>
      <c r="AD156" s="31" t="e">
        <f>_xlfn.PERCENTILE.INC(S:S, 0.33)</f>
        <v>#NUM!</v>
      </c>
      <c r="AE156" s="31" t="e">
        <f>_xlfn.PERCENTILE.INC(S:S, 0.66)</f>
        <v>#NUM!</v>
      </c>
      <c r="AF156" s="30" t="e">
        <f t="shared" si="17"/>
        <v>#NUM!</v>
      </c>
    </row>
    <row r="157" spans="1:32" x14ac:dyDescent="0.3">
      <c r="A157" s="2" t="s">
        <v>170</v>
      </c>
      <c r="B157" s="4">
        <v>45511</v>
      </c>
      <c r="C157" s="46">
        <f>EOMONTH(Table2[[#This Row],[OrderDate]],-1)+1</f>
        <v>45505</v>
      </c>
      <c r="D157" s="45">
        <f>EOMONTH(_xlfn.MINIFS(B157:B787,M157:M787,Table2[[#This Row],[Country]]), -1) + 1</f>
        <v>44986</v>
      </c>
      <c r="E157" s="46"/>
      <c r="F157" s="4" t="str">
        <f>"Q"&amp;ROUNDUP(MONTH(B157)/3,0)&amp;"-"&amp;YEAR(B157)</f>
        <v>Q3-2024</v>
      </c>
      <c r="G157" s="4">
        <v>45521</v>
      </c>
      <c r="H157" s="4">
        <f>IF(G157&lt;B157, B157+3, G157)</f>
        <v>45521</v>
      </c>
      <c r="I157" s="10">
        <f>H157-B157</f>
        <v>10</v>
      </c>
      <c r="J157" s="10">
        <f t="shared" si="12"/>
        <v>0</v>
      </c>
      <c r="K157" s="10">
        <f t="shared" si="13"/>
        <v>0</v>
      </c>
      <c r="L157" s="6" t="s">
        <v>647</v>
      </c>
      <c r="M157" s="6" t="s">
        <v>652</v>
      </c>
      <c r="N157" s="6" t="s">
        <v>666</v>
      </c>
      <c r="O157" s="6" t="s">
        <v>704</v>
      </c>
      <c r="P157" s="6" t="s">
        <v>708</v>
      </c>
      <c r="Q157" s="6" t="s">
        <v>723</v>
      </c>
      <c r="R157" s="6" t="s">
        <v>729</v>
      </c>
      <c r="S157" s="6" t="s">
        <v>889</v>
      </c>
      <c r="T157" s="8">
        <v>436.58</v>
      </c>
      <c r="U157" s="8">
        <v>527.48</v>
      </c>
      <c r="V157" s="8">
        <f t="shared" si="14"/>
        <v>0.111</v>
      </c>
      <c r="W157" s="8">
        <v>0.111</v>
      </c>
      <c r="X157" s="10">
        <f>IF(Table2[[#This Row],[DiscountPct]]&gt;0.2,1,0)</f>
        <v>0</v>
      </c>
      <c r="Y157" s="10">
        <v>19</v>
      </c>
      <c r="Z157" s="30">
        <f>Table2[[#This Row],[UnitPrice]]*Y157*(1-V157)</f>
        <v>8909.6646800000017</v>
      </c>
      <c r="AA157" s="2">
        <f>T157*Y157</f>
        <v>8295.02</v>
      </c>
      <c r="AB157" s="2">
        <f t="shared" si="15"/>
        <v>614.64468000000124</v>
      </c>
      <c r="AC157" s="2">
        <f t="shared" si="16"/>
        <v>6.8986286473802644E-2</v>
      </c>
      <c r="AD157" s="2" t="e">
        <f>_xlfn.PERCENTILE.INC(S:S, 0.33)</f>
        <v>#NUM!</v>
      </c>
      <c r="AE157" s="2" t="e">
        <f>_xlfn.PERCENTILE.INC(S:S, 0.66)</f>
        <v>#NUM!</v>
      </c>
      <c r="AF157" s="30" t="e">
        <f t="shared" si="17"/>
        <v>#NUM!</v>
      </c>
    </row>
    <row r="158" spans="1:32" x14ac:dyDescent="0.3">
      <c r="A158" s="31" t="s">
        <v>171</v>
      </c>
      <c r="B158" s="32">
        <v>45323</v>
      </c>
      <c r="C158" s="47">
        <f>EOMONTH(Table2[[#This Row],[OrderDate]],-1)+1</f>
        <v>45323</v>
      </c>
      <c r="D158" s="45">
        <f>EOMONTH(_xlfn.MINIFS(B158:B788,M158:M788,Table2[[#This Row],[Country]]), -1) + 1</f>
        <v>44927</v>
      </c>
      <c r="E158" s="47"/>
      <c r="F158" s="32" t="str">
        <f>"Q"&amp;ROUNDUP(MONTH(B158)/3,0)&amp;"-"&amp;YEAR(B158)</f>
        <v>Q1-2024</v>
      </c>
      <c r="G158" s="32">
        <v>45343</v>
      </c>
      <c r="H158" s="32">
        <f>IF(G158&lt;B158, B158+3, G158)</f>
        <v>45343</v>
      </c>
      <c r="I158" s="33">
        <f>H158-B158</f>
        <v>20</v>
      </c>
      <c r="J158" s="33">
        <f t="shared" si="12"/>
        <v>0</v>
      </c>
      <c r="K158" s="33">
        <f t="shared" si="13"/>
        <v>0</v>
      </c>
      <c r="L158" s="34" t="s">
        <v>649</v>
      </c>
      <c r="M158" s="34" t="s">
        <v>657</v>
      </c>
      <c r="N158" s="34" t="s">
        <v>690</v>
      </c>
      <c r="O158" s="34" t="s">
        <v>705</v>
      </c>
      <c r="P158" s="34" t="s">
        <v>709</v>
      </c>
      <c r="Q158" s="34" t="s">
        <v>720</v>
      </c>
      <c r="R158" s="34" t="s">
        <v>729</v>
      </c>
      <c r="S158" s="34" t="s">
        <v>890</v>
      </c>
      <c r="T158" s="35">
        <v>656.2</v>
      </c>
      <c r="U158" s="35">
        <v>1467.17</v>
      </c>
      <c r="V158" s="35">
        <f t="shared" si="14"/>
        <v>1.7999999999999999E-2</v>
      </c>
      <c r="W158" s="35">
        <v>1.7999999999999999E-2</v>
      </c>
      <c r="X158" s="33">
        <f>IF(Table2[[#This Row],[DiscountPct]]&gt;0.2,1,0)</f>
        <v>0</v>
      </c>
      <c r="Y158" s="33">
        <v>5</v>
      </c>
      <c r="Z158" s="30">
        <f>Table2[[#This Row],[UnitPrice]]*Y158*(1-V158)</f>
        <v>7203.8047000000006</v>
      </c>
      <c r="AA158" s="31">
        <f>T158*Y158</f>
        <v>3281</v>
      </c>
      <c r="AB158" s="31">
        <f t="shared" si="15"/>
        <v>3922.8047000000006</v>
      </c>
      <c r="AC158" s="31">
        <f t="shared" si="16"/>
        <v>0.54454623124360946</v>
      </c>
      <c r="AD158" s="31" t="e">
        <f>_xlfn.PERCENTILE.INC(S:S, 0.33)</f>
        <v>#NUM!</v>
      </c>
      <c r="AE158" s="31" t="e">
        <f>_xlfn.PERCENTILE.INC(S:S, 0.66)</f>
        <v>#NUM!</v>
      </c>
      <c r="AF158" s="30" t="e">
        <f t="shared" si="17"/>
        <v>#NUM!</v>
      </c>
    </row>
    <row r="159" spans="1:32" x14ac:dyDescent="0.3">
      <c r="A159" s="2" t="s">
        <v>172</v>
      </c>
      <c r="B159" s="4">
        <v>45531</v>
      </c>
      <c r="C159" s="46">
        <f>EOMONTH(Table2[[#This Row],[OrderDate]],-1)+1</f>
        <v>45505</v>
      </c>
      <c r="D159" s="45">
        <f>EOMONTH(_xlfn.MINIFS(B159:B789,M159:M789,Table2[[#This Row],[Country]]), -1) + 1</f>
        <v>44958</v>
      </c>
      <c r="E159" s="46"/>
      <c r="F159" s="4" t="str">
        <f>"Q"&amp;ROUNDUP(MONTH(B159)/3,0)&amp;"-"&amp;YEAR(B159)</f>
        <v>Q3-2024</v>
      </c>
      <c r="G159" s="4">
        <v>45553</v>
      </c>
      <c r="H159" s="4">
        <f>IF(G159&lt;B159, B159+3, G159)</f>
        <v>45553</v>
      </c>
      <c r="I159" s="10">
        <f>H159-B159</f>
        <v>22</v>
      </c>
      <c r="J159" s="10">
        <f t="shared" si="12"/>
        <v>0</v>
      </c>
      <c r="K159" s="10">
        <f t="shared" si="13"/>
        <v>0</v>
      </c>
      <c r="L159" s="6" t="s">
        <v>647</v>
      </c>
      <c r="M159" s="6" t="s">
        <v>654</v>
      </c>
      <c r="N159" s="6" t="s">
        <v>680</v>
      </c>
      <c r="O159" s="6" t="s">
        <v>704</v>
      </c>
      <c r="P159" s="6" t="s">
        <v>711</v>
      </c>
      <c r="Q159" s="6" t="s">
        <v>717</v>
      </c>
      <c r="R159" s="6" t="s">
        <v>727</v>
      </c>
      <c r="S159" s="6" t="s">
        <v>891</v>
      </c>
      <c r="T159" s="8">
        <v>896.75</v>
      </c>
      <c r="U159" s="8">
        <v>1651.14</v>
      </c>
      <c r="V159" s="8">
        <f t="shared" si="14"/>
        <v>2.5000000000000001E-2</v>
      </c>
      <c r="W159" s="8">
        <v>2.5000000000000001E-2</v>
      </c>
      <c r="X159" s="10">
        <f>IF(Table2[[#This Row],[DiscountPct]]&gt;0.2,1,0)</f>
        <v>0</v>
      </c>
      <c r="Y159" s="10">
        <v>15</v>
      </c>
      <c r="Z159" s="30">
        <f>Table2[[#This Row],[UnitPrice]]*Y159*(1-V159)</f>
        <v>24147.922500000001</v>
      </c>
      <c r="AA159" s="2">
        <f>T159*Y159</f>
        <v>13451.25</v>
      </c>
      <c r="AB159" s="2">
        <f t="shared" si="15"/>
        <v>10696.672500000001</v>
      </c>
      <c r="AC159" s="2">
        <f t="shared" si="16"/>
        <v>0.44296450346815552</v>
      </c>
      <c r="AD159" s="2" t="e">
        <f>_xlfn.PERCENTILE.INC(S:S, 0.33)</f>
        <v>#NUM!</v>
      </c>
      <c r="AE159" s="2" t="e">
        <f>_xlfn.PERCENTILE.INC(S:S, 0.66)</f>
        <v>#NUM!</v>
      </c>
      <c r="AF159" s="30" t="e">
        <f t="shared" si="17"/>
        <v>#NUM!</v>
      </c>
    </row>
    <row r="160" spans="1:32" x14ac:dyDescent="0.3">
      <c r="A160" s="31" t="s">
        <v>173</v>
      </c>
      <c r="B160" s="32">
        <v>45703</v>
      </c>
      <c r="C160" s="47">
        <f>EOMONTH(Table2[[#This Row],[OrderDate]],-1)+1</f>
        <v>45689</v>
      </c>
      <c r="D160" s="45">
        <f>EOMONTH(_xlfn.MINIFS(B160:B790,M160:M790,Table2[[#This Row],[Country]]), -1) + 1</f>
        <v>44927</v>
      </c>
      <c r="E160" s="47"/>
      <c r="F160" s="32" t="str">
        <f>"Q"&amp;ROUNDUP(MONTH(B160)/3,0)&amp;"-"&amp;YEAR(B160)</f>
        <v>Q1-2025</v>
      </c>
      <c r="G160" s="32">
        <v>45703</v>
      </c>
      <c r="H160" s="32">
        <f>IF(G160&lt;B160, B160+3, G160)</f>
        <v>45703</v>
      </c>
      <c r="I160" s="33">
        <f>H160-B160</f>
        <v>0</v>
      </c>
      <c r="J160" s="33">
        <f t="shared" si="12"/>
        <v>1</v>
      </c>
      <c r="K160" s="33">
        <f t="shared" si="13"/>
        <v>1</v>
      </c>
      <c r="L160" s="34" t="s">
        <v>649</v>
      </c>
      <c r="M160" s="34" t="s">
        <v>656</v>
      </c>
      <c r="N160" s="34" t="s">
        <v>698</v>
      </c>
      <c r="O160" s="34" t="s">
        <v>705</v>
      </c>
      <c r="P160" s="34" t="s">
        <v>709</v>
      </c>
      <c r="Q160" s="34" t="s">
        <v>716</v>
      </c>
      <c r="R160" s="34" t="s">
        <v>733</v>
      </c>
      <c r="S160" s="34" t="s">
        <v>892</v>
      </c>
      <c r="T160" s="35">
        <v>815.83</v>
      </c>
      <c r="U160" s="35">
        <v>1982.18</v>
      </c>
      <c r="V160" s="35">
        <f t="shared" si="14"/>
        <v>0.127</v>
      </c>
      <c r="W160" s="35">
        <v>0.127</v>
      </c>
      <c r="X160" s="33">
        <f>IF(Table2[[#This Row],[DiscountPct]]&gt;0.2,1,0)</f>
        <v>0</v>
      </c>
      <c r="Y160" s="33">
        <v>6</v>
      </c>
      <c r="Z160" s="30">
        <f>Table2[[#This Row],[UnitPrice]]*Y160*(1-V160)</f>
        <v>10382.65884</v>
      </c>
      <c r="AA160" s="31">
        <f>T160*Y160</f>
        <v>4894.9800000000005</v>
      </c>
      <c r="AB160" s="31">
        <f t="shared" si="15"/>
        <v>5487.6788399999996</v>
      </c>
      <c r="AC160" s="31">
        <f t="shared" si="16"/>
        <v>0.52854272923408507</v>
      </c>
      <c r="AD160" s="31" t="e">
        <f>_xlfn.PERCENTILE.INC(S:S, 0.33)</f>
        <v>#NUM!</v>
      </c>
      <c r="AE160" s="31" t="e">
        <f>_xlfn.PERCENTILE.INC(S:S, 0.66)</f>
        <v>#NUM!</v>
      </c>
      <c r="AF160" s="30" t="e">
        <f t="shared" si="17"/>
        <v>#NUM!</v>
      </c>
    </row>
    <row r="161" spans="1:32" x14ac:dyDescent="0.3">
      <c r="A161" s="2" t="s">
        <v>174</v>
      </c>
      <c r="B161" s="4">
        <v>45870</v>
      </c>
      <c r="C161" s="46">
        <f>EOMONTH(Table2[[#This Row],[OrderDate]],-1)+1</f>
        <v>45870</v>
      </c>
      <c r="D161" s="45">
        <f>EOMONTH(_xlfn.MINIFS(B161:B791,M161:M791,Table2[[#This Row],[Country]]), -1) + 1</f>
        <v>44927</v>
      </c>
      <c r="E161" s="46"/>
      <c r="F161" s="4" t="str">
        <f>"Q"&amp;ROUNDUP(MONTH(B161)/3,0)&amp;"-"&amp;YEAR(B161)</f>
        <v>Q3-2025</v>
      </c>
      <c r="G161" s="4">
        <v>45890</v>
      </c>
      <c r="H161" s="4">
        <f>IF(G161&lt;B161, B161+3, G161)</f>
        <v>45890</v>
      </c>
      <c r="I161" s="10">
        <f>H161-B161</f>
        <v>20</v>
      </c>
      <c r="J161" s="10">
        <f t="shared" si="12"/>
        <v>0</v>
      </c>
      <c r="K161" s="10">
        <f t="shared" si="13"/>
        <v>0</v>
      </c>
      <c r="L161" s="6" t="s">
        <v>647</v>
      </c>
      <c r="M161" s="6" t="s">
        <v>659</v>
      </c>
      <c r="N161" s="6" t="s">
        <v>685</v>
      </c>
      <c r="O161" s="6" t="s">
        <v>701</v>
      </c>
      <c r="P161" s="6" t="s">
        <v>711</v>
      </c>
      <c r="Q161" s="6" t="s">
        <v>714</v>
      </c>
      <c r="R161" s="6" t="s">
        <v>730</v>
      </c>
      <c r="S161" s="6" t="s">
        <v>893</v>
      </c>
      <c r="T161" s="8">
        <v>1220.4100000000001</v>
      </c>
      <c r="U161" s="8">
        <v>2552.2199999999998</v>
      </c>
      <c r="V161" s="8">
        <f t="shared" si="14"/>
        <v>0.18099999999999999</v>
      </c>
      <c r="W161" s="8">
        <v>0.18099999999999999</v>
      </c>
      <c r="X161" s="10">
        <f>IF(Table2[[#This Row],[DiscountPct]]&gt;0.2,1,0)</f>
        <v>0</v>
      </c>
      <c r="Y161" s="10">
        <v>14</v>
      </c>
      <c r="Z161" s="30">
        <f>Table2[[#This Row],[UnitPrice]]*Y161*(1-V161)</f>
        <v>29263.754519999995</v>
      </c>
      <c r="AA161" s="2">
        <f>T161*Y161</f>
        <v>17085.740000000002</v>
      </c>
      <c r="AB161" s="2">
        <f t="shared" si="15"/>
        <v>12178.014519999993</v>
      </c>
      <c r="AC161" s="2">
        <f t="shared" si="16"/>
        <v>0.41614668793360271</v>
      </c>
      <c r="AD161" s="2" t="e">
        <f>_xlfn.PERCENTILE.INC(S:S, 0.33)</f>
        <v>#NUM!</v>
      </c>
      <c r="AE161" s="2" t="e">
        <f>_xlfn.PERCENTILE.INC(S:S, 0.66)</f>
        <v>#NUM!</v>
      </c>
      <c r="AF161" s="30" t="e">
        <f t="shared" si="17"/>
        <v>#NUM!</v>
      </c>
    </row>
    <row r="162" spans="1:32" x14ac:dyDescent="0.3">
      <c r="A162" s="31" t="s">
        <v>175</v>
      </c>
      <c r="B162" s="32">
        <v>44977</v>
      </c>
      <c r="C162" s="47">
        <f>EOMONTH(Table2[[#This Row],[OrderDate]],-1)+1</f>
        <v>44958</v>
      </c>
      <c r="D162" s="45">
        <f>EOMONTH(_xlfn.MINIFS(B162:B792,M162:M792,Table2[[#This Row],[Country]]), -1) + 1</f>
        <v>44958</v>
      </c>
      <c r="E162" s="47"/>
      <c r="F162" s="32" t="str">
        <f>"Q"&amp;ROUNDUP(MONTH(B162)/3,0)&amp;"-"&amp;YEAR(B162)</f>
        <v>Q1-2023</v>
      </c>
      <c r="G162" s="32">
        <v>44989</v>
      </c>
      <c r="H162" s="32">
        <f>IF(G162&lt;B162, B162+3, G162)</f>
        <v>44989</v>
      </c>
      <c r="I162" s="33">
        <f>H162-B162</f>
        <v>12</v>
      </c>
      <c r="J162" s="33">
        <f t="shared" si="12"/>
        <v>0</v>
      </c>
      <c r="K162" s="33">
        <f t="shared" si="13"/>
        <v>0</v>
      </c>
      <c r="L162" s="34" t="s">
        <v>647</v>
      </c>
      <c r="M162" s="34" t="s">
        <v>654</v>
      </c>
      <c r="N162" s="34" t="s">
        <v>680</v>
      </c>
      <c r="O162" s="34" t="s">
        <v>704</v>
      </c>
      <c r="P162" s="34" t="s">
        <v>710</v>
      </c>
      <c r="Q162" s="34" t="s">
        <v>724</v>
      </c>
      <c r="R162" s="34" t="s">
        <v>732</v>
      </c>
      <c r="S162" s="34" t="s">
        <v>894</v>
      </c>
      <c r="T162" s="35">
        <v>299.75</v>
      </c>
      <c r="U162" s="35">
        <v>523.01</v>
      </c>
      <c r="V162" s="35">
        <f t="shared" si="14"/>
        <v>0.157</v>
      </c>
      <c r="W162" s="35">
        <v>0.157</v>
      </c>
      <c r="X162" s="33">
        <f>IF(Table2[[#This Row],[DiscountPct]]&gt;0.2,1,0)</f>
        <v>0</v>
      </c>
      <c r="Y162" s="33">
        <v>50</v>
      </c>
      <c r="Z162" s="30">
        <f>Table2[[#This Row],[UnitPrice]]*Y162*(1-V162)</f>
        <v>22044.871499999997</v>
      </c>
      <c r="AA162" s="31">
        <f>T162*Y162</f>
        <v>14987.5</v>
      </c>
      <c r="AB162" s="31">
        <f t="shared" si="15"/>
        <v>7057.3714999999975</v>
      </c>
      <c r="AC162" s="31">
        <f t="shared" si="16"/>
        <v>0.32013665854210122</v>
      </c>
      <c r="AD162" s="31" t="e">
        <f>_xlfn.PERCENTILE.INC(S:S, 0.33)</f>
        <v>#NUM!</v>
      </c>
      <c r="AE162" s="31" t="e">
        <f>_xlfn.PERCENTILE.INC(S:S, 0.66)</f>
        <v>#NUM!</v>
      </c>
      <c r="AF162" s="30" t="e">
        <f t="shared" si="17"/>
        <v>#NUM!</v>
      </c>
    </row>
    <row r="163" spans="1:32" x14ac:dyDescent="0.3">
      <c r="A163" s="2" t="s">
        <v>176</v>
      </c>
      <c r="B163" s="4">
        <v>45595</v>
      </c>
      <c r="C163" s="46">
        <f>EOMONTH(Table2[[#This Row],[OrderDate]],-1)+1</f>
        <v>45566</v>
      </c>
      <c r="D163" s="45">
        <f>EOMONTH(_xlfn.MINIFS(B163:B793,M163:M793,Table2[[#This Row],[Country]]), -1) + 1</f>
        <v>44927</v>
      </c>
      <c r="E163" s="46"/>
      <c r="F163" s="4" t="str">
        <f>"Q"&amp;ROUNDUP(MONTH(B163)/3,0)&amp;"-"&amp;YEAR(B163)</f>
        <v>Q4-2024</v>
      </c>
      <c r="G163" s="4">
        <v>45620</v>
      </c>
      <c r="H163" s="4">
        <f>IF(G163&lt;B163, B163+3, G163)</f>
        <v>45620</v>
      </c>
      <c r="I163" s="10">
        <f>H163-B163</f>
        <v>25</v>
      </c>
      <c r="J163" s="10">
        <f t="shared" si="12"/>
        <v>0</v>
      </c>
      <c r="K163" s="10">
        <f t="shared" si="13"/>
        <v>0</v>
      </c>
      <c r="L163" s="6" t="s">
        <v>647</v>
      </c>
      <c r="M163" s="6" t="s">
        <v>659</v>
      </c>
      <c r="N163" s="6" t="s">
        <v>676</v>
      </c>
      <c r="O163" s="6" t="s">
        <v>705</v>
      </c>
      <c r="P163" s="6" t="s">
        <v>708</v>
      </c>
      <c r="Q163" s="6" t="s">
        <v>718</v>
      </c>
      <c r="R163" s="6" t="s">
        <v>727</v>
      </c>
      <c r="S163" s="6" t="s">
        <v>895</v>
      </c>
      <c r="T163" s="8">
        <v>811.05</v>
      </c>
      <c r="U163" s="8">
        <v>1217.71</v>
      </c>
      <c r="V163" s="8">
        <f t="shared" si="14"/>
        <v>7.1999999999999995E-2</v>
      </c>
      <c r="W163" s="8">
        <v>7.1999999999999995E-2</v>
      </c>
      <c r="X163" s="10">
        <f>IF(Table2[[#This Row],[DiscountPct]]&gt;0.2,1,0)</f>
        <v>0</v>
      </c>
      <c r="Y163" s="10">
        <v>5</v>
      </c>
      <c r="Z163" s="30">
        <f>Table2[[#This Row],[UnitPrice]]*Y163*(1-V163)</f>
        <v>5650.1744000000008</v>
      </c>
      <c r="AA163" s="2">
        <f>T163*Y163</f>
        <v>4055.25</v>
      </c>
      <c r="AB163" s="2">
        <f t="shared" si="15"/>
        <v>1594.9244000000008</v>
      </c>
      <c r="AC163" s="2">
        <f t="shared" si="16"/>
        <v>0.28227879125288602</v>
      </c>
      <c r="AD163" s="2" t="e">
        <f>_xlfn.PERCENTILE.INC(S:S, 0.33)</f>
        <v>#NUM!</v>
      </c>
      <c r="AE163" s="2" t="e">
        <f>_xlfn.PERCENTILE.INC(S:S, 0.66)</f>
        <v>#NUM!</v>
      </c>
      <c r="AF163" s="30" t="e">
        <f t="shared" si="17"/>
        <v>#NUM!</v>
      </c>
    </row>
    <row r="164" spans="1:32" x14ac:dyDescent="0.3">
      <c r="A164" s="31" t="s">
        <v>177</v>
      </c>
      <c r="B164" s="32">
        <v>45385</v>
      </c>
      <c r="C164" s="47">
        <f>EOMONTH(Table2[[#This Row],[OrderDate]],-1)+1</f>
        <v>45383</v>
      </c>
      <c r="D164" s="45">
        <f>EOMONTH(_xlfn.MINIFS(B164:B794,M164:M794,Table2[[#This Row],[Country]]), -1) + 1</f>
        <v>44927</v>
      </c>
      <c r="E164" s="47"/>
      <c r="F164" s="32" t="str">
        <f>"Q"&amp;ROUNDUP(MONTH(B164)/3,0)&amp;"-"&amp;YEAR(B164)</f>
        <v>Q2-2024</v>
      </c>
      <c r="G164" s="32">
        <v>45389</v>
      </c>
      <c r="H164" s="32">
        <f>IF(G164&lt;B164, B164+3, G164)</f>
        <v>45389</v>
      </c>
      <c r="I164" s="33">
        <f>H164-B164</f>
        <v>4</v>
      </c>
      <c r="J164" s="33">
        <f t="shared" si="12"/>
        <v>1</v>
      </c>
      <c r="K164" s="33">
        <f t="shared" si="13"/>
        <v>1</v>
      </c>
      <c r="L164" s="34" t="s">
        <v>648</v>
      </c>
      <c r="M164" s="34" t="s">
        <v>655</v>
      </c>
      <c r="N164" s="34" t="s">
        <v>672</v>
      </c>
      <c r="O164" s="34" t="s">
        <v>703</v>
      </c>
      <c r="P164" s="34" t="s">
        <v>711</v>
      </c>
      <c r="Q164" s="34" t="s">
        <v>725</v>
      </c>
      <c r="R164" s="34" t="s">
        <v>730</v>
      </c>
      <c r="S164" s="34" t="s">
        <v>896</v>
      </c>
      <c r="T164" s="35">
        <v>1023.27</v>
      </c>
      <c r="U164" s="35">
        <v>1343.64</v>
      </c>
      <c r="V164" s="35">
        <f t="shared" si="14"/>
        <v>0.13300000000000001</v>
      </c>
      <c r="W164" s="35">
        <v>0.13300000000000001</v>
      </c>
      <c r="X164" s="33">
        <f>IF(Table2[[#This Row],[DiscountPct]]&gt;0.2,1,0)</f>
        <v>0</v>
      </c>
      <c r="Y164" s="33">
        <v>7</v>
      </c>
      <c r="Z164" s="30">
        <f>Table2[[#This Row],[UnitPrice]]*Y164*(1-V164)</f>
        <v>8154.5511600000009</v>
      </c>
      <c r="AA164" s="31">
        <f>T164*Y164</f>
        <v>7162.8899999999994</v>
      </c>
      <c r="AB164" s="31">
        <f t="shared" si="15"/>
        <v>991.66116000000147</v>
      </c>
      <c r="AC164" s="31">
        <f t="shared" si="16"/>
        <v>0.12160830688810116</v>
      </c>
      <c r="AD164" s="31" t="e">
        <f>_xlfn.PERCENTILE.INC(S:S, 0.33)</f>
        <v>#NUM!</v>
      </c>
      <c r="AE164" s="31" t="e">
        <f>_xlfn.PERCENTILE.INC(S:S, 0.66)</f>
        <v>#NUM!</v>
      </c>
      <c r="AF164" s="30" t="e">
        <f t="shared" si="17"/>
        <v>#NUM!</v>
      </c>
    </row>
    <row r="165" spans="1:32" x14ac:dyDescent="0.3">
      <c r="A165" s="2" t="s">
        <v>178</v>
      </c>
      <c r="B165" s="4">
        <v>45010</v>
      </c>
      <c r="C165" s="46">
        <f>EOMONTH(Table2[[#This Row],[OrderDate]],-1)+1</f>
        <v>44986</v>
      </c>
      <c r="D165" s="45">
        <f>EOMONTH(_xlfn.MINIFS(B165:B795,M165:M795,Table2[[#This Row],[Country]]), -1) + 1</f>
        <v>44986</v>
      </c>
      <c r="E165" s="46"/>
      <c r="F165" s="4" t="str">
        <f>"Q"&amp;ROUNDUP(MONTH(B165)/3,0)&amp;"-"&amp;YEAR(B165)</f>
        <v>Q1-2023</v>
      </c>
      <c r="G165" s="4">
        <v>45011</v>
      </c>
      <c r="H165" s="4">
        <f>IF(G165&lt;B165, B165+3, G165)</f>
        <v>45011</v>
      </c>
      <c r="I165" s="10">
        <f>H165-B165</f>
        <v>1</v>
      </c>
      <c r="J165" s="10">
        <f t="shared" si="12"/>
        <v>1</v>
      </c>
      <c r="K165" s="10">
        <f t="shared" si="13"/>
        <v>1</v>
      </c>
      <c r="L165" s="6" t="s">
        <v>647</v>
      </c>
      <c r="M165" s="6" t="s">
        <v>652</v>
      </c>
      <c r="N165" s="6" t="s">
        <v>666</v>
      </c>
      <c r="O165" s="6" t="s">
        <v>705</v>
      </c>
      <c r="P165" s="6" t="s">
        <v>710</v>
      </c>
      <c r="Q165" s="6" t="s">
        <v>714</v>
      </c>
      <c r="R165" s="6" t="s">
        <v>732</v>
      </c>
      <c r="S165" s="6" t="s">
        <v>897</v>
      </c>
      <c r="T165" s="8">
        <v>135.12</v>
      </c>
      <c r="U165" s="8">
        <v>301.7</v>
      </c>
      <c r="V165" s="8">
        <f t="shared" si="14"/>
        <v>0.14000000000000001</v>
      </c>
      <c r="W165" s="8">
        <v>0.14000000000000001</v>
      </c>
      <c r="X165" s="10">
        <f>IF(Table2[[#This Row],[DiscountPct]]&gt;0.2,1,0)</f>
        <v>0</v>
      </c>
      <c r="Y165" s="10">
        <v>47</v>
      </c>
      <c r="Z165" s="30">
        <f>Table2[[#This Row],[UnitPrice]]*Y165*(1-V165)</f>
        <v>12194.714</v>
      </c>
      <c r="AA165" s="2">
        <f>T165*Y165</f>
        <v>6350.64</v>
      </c>
      <c r="AB165" s="2">
        <f t="shared" si="15"/>
        <v>5844.0739999999996</v>
      </c>
      <c r="AC165" s="2">
        <f t="shared" si="16"/>
        <v>0.47923009920527859</v>
      </c>
      <c r="AD165" s="2" t="e">
        <f>_xlfn.PERCENTILE.INC(S:S, 0.33)</f>
        <v>#NUM!</v>
      </c>
      <c r="AE165" s="2" t="e">
        <f>_xlfn.PERCENTILE.INC(S:S, 0.66)</f>
        <v>#NUM!</v>
      </c>
      <c r="AF165" s="30" t="e">
        <f t="shared" si="17"/>
        <v>#NUM!</v>
      </c>
    </row>
    <row r="166" spans="1:32" x14ac:dyDescent="0.3">
      <c r="A166" s="31" t="s">
        <v>179</v>
      </c>
      <c r="B166" s="32">
        <v>45447</v>
      </c>
      <c r="C166" s="47">
        <f>EOMONTH(Table2[[#This Row],[OrderDate]],-1)+1</f>
        <v>45444</v>
      </c>
      <c r="D166" s="45">
        <f>EOMONTH(_xlfn.MINIFS(B166:B796,M166:M796,Table2[[#This Row],[Country]]), -1) + 1</f>
        <v>44927</v>
      </c>
      <c r="E166" s="47"/>
      <c r="F166" s="32" t="str">
        <f>"Q"&amp;ROUNDUP(MONTH(B166)/3,0)&amp;"-"&amp;YEAR(B166)</f>
        <v>Q2-2024</v>
      </c>
      <c r="G166" s="32">
        <v>45459</v>
      </c>
      <c r="H166" s="32">
        <f>IF(G166&lt;B166, B166+3, G166)</f>
        <v>45459</v>
      </c>
      <c r="I166" s="33">
        <f>H166-B166</f>
        <v>12</v>
      </c>
      <c r="J166" s="33">
        <f t="shared" si="12"/>
        <v>0</v>
      </c>
      <c r="K166" s="33">
        <f t="shared" si="13"/>
        <v>0</v>
      </c>
      <c r="L166" s="34" t="s">
        <v>647</v>
      </c>
      <c r="M166" s="34" t="s">
        <v>659</v>
      </c>
      <c r="N166" s="34" t="s">
        <v>685</v>
      </c>
      <c r="O166" s="34" t="s">
        <v>701</v>
      </c>
      <c r="P166" s="34" t="s">
        <v>707</v>
      </c>
      <c r="Q166" s="34" t="s">
        <v>713</v>
      </c>
      <c r="R166" s="34" t="s">
        <v>728</v>
      </c>
      <c r="S166" s="34" t="s">
        <v>898</v>
      </c>
      <c r="T166" s="35">
        <v>918.42</v>
      </c>
      <c r="U166" s="35">
        <v>1511.71</v>
      </c>
      <c r="V166" s="35">
        <f t="shared" si="14"/>
        <v>0.02</v>
      </c>
      <c r="W166" s="35">
        <v>0.02</v>
      </c>
      <c r="X166" s="33">
        <f>IF(Table2[[#This Row],[DiscountPct]]&gt;0.2,1,0)</f>
        <v>0</v>
      </c>
      <c r="Y166" s="33">
        <v>8</v>
      </c>
      <c r="Z166" s="30">
        <f>Table2[[#This Row],[UnitPrice]]*Y166*(1-V166)</f>
        <v>11851.806399999999</v>
      </c>
      <c r="AA166" s="31">
        <f>T166*Y166</f>
        <v>7347.36</v>
      </c>
      <c r="AB166" s="31">
        <f t="shared" si="15"/>
        <v>4504.4463999999998</v>
      </c>
      <c r="AC166" s="31">
        <f t="shared" si="16"/>
        <v>0.38006412254590999</v>
      </c>
      <c r="AD166" s="31" t="e">
        <f>_xlfn.PERCENTILE.INC(S:S, 0.33)</f>
        <v>#NUM!</v>
      </c>
      <c r="AE166" s="31" t="e">
        <f>_xlfn.PERCENTILE.INC(S:S, 0.66)</f>
        <v>#NUM!</v>
      </c>
      <c r="AF166" s="30" t="e">
        <f t="shared" si="17"/>
        <v>#NUM!</v>
      </c>
    </row>
    <row r="167" spans="1:32" x14ac:dyDescent="0.3">
      <c r="A167" s="2" t="s">
        <v>180</v>
      </c>
      <c r="B167" s="4">
        <v>44976</v>
      </c>
      <c r="C167" s="46">
        <f>EOMONTH(Table2[[#This Row],[OrderDate]],-1)+1</f>
        <v>44958</v>
      </c>
      <c r="D167" s="45">
        <f>EOMONTH(_xlfn.MINIFS(B167:B797,M167:M797,Table2[[#This Row],[Country]]), -1) + 1</f>
        <v>44927</v>
      </c>
      <c r="E167" s="46"/>
      <c r="F167" s="4" t="str">
        <f>"Q"&amp;ROUNDUP(MONTH(B167)/3,0)&amp;"-"&amp;YEAR(B167)</f>
        <v>Q1-2023</v>
      </c>
      <c r="G167" s="4">
        <v>44997</v>
      </c>
      <c r="H167" s="4">
        <f>IF(G167&lt;B167, B167+3, G167)</f>
        <v>44997</v>
      </c>
      <c r="I167" s="10">
        <f>H167-B167</f>
        <v>21</v>
      </c>
      <c r="J167" s="10">
        <f t="shared" si="12"/>
        <v>0</v>
      </c>
      <c r="K167" s="10">
        <f t="shared" si="13"/>
        <v>0</v>
      </c>
      <c r="L167" s="6" t="s">
        <v>649</v>
      </c>
      <c r="M167" s="6" t="s">
        <v>656</v>
      </c>
      <c r="N167" s="6" t="s">
        <v>671</v>
      </c>
      <c r="O167" s="6" t="s">
        <v>705</v>
      </c>
      <c r="P167" s="6" t="s">
        <v>711</v>
      </c>
      <c r="Q167" s="6" t="s">
        <v>716</v>
      </c>
      <c r="R167" s="6" t="s">
        <v>732</v>
      </c>
      <c r="S167" s="6" t="s">
        <v>899</v>
      </c>
      <c r="T167" s="8">
        <v>1234.81</v>
      </c>
      <c r="U167" s="8">
        <v>2055.2399999999998</v>
      </c>
      <c r="V167" s="8">
        <f t="shared" si="14"/>
        <v>5.2999999999999999E-2</v>
      </c>
      <c r="W167" s="8">
        <v>5.2999999999999999E-2</v>
      </c>
      <c r="X167" s="10">
        <f>IF(Table2[[#This Row],[DiscountPct]]&gt;0.2,1,0)</f>
        <v>0</v>
      </c>
      <c r="Y167" s="10">
        <v>44</v>
      </c>
      <c r="Z167" s="30">
        <f>Table2[[#This Row],[UnitPrice]]*Y167*(1-V167)</f>
        <v>85637.740319999997</v>
      </c>
      <c r="AA167" s="2">
        <f>T167*Y167</f>
        <v>54331.64</v>
      </c>
      <c r="AB167" s="2">
        <f t="shared" si="15"/>
        <v>31306.100319999998</v>
      </c>
      <c r="AC167" s="2">
        <f t="shared" si="16"/>
        <v>0.36556429680441616</v>
      </c>
      <c r="AD167" s="2" t="e">
        <f>_xlfn.PERCENTILE.INC(S:S, 0.33)</f>
        <v>#NUM!</v>
      </c>
      <c r="AE167" s="2" t="e">
        <f>_xlfn.PERCENTILE.INC(S:S, 0.66)</f>
        <v>#NUM!</v>
      </c>
      <c r="AF167" s="30" t="e">
        <f t="shared" si="17"/>
        <v>#NUM!</v>
      </c>
    </row>
    <row r="168" spans="1:32" x14ac:dyDescent="0.3">
      <c r="A168" s="31" t="s">
        <v>181</v>
      </c>
      <c r="B168" s="32">
        <v>45034</v>
      </c>
      <c r="C168" s="47">
        <f>EOMONTH(Table2[[#This Row],[OrderDate]],-1)+1</f>
        <v>45017</v>
      </c>
      <c r="D168" s="45">
        <f>EOMONTH(_xlfn.MINIFS(B168:B798,M168:M798,Table2[[#This Row],[Country]]), -1) + 1</f>
        <v>44927</v>
      </c>
      <c r="E168" s="47"/>
      <c r="F168" s="32" t="str">
        <f>"Q"&amp;ROUNDUP(MONTH(B168)/3,0)&amp;"-"&amp;YEAR(B168)</f>
        <v>Q2-2023</v>
      </c>
      <c r="G168" s="32">
        <v>45064</v>
      </c>
      <c r="H168" s="32">
        <f>IF(G168&lt;B168, B168+3, G168)</f>
        <v>45064</v>
      </c>
      <c r="I168" s="33">
        <f>H168-B168</f>
        <v>30</v>
      </c>
      <c r="J168" s="33">
        <f t="shared" si="12"/>
        <v>0</v>
      </c>
      <c r="K168" s="33">
        <f t="shared" si="13"/>
        <v>0</v>
      </c>
      <c r="L168" s="34" t="s">
        <v>647</v>
      </c>
      <c r="M168" s="34" t="s">
        <v>659</v>
      </c>
      <c r="N168" s="34" t="s">
        <v>676</v>
      </c>
      <c r="O168" s="34" t="s">
        <v>703</v>
      </c>
      <c r="P168" s="34" t="s">
        <v>707</v>
      </c>
      <c r="Q168" s="34" t="s">
        <v>722</v>
      </c>
      <c r="R168" s="34" t="s">
        <v>731</v>
      </c>
      <c r="S168" s="34" t="s">
        <v>900</v>
      </c>
      <c r="T168" s="35">
        <v>329.03</v>
      </c>
      <c r="U168" s="35">
        <v>391.15</v>
      </c>
      <c r="V168" s="35">
        <f t="shared" si="14"/>
        <v>0.19700000000000001</v>
      </c>
      <c r="W168" s="35">
        <v>0.19700000000000001</v>
      </c>
      <c r="X168" s="33">
        <f>IF(Table2[[#This Row],[DiscountPct]]&gt;0.2,1,0)</f>
        <v>0</v>
      </c>
      <c r="Y168" s="33">
        <v>46</v>
      </c>
      <c r="Z168" s="30">
        <f>Table2[[#This Row],[UnitPrice]]*Y168*(1-V168)</f>
        <v>14448.298699999998</v>
      </c>
      <c r="AA168" s="31">
        <f>T168*Y168</f>
        <v>15135.38</v>
      </c>
      <c r="AB168" s="31">
        <f t="shared" si="15"/>
        <v>-687.08130000000165</v>
      </c>
      <c r="AC168" s="31">
        <f t="shared" si="16"/>
        <v>-4.7554477815440081E-2</v>
      </c>
      <c r="AD168" s="31" t="e">
        <f>_xlfn.PERCENTILE.INC(S:S, 0.33)</f>
        <v>#NUM!</v>
      </c>
      <c r="AE168" s="31" t="e">
        <f>_xlfn.PERCENTILE.INC(S:S, 0.66)</f>
        <v>#NUM!</v>
      </c>
      <c r="AF168" s="30" t="e">
        <f t="shared" si="17"/>
        <v>#NUM!</v>
      </c>
    </row>
    <row r="169" spans="1:32" x14ac:dyDescent="0.3">
      <c r="A169" s="2" t="s">
        <v>182</v>
      </c>
      <c r="B169" s="4">
        <v>45435</v>
      </c>
      <c r="C169" s="46">
        <f>EOMONTH(Table2[[#This Row],[OrderDate]],-1)+1</f>
        <v>45413</v>
      </c>
      <c r="D169" s="45">
        <f>EOMONTH(_xlfn.MINIFS(B169:B799,M169:M799,Table2[[#This Row],[Country]]), -1) + 1</f>
        <v>44927</v>
      </c>
      <c r="E169" s="46"/>
      <c r="F169" s="4" t="str">
        <f>"Q"&amp;ROUNDUP(MONTH(B169)/3,0)&amp;"-"&amp;YEAR(B169)</f>
        <v>Q2-2024</v>
      </c>
      <c r="G169" s="4">
        <v>45457</v>
      </c>
      <c r="H169" s="4">
        <f>IF(G169&lt;B169, B169+3, G169)</f>
        <v>45457</v>
      </c>
      <c r="I169" s="10">
        <f>H169-B169</f>
        <v>22</v>
      </c>
      <c r="J169" s="10">
        <f t="shared" si="12"/>
        <v>0</v>
      </c>
      <c r="K169" s="10">
        <f t="shared" si="13"/>
        <v>0</v>
      </c>
      <c r="L169" s="6" t="s">
        <v>649</v>
      </c>
      <c r="M169" s="6" t="s">
        <v>657</v>
      </c>
      <c r="N169" s="6" t="s">
        <v>673</v>
      </c>
      <c r="O169" s="6" t="s">
        <v>705</v>
      </c>
      <c r="P169" s="6" t="s">
        <v>708</v>
      </c>
      <c r="Q169" s="6" t="s">
        <v>725</v>
      </c>
      <c r="R169" s="6" t="s">
        <v>732</v>
      </c>
      <c r="S169" s="6" t="s">
        <v>901</v>
      </c>
      <c r="T169" s="8">
        <v>1481.74</v>
      </c>
      <c r="U169" s="8">
        <v>1848.97</v>
      </c>
      <c r="V169" s="8">
        <f t="shared" si="14"/>
        <v>0.254</v>
      </c>
      <c r="W169" s="8">
        <v>0.254</v>
      </c>
      <c r="X169" s="10">
        <f>IF(Table2[[#This Row],[DiscountPct]]&gt;0.2,1,0)</f>
        <v>1</v>
      </c>
      <c r="Y169" s="10">
        <v>9</v>
      </c>
      <c r="Z169" s="30">
        <f>Table2[[#This Row],[UnitPrice]]*Y169*(1-V169)</f>
        <v>12413.98458</v>
      </c>
      <c r="AA169" s="2">
        <f>T169*Y169</f>
        <v>13335.66</v>
      </c>
      <c r="AB169" s="2">
        <f t="shared" si="15"/>
        <v>-921.67541999999958</v>
      </c>
      <c r="AC169" s="2">
        <f t="shared" si="16"/>
        <v>-7.4244930309072407E-2</v>
      </c>
      <c r="AD169" s="2" t="e">
        <f>_xlfn.PERCENTILE.INC(S:S, 0.33)</f>
        <v>#NUM!</v>
      </c>
      <c r="AE169" s="2" t="e">
        <f>_xlfn.PERCENTILE.INC(S:S, 0.66)</f>
        <v>#NUM!</v>
      </c>
      <c r="AF169" s="30" t="e">
        <f t="shared" si="17"/>
        <v>#NUM!</v>
      </c>
    </row>
    <row r="170" spans="1:32" x14ac:dyDescent="0.3">
      <c r="A170" s="31" t="s">
        <v>183</v>
      </c>
      <c r="B170" s="32">
        <v>45206</v>
      </c>
      <c r="C170" s="47">
        <f>EOMONTH(Table2[[#This Row],[OrderDate]],-1)+1</f>
        <v>45200</v>
      </c>
      <c r="D170" s="45">
        <f>EOMONTH(_xlfn.MINIFS(B170:B800,M170:M800,Table2[[#This Row],[Country]]), -1) + 1</f>
        <v>45047</v>
      </c>
      <c r="E170" s="47"/>
      <c r="F170" s="32" t="str">
        <f>"Q"&amp;ROUNDUP(MONTH(B170)/3,0)&amp;"-"&amp;YEAR(B170)</f>
        <v>Q4-2023</v>
      </c>
      <c r="G170" s="32">
        <v>45222</v>
      </c>
      <c r="H170" s="32">
        <f>IF(G170&lt;B170, B170+3, G170)</f>
        <v>45222</v>
      </c>
      <c r="I170" s="33">
        <f>H170-B170</f>
        <v>16</v>
      </c>
      <c r="J170" s="33">
        <f t="shared" si="12"/>
        <v>0</v>
      </c>
      <c r="K170" s="33">
        <f t="shared" si="13"/>
        <v>0</v>
      </c>
      <c r="L170" s="34" t="s">
        <v>647</v>
      </c>
      <c r="M170" s="34" t="s">
        <v>654</v>
      </c>
      <c r="N170" s="34" t="s">
        <v>696</v>
      </c>
      <c r="O170" s="34" t="s">
        <v>704</v>
      </c>
      <c r="P170" s="34" t="s">
        <v>707</v>
      </c>
      <c r="Q170" s="34" t="s">
        <v>715</v>
      </c>
      <c r="R170" s="34" t="s">
        <v>732</v>
      </c>
      <c r="S170" s="34" t="s">
        <v>902</v>
      </c>
      <c r="T170" s="35">
        <v>906.81</v>
      </c>
      <c r="U170" s="35">
        <v>1395.56</v>
      </c>
      <c r="V170" s="35">
        <f t="shared" si="14"/>
        <v>0.185</v>
      </c>
      <c r="W170" s="35">
        <v>0.185</v>
      </c>
      <c r="X170" s="33">
        <f>IF(Table2[[#This Row],[DiscountPct]]&gt;0.2,1,0)</f>
        <v>0</v>
      </c>
      <c r="Y170" s="33">
        <v>6</v>
      </c>
      <c r="Z170" s="30">
        <f>Table2[[#This Row],[UnitPrice]]*Y170*(1-V170)</f>
        <v>6824.2884000000004</v>
      </c>
      <c r="AA170" s="31">
        <f>T170*Y170</f>
        <v>5440.86</v>
      </c>
      <c r="AB170" s="31">
        <f t="shared" si="15"/>
        <v>1383.4284000000007</v>
      </c>
      <c r="AC170" s="31">
        <f t="shared" si="16"/>
        <v>0.20272126834498974</v>
      </c>
      <c r="AD170" s="31" t="e">
        <f>_xlfn.PERCENTILE.INC(S:S, 0.33)</f>
        <v>#NUM!</v>
      </c>
      <c r="AE170" s="31" t="e">
        <f>_xlfn.PERCENTILE.INC(S:S, 0.66)</f>
        <v>#NUM!</v>
      </c>
      <c r="AF170" s="30" t="e">
        <f t="shared" si="17"/>
        <v>#NUM!</v>
      </c>
    </row>
    <row r="171" spans="1:32" x14ac:dyDescent="0.3">
      <c r="A171" s="2" t="s">
        <v>184</v>
      </c>
      <c r="B171" s="4">
        <v>45574</v>
      </c>
      <c r="C171" s="46">
        <f>EOMONTH(Table2[[#This Row],[OrderDate]],-1)+1</f>
        <v>45566</v>
      </c>
      <c r="D171" s="45">
        <f>EOMONTH(_xlfn.MINIFS(B171:B801,M171:M801,Table2[[#This Row],[Country]]), -1) + 1</f>
        <v>44927</v>
      </c>
      <c r="E171" s="46"/>
      <c r="F171" s="4" t="str">
        <f>"Q"&amp;ROUNDUP(MONTH(B171)/3,0)&amp;"-"&amp;YEAR(B171)</f>
        <v>Q4-2024</v>
      </c>
      <c r="G171" s="4">
        <v>45604</v>
      </c>
      <c r="H171" s="4">
        <f>IF(G171&lt;B171, B171+3, G171)</f>
        <v>45604</v>
      </c>
      <c r="I171" s="10">
        <f>H171-B171</f>
        <v>30</v>
      </c>
      <c r="J171" s="10">
        <f t="shared" si="12"/>
        <v>0</v>
      </c>
      <c r="K171" s="10">
        <f t="shared" si="13"/>
        <v>0</v>
      </c>
      <c r="L171" s="6" t="s">
        <v>649</v>
      </c>
      <c r="M171" s="6" t="s">
        <v>658</v>
      </c>
      <c r="N171" s="6" t="s">
        <v>693</v>
      </c>
      <c r="O171" s="6" t="s">
        <v>705</v>
      </c>
      <c r="P171" s="6" t="s">
        <v>710</v>
      </c>
      <c r="Q171" s="6" t="s">
        <v>713</v>
      </c>
      <c r="R171" s="6" t="s">
        <v>727</v>
      </c>
      <c r="S171" s="6" t="s">
        <v>903</v>
      </c>
      <c r="T171" s="8">
        <v>343.85</v>
      </c>
      <c r="U171" s="8">
        <v>538.04</v>
      </c>
      <c r="V171" s="8">
        <f t="shared" si="14"/>
        <v>0.13900000000000001</v>
      </c>
      <c r="W171" s="8">
        <v>0.13900000000000001</v>
      </c>
      <c r="X171" s="10">
        <f>IF(Table2[[#This Row],[DiscountPct]]&gt;0.2,1,0)</f>
        <v>0</v>
      </c>
      <c r="Y171" s="10">
        <v>5</v>
      </c>
      <c r="Z171" s="30">
        <f>Table2[[#This Row],[UnitPrice]]*Y171*(1-V171)</f>
        <v>2316.2621999999997</v>
      </c>
      <c r="AA171" s="2">
        <f>T171*Y171</f>
        <v>1719.25</v>
      </c>
      <c r="AB171" s="2">
        <f t="shared" si="15"/>
        <v>597.01219999999967</v>
      </c>
      <c r="AC171" s="2">
        <f t="shared" si="16"/>
        <v>0.25774810813732563</v>
      </c>
      <c r="AD171" s="2" t="e">
        <f>_xlfn.PERCENTILE.INC(S:S, 0.33)</f>
        <v>#NUM!</v>
      </c>
      <c r="AE171" s="2" t="e">
        <f>_xlfn.PERCENTILE.INC(S:S, 0.66)</f>
        <v>#NUM!</v>
      </c>
      <c r="AF171" s="30" t="e">
        <f t="shared" si="17"/>
        <v>#NUM!</v>
      </c>
    </row>
    <row r="172" spans="1:32" x14ac:dyDescent="0.3">
      <c r="A172" s="31" t="s">
        <v>185</v>
      </c>
      <c r="B172" s="32">
        <v>45488</v>
      </c>
      <c r="C172" s="47">
        <f>EOMONTH(Table2[[#This Row],[OrderDate]],-1)+1</f>
        <v>45474</v>
      </c>
      <c r="D172" s="45">
        <f>EOMONTH(_xlfn.MINIFS(B172:B802,M172:M802,Table2[[#This Row],[Country]]), -1) + 1</f>
        <v>44986</v>
      </c>
      <c r="E172" s="47"/>
      <c r="F172" s="32" t="str">
        <f>"Q"&amp;ROUNDUP(MONTH(B172)/3,0)&amp;"-"&amp;YEAR(B172)</f>
        <v>Q3-2024</v>
      </c>
      <c r="G172" s="32">
        <v>45488</v>
      </c>
      <c r="H172" s="32">
        <f>IF(G172&lt;B172, B172+3, G172)</f>
        <v>45488</v>
      </c>
      <c r="I172" s="33">
        <f>H172-B172</f>
        <v>0</v>
      </c>
      <c r="J172" s="33">
        <f t="shared" si="12"/>
        <v>1</v>
      </c>
      <c r="K172" s="33">
        <f t="shared" si="13"/>
        <v>1</v>
      </c>
      <c r="L172" s="34" t="s">
        <v>647</v>
      </c>
      <c r="M172" s="34" t="s">
        <v>652</v>
      </c>
      <c r="N172" s="34" t="s">
        <v>689</v>
      </c>
      <c r="O172" s="34" t="s">
        <v>705</v>
      </c>
      <c r="P172" s="34" t="s">
        <v>709</v>
      </c>
      <c r="Q172" s="34" t="s">
        <v>715</v>
      </c>
      <c r="R172" s="34" t="s">
        <v>733</v>
      </c>
      <c r="S172" s="34" t="s">
        <v>904</v>
      </c>
      <c r="T172" s="35">
        <v>801.77</v>
      </c>
      <c r="U172" s="35">
        <v>1218.92</v>
      </c>
      <c r="V172" s="35">
        <f t="shared" si="14"/>
        <v>0.254</v>
      </c>
      <c r="W172" s="35">
        <v>0.254</v>
      </c>
      <c r="X172" s="33">
        <f>IF(Table2[[#This Row],[DiscountPct]]&gt;0.2,1,0)</f>
        <v>1</v>
      </c>
      <c r="Y172" s="33">
        <v>16</v>
      </c>
      <c r="Z172" s="30">
        <f>Table2[[#This Row],[UnitPrice]]*Y172*(1-V172)</f>
        <v>14549.029120000001</v>
      </c>
      <c r="AA172" s="31">
        <f>T172*Y172</f>
        <v>12828.32</v>
      </c>
      <c r="AB172" s="31">
        <f t="shared" si="15"/>
        <v>1720.7091200000013</v>
      </c>
      <c r="AC172" s="31">
        <f t="shared" si="16"/>
        <v>0.11826968698788344</v>
      </c>
      <c r="AD172" s="31" t="e">
        <f>_xlfn.PERCENTILE.INC(S:S, 0.33)</f>
        <v>#NUM!</v>
      </c>
      <c r="AE172" s="31" t="e">
        <f>_xlfn.PERCENTILE.INC(S:S, 0.66)</f>
        <v>#NUM!</v>
      </c>
      <c r="AF172" s="30" t="e">
        <f t="shared" si="17"/>
        <v>#NUM!</v>
      </c>
    </row>
    <row r="173" spans="1:32" x14ac:dyDescent="0.3">
      <c r="A173" s="2" t="s">
        <v>186</v>
      </c>
      <c r="B173" s="4">
        <v>45190</v>
      </c>
      <c r="C173" s="46">
        <f>EOMONTH(Table2[[#This Row],[OrderDate]],-1)+1</f>
        <v>45170</v>
      </c>
      <c r="D173" s="45">
        <f>EOMONTH(_xlfn.MINIFS(B173:B803,M173:M803,Table2[[#This Row],[Country]]), -1) + 1</f>
        <v>44986</v>
      </c>
      <c r="E173" s="46"/>
      <c r="F173" s="4" t="str">
        <f>"Q"&amp;ROUNDUP(MONTH(B173)/3,0)&amp;"-"&amp;YEAR(B173)</f>
        <v>Q3-2023</v>
      </c>
      <c r="G173" s="4">
        <v>45209</v>
      </c>
      <c r="H173" s="4">
        <f>IF(G173&lt;B173, B173+3, G173)</f>
        <v>45209</v>
      </c>
      <c r="I173" s="10">
        <f>H173-B173</f>
        <v>19</v>
      </c>
      <c r="J173" s="10">
        <f t="shared" si="12"/>
        <v>0</v>
      </c>
      <c r="K173" s="10">
        <f t="shared" si="13"/>
        <v>0</v>
      </c>
      <c r="L173" s="6" t="s">
        <v>647</v>
      </c>
      <c r="M173" s="6" t="s">
        <v>652</v>
      </c>
      <c r="N173" s="6" t="s">
        <v>689</v>
      </c>
      <c r="O173" s="6" t="s">
        <v>702</v>
      </c>
      <c r="P173" s="6" t="s">
        <v>708</v>
      </c>
      <c r="Q173" s="6" t="s">
        <v>726</v>
      </c>
      <c r="R173" s="6" t="s">
        <v>727</v>
      </c>
      <c r="S173" s="6" t="s">
        <v>905</v>
      </c>
      <c r="T173" s="8">
        <v>845.63</v>
      </c>
      <c r="U173" s="8">
        <v>2062.12</v>
      </c>
      <c r="V173" s="8">
        <f t="shared" si="14"/>
        <v>0.13400000000000001</v>
      </c>
      <c r="W173" s="8">
        <v>0.13400000000000001</v>
      </c>
      <c r="X173" s="10">
        <f>IF(Table2[[#This Row],[DiscountPct]]&gt;0.2,1,0)</f>
        <v>0</v>
      </c>
      <c r="Y173" s="10">
        <v>5</v>
      </c>
      <c r="Z173" s="30">
        <f>Table2[[#This Row],[UnitPrice]]*Y173*(1-V173)</f>
        <v>8928.9795999999988</v>
      </c>
      <c r="AA173" s="2">
        <f>T173*Y173</f>
        <v>4228.1499999999996</v>
      </c>
      <c r="AB173" s="2">
        <f t="shared" si="15"/>
        <v>4700.8295999999991</v>
      </c>
      <c r="AC173" s="2">
        <f t="shared" si="16"/>
        <v>0.52646884757133949</v>
      </c>
      <c r="AD173" s="2" t="e">
        <f>_xlfn.PERCENTILE.INC(S:S, 0.33)</f>
        <v>#NUM!</v>
      </c>
      <c r="AE173" s="2" t="e">
        <f>_xlfn.PERCENTILE.INC(S:S, 0.66)</f>
        <v>#NUM!</v>
      </c>
      <c r="AF173" s="30" t="e">
        <f t="shared" si="17"/>
        <v>#NUM!</v>
      </c>
    </row>
    <row r="174" spans="1:32" x14ac:dyDescent="0.3">
      <c r="A174" s="31" t="s">
        <v>187</v>
      </c>
      <c r="B174" s="32">
        <v>44981</v>
      </c>
      <c r="C174" s="47">
        <f>EOMONTH(Table2[[#This Row],[OrderDate]],-1)+1</f>
        <v>44958</v>
      </c>
      <c r="D174" s="45">
        <f>EOMONTH(_xlfn.MINIFS(B174:B804,M174:M804,Table2[[#This Row],[Country]]), -1) + 1</f>
        <v>44927</v>
      </c>
      <c r="E174" s="47"/>
      <c r="F174" s="32" t="str">
        <f>"Q"&amp;ROUNDUP(MONTH(B174)/3,0)&amp;"-"&amp;YEAR(B174)</f>
        <v>Q1-2023</v>
      </c>
      <c r="G174" s="32">
        <v>44994</v>
      </c>
      <c r="H174" s="32">
        <f>IF(G174&lt;B174, B174+3, G174)</f>
        <v>44994</v>
      </c>
      <c r="I174" s="33">
        <f>H174-B174</f>
        <v>13</v>
      </c>
      <c r="J174" s="33">
        <f t="shared" si="12"/>
        <v>0</v>
      </c>
      <c r="K174" s="33">
        <f t="shared" si="13"/>
        <v>0</v>
      </c>
      <c r="L174" s="34" t="s">
        <v>648</v>
      </c>
      <c r="M174" s="34" t="s">
        <v>660</v>
      </c>
      <c r="N174" s="34" t="s">
        <v>700</v>
      </c>
      <c r="O174" s="34" t="s">
        <v>706</v>
      </c>
      <c r="P174" s="34" t="s">
        <v>708</v>
      </c>
      <c r="Q174" s="34" t="s">
        <v>724</v>
      </c>
      <c r="R174" s="34" t="s">
        <v>727</v>
      </c>
      <c r="S174" s="34" t="s">
        <v>906</v>
      </c>
      <c r="T174" s="35">
        <v>6.85</v>
      </c>
      <c r="U174" s="35">
        <v>10.18</v>
      </c>
      <c r="V174" s="35">
        <f t="shared" si="14"/>
        <v>4.7E-2</v>
      </c>
      <c r="W174" s="35">
        <v>4.7E-2</v>
      </c>
      <c r="X174" s="33">
        <f>IF(Table2[[#This Row],[DiscountPct]]&gt;0.2,1,0)</f>
        <v>0</v>
      </c>
      <c r="Y174" s="33">
        <v>10</v>
      </c>
      <c r="Z174" s="30">
        <f>Table2[[#This Row],[UnitPrice]]*Y174*(1-V174)</f>
        <v>97.0154</v>
      </c>
      <c r="AA174" s="31">
        <f>T174*Y174</f>
        <v>68.5</v>
      </c>
      <c r="AB174" s="31">
        <f t="shared" si="15"/>
        <v>28.5154</v>
      </c>
      <c r="AC174" s="31">
        <f t="shared" si="16"/>
        <v>0.2939265312517394</v>
      </c>
      <c r="AD174" s="31" t="e">
        <f>_xlfn.PERCENTILE.INC(S:S, 0.33)</f>
        <v>#NUM!</v>
      </c>
      <c r="AE174" s="31" t="e">
        <f>_xlfn.PERCENTILE.INC(S:S, 0.66)</f>
        <v>#NUM!</v>
      </c>
      <c r="AF174" s="30" t="e">
        <f t="shared" si="17"/>
        <v>#NUM!</v>
      </c>
    </row>
    <row r="175" spans="1:32" x14ac:dyDescent="0.3">
      <c r="A175" s="2" t="s">
        <v>188</v>
      </c>
      <c r="B175" s="4">
        <v>45798</v>
      </c>
      <c r="C175" s="46">
        <f>EOMONTH(Table2[[#This Row],[OrderDate]],-1)+1</f>
        <v>45778</v>
      </c>
      <c r="D175" s="45">
        <f>EOMONTH(_xlfn.MINIFS(B175:B805,M175:M805,Table2[[#This Row],[Country]]), -1) + 1</f>
        <v>44927</v>
      </c>
      <c r="E175" s="46"/>
      <c r="F175" s="4" t="str">
        <f>"Q"&amp;ROUNDUP(MONTH(B175)/3,0)&amp;"-"&amp;YEAR(B175)</f>
        <v>Q2-2025</v>
      </c>
      <c r="G175" s="4">
        <v>45796</v>
      </c>
      <c r="H175" s="4">
        <f>IF(G175&lt;B175, B175+3, G175)</f>
        <v>45801</v>
      </c>
      <c r="I175" s="10">
        <f>H175-B175</f>
        <v>3</v>
      </c>
      <c r="J175" s="10">
        <f t="shared" si="12"/>
        <v>1</v>
      </c>
      <c r="K175" s="10">
        <f t="shared" si="13"/>
        <v>1</v>
      </c>
      <c r="L175" s="6" t="s">
        <v>646</v>
      </c>
      <c r="M175" s="6" t="s">
        <v>661</v>
      </c>
      <c r="N175" s="6" t="s">
        <v>682</v>
      </c>
      <c r="O175" s="6" t="s">
        <v>703</v>
      </c>
      <c r="P175" s="6" t="s">
        <v>710</v>
      </c>
      <c r="Q175" s="6" t="s">
        <v>719</v>
      </c>
      <c r="R175" s="6" t="s">
        <v>731</v>
      </c>
      <c r="S175" s="6" t="s">
        <v>907</v>
      </c>
      <c r="T175" s="8">
        <v>1263.8399999999999</v>
      </c>
      <c r="U175" s="8">
        <v>2281.7199999999998</v>
      </c>
      <c r="V175" s="8">
        <f t="shared" si="14"/>
        <v>7.8E-2</v>
      </c>
      <c r="W175" s="8">
        <v>7.8E-2</v>
      </c>
      <c r="X175" s="10">
        <f>IF(Table2[[#This Row],[DiscountPct]]&gt;0.2,1,0)</f>
        <v>0</v>
      </c>
      <c r="Y175" s="10">
        <v>15</v>
      </c>
      <c r="Z175" s="30">
        <f>Table2[[#This Row],[UnitPrice]]*Y175*(1-V175)</f>
        <v>31556.187599999997</v>
      </c>
      <c r="AA175" s="2">
        <f>T175*Y175</f>
        <v>18957.599999999999</v>
      </c>
      <c r="AB175" s="2">
        <f t="shared" si="15"/>
        <v>12598.587599999999</v>
      </c>
      <c r="AC175" s="2">
        <f t="shared" si="16"/>
        <v>0.39924301882398494</v>
      </c>
      <c r="AD175" s="2" t="e">
        <f>_xlfn.PERCENTILE.INC(S:S, 0.33)</f>
        <v>#NUM!</v>
      </c>
      <c r="AE175" s="2" t="e">
        <f>_xlfn.PERCENTILE.INC(S:S, 0.66)</f>
        <v>#NUM!</v>
      </c>
      <c r="AF175" s="30" t="e">
        <f t="shared" si="17"/>
        <v>#NUM!</v>
      </c>
    </row>
    <row r="176" spans="1:32" x14ac:dyDescent="0.3">
      <c r="A176" s="31" t="s">
        <v>189</v>
      </c>
      <c r="B176" s="32">
        <v>45435</v>
      </c>
      <c r="C176" s="47">
        <f>EOMONTH(Table2[[#This Row],[OrderDate]],-1)+1</f>
        <v>45413</v>
      </c>
      <c r="D176" s="45">
        <f>EOMONTH(_xlfn.MINIFS(B176:B806,M176:M806,Table2[[#This Row],[Country]]), -1) + 1</f>
        <v>44927</v>
      </c>
      <c r="E176" s="47"/>
      <c r="F176" s="32" t="str">
        <f>"Q"&amp;ROUNDUP(MONTH(B176)/3,0)&amp;"-"&amp;YEAR(B176)</f>
        <v>Q2-2024</v>
      </c>
      <c r="G176" s="32">
        <v>45446</v>
      </c>
      <c r="H176" s="32">
        <f>IF(G176&lt;B176, B176+3, G176)</f>
        <v>45446</v>
      </c>
      <c r="I176" s="33">
        <f>H176-B176</f>
        <v>11</v>
      </c>
      <c r="J176" s="33">
        <f t="shared" si="12"/>
        <v>0</v>
      </c>
      <c r="K176" s="33">
        <f t="shared" si="13"/>
        <v>0</v>
      </c>
      <c r="L176" s="34" t="s">
        <v>646</v>
      </c>
      <c r="M176" s="34" t="s">
        <v>661</v>
      </c>
      <c r="N176" s="34" t="s">
        <v>682</v>
      </c>
      <c r="O176" s="34" t="s">
        <v>705</v>
      </c>
      <c r="P176" s="34" t="s">
        <v>710</v>
      </c>
      <c r="Q176" s="34" t="s">
        <v>721</v>
      </c>
      <c r="R176" s="34" t="s">
        <v>728</v>
      </c>
      <c r="S176" s="34" t="s">
        <v>908</v>
      </c>
      <c r="T176" s="35">
        <v>180.89</v>
      </c>
      <c r="U176" s="35">
        <v>249.57</v>
      </c>
      <c r="V176" s="35">
        <f t="shared" si="14"/>
        <v>2.1999999999999999E-2</v>
      </c>
      <c r="W176" s="35">
        <v>2.1999999999999999E-2</v>
      </c>
      <c r="X176" s="33">
        <f>IF(Table2[[#This Row],[DiscountPct]]&gt;0.2,1,0)</f>
        <v>0</v>
      </c>
      <c r="Y176" s="33">
        <v>8</v>
      </c>
      <c r="Z176" s="30">
        <f>Table2[[#This Row],[UnitPrice]]*Y176*(1-V176)</f>
        <v>1952.6356799999999</v>
      </c>
      <c r="AA176" s="31">
        <f>T176*Y176</f>
        <v>1447.12</v>
      </c>
      <c r="AB176" s="31">
        <f t="shared" si="15"/>
        <v>505.51567999999997</v>
      </c>
      <c r="AC176" s="31">
        <f t="shared" si="16"/>
        <v>0.25888888806948362</v>
      </c>
      <c r="AD176" s="31" t="e">
        <f>_xlfn.PERCENTILE.INC(S:S, 0.33)</f>
        <v>#NUM!</v>
      </c>
      <c r="AE176" s="31" t="e">
        <f>_xlfn.PERCENTILE.INC(S:S, 0.66)</f>
        <v>#NUM!</v>
      </c>
      <c r="AF176" s="30" t="e">
        <f t="shared" si="17"/>
        <v>#NUM!</v>
      </c>
    </row>
    <row r="177" spans="1:32" x14ac:dyDescent="0.3">
      <c r="A177" s="2" t="s">
        <v>190</v>
      </c>
      <c r="B177" s="4">
        <v>45761</v>
      </c>
      <c r="C177" s="46">
        <f>EOMONTH(Table2[[#This Row],[OrderDate]],-1)+1</f>
        <v>45748</v>
      </c>
      <c r="D177" s="45">
        <f>EOMONTH(_xlfn.MINIFS(B177:B807,M177:M807,Table2[[#This Row],[Country]]), -1) + 1</f>
        <v>44927</v>
      </c>
      <c r="E177" s="46"/>
      <c r="F177" s="4" t="str">
        <f>"Q"&amp;ROUNDUP(MONTH(B177)/3,0)&amp;"-"&amp;YEAR(B177)</f>
        <v>Q2-2025</v>
      </c>
      <c r="G177" s="4">
        <v>45781</v>
      </c>
      <c r="H177" s="4">
        <f>IF(G177&lt;B177, B177+3, G177)</f>
        <v>45781</v>
      </c>
      <c r="I177" s="10">
        <f>H177-B177</f>
        <v>20</v>
      </c>
      <c r="J177" s="10">
        <f t="shared" si="12"/>
        <v>0</v>
      </c>
      <c r="K177" s="10">
        <f t="shared" si="13"/>
        <v>0</v>
      </c>
      <c r="L177" s="6" t="s">
        <v>649</v>
      </c>
      <c r="M177" s="6" t="s">
        <v>658</v>
      </c>
      <c r="N177" s="6" t="s">
        <v>674</v>
      </c>
      <c r="O177" s="6" t="s">
        <v>706</v>
      </c>
      <c r="P177" s="6" t="s">
        <v>709</v>
      </c>
      <c r="Q177" s="6" t="s">
        <v>723</v>
      </c>
      <c r="R177" s="6" t="s">
        <v>732</v>
      </c>
      <c r="S177" s="6" t="s">
        <v>909</v>
      </c>
      <c r="T177" s="8">
        <v>1413.87</v>
      </c>
      <c r="U177" s="8">
        <v>3275</v>
      </c>
      <c r="V177" s="8">
        <f t="shared" si="14"/>
        <v>0.255</v>
      </c>
      <c r="W177" s="8">
        <v>0.255</v>
      </c>
      <c r="X177" s="10">
        <f>IF(Table2[[#This Row],[DiscountPct]]&gt;0.2,1,0)</f>
        <v>1</v>
      </c>
      <c r="Y177" s="10">
        <v>38</v>
      </c>
      <c r="Z177" s="30">
        <f>Table2[[#This Row],[UnitPrice]]*Y177*(1-V177)</f>
        <v>92715.25</v>
      </c>
      <c r="AA177" s="2">
        <f>T177*Y177</f>
        <v>53727.06</v>
      </c>
      <c r="AB177" s="2">
        <f t="shared" si="15"/>
        <v>38988.19</v>
      </c>
      <c r="AC177" s="2">
        <f t="shared" si="16"/>
        <v>0.42051539525590453</v>
      </c>
      <c r="AD177" s="2" t="e">
        <f>_xlfn.PERCENTILE.INC(S:S, 0.33)</f>
        <v>#NUM!</v>
      </c>
      <c r="AE177" s="2" t="e">
        <f>_xlfn.PERCENTILE.INC(S:S, 0.66)</f>
        <v>#NUM!</v>
      </c>
      <c r="AF177" s="30" t="e">
        <f t="shared" si="17"/>
        <v>#NUM!</v>
      </c>
    </row>
    <row r="178" spans="1:32" x14ac:dyDescent="0.3">
      <c r="A178" s="31" t="s">
        <v>191</v>
      </c>
      <c r="B178" s="32">
        <v>45165</v>
      </c>
      <c r="C178" s="47">
        <f>EOMONTH(Table2[[#This Row],[OrderDate]],-1)+1</f>
        <v>45139</v>
      </c>
      <c r="D178" s="45">
        <f>EOMONTH(_xlfn.MINIFS(B178:B808,M178:M808,Table2[[#This Row],[Country]]), -1) + 1</f>
        <v>44927</v>
      </c>
      <c r="E178" s="47"/>
      <c r="F178" s="32" t="str">
        <f>"Q"&amp;ROUNDUP(MONTH(B178)/3,0)&amp;"-"&amp;YEAR(B178)</f>
        <v>Q3-2023</v>
      </c>
      <c r="G178" s="32">
        <v>45180</v>
      </c>
      <c r="H178" s="32">
        <f>IF(G178&lt;B178, B178+3, G178)</f>
        <v>45180</v>
      </c>
      <c r="I178" s="33">
        <f>H178-B178</f>
        <v>15</v>
      </c>
      <c r="J178" s="33">
        <f t="shared" si="12"/>
        <v>0</v>
      </c>
      <c r="K178" s="33">
        <f t="shared" si="13"/>
        <v>0</v>
      </c>
      <c r="L178" s="34" t="s">
        <v>649</v>
      </c>
      <c r="M178" s="34" t="s">
        <v>658</v>
      </c>
      <c r="N178" s="34" t="s">
        <v>683</v>
      </c>
      <c r="O178" s="34" t="s">
        <v>704</v>
      </c>
      <c r="P178" s="34" t="s">
        <v>709</v>
      </c>
      <c r="Q178" s="34" t="s">
        <v>725</v>
      </c>
      <c r="R178" s="34" t="s">
        <v>728</v>
      </c>
      <c r="S178" s="34" t="s">
        <v>910</v>
      </c>
      <c r="T178" s="35">
        <v>943.79</v>
      </c>
      <c r="U178" s="35">
        <v>1913.76</v>
      </c>
      <c r="V178" s="35">
        <f t="shared" si="14"/>
        <v>9.0999999999999998E-2</v>
      </c>
      <c r="W178" s="35">
        <v>9.0999999999999998E-2</v>
      </c>
      <c r="X178" s="33">
        <f>IF(Table2[[#This Row],[DiscountPct]]&gt;0.2,1,0)</f>
        <v>0</v>
      </c>
      <c r="Y178" s="33">
        <v>9</v>
      </c>
      <c r="Z178" s="30">
        <f>Table2[[#This Row],[UnitPrice]]*Y178*(1-V178)</f>
        <v>15656.47056</v>
      </c>
      <c r="AA178" s="31">
        <f>T178*Y178</f>
        <v>8494.11</v>
      </c>
      <c r="AB178" s="31">
        <f t="shared" si="15"/>
        <v>7162.3605599999992</v>
      </c>
      <c r="AC178" s="31">
        <f t="shared" si="16"/>
        <v>0.45746967891338081</v>
      </c>
      <c r="AD178" s="31" t="e">
        <f>_xlfn.PERCENTILE.INC(S:S, 0.33)</f>
        <v>#NUM!</v>
      </c>
      <c r="AE178" s="31" t="e">
        <f>_xlfn.PERCENTILE.INC(S:S, 0.66)</f>
        <v>#NUM!</v>
      </c>
      <c r="AF178" s="30" t="e">
        <f t="shared" si="17"/>
        <v>#NUM!</v>
      </c>
    </row>
    <row r="179" spans="1:32" x14ac:dyDescent="0.3">
      <c r="A179" s="2" t="s">
        <v>192</v>
      </c>
      <c r="B179" s="4">
        <v>45325</v>
      </c>
      <c r="C179" s="46">
        <f>EOMONTH(Table2[[#This Row],[OrderDate]],-1)+1</f>
        <v>45323</v>
      </c>
      <c r="D179" s="45">
        <f>EOMONTH(_xlfn.MINIFS(B179:B809,M179:M809,Table2[[#This Row],[Country]]), -1) + 1</f>
        <v>44927</v>
      </c>
      <c r="E179" s="46"/>
      <c r="F179" s="4" t="str">
        <f>"Q"&amp;ROUNDUP(MONTH(B179)/3,0)&amp;"-"&amp;YEAR(B179)</f>
        <v>Q1-2024</v>
      </c>
      <c r="G179" s="4">
        <v>45343</v>
      </c>
      <c r="H179" s="4">
        <f>IF(G179&lt;B179, B179+3, G179)</f>
        <v>45343</v>
      </c>
      <c r="I179" s="10">
        <f>H179-B179</f>
        <v>18</v>
      </c>
      <c r="J179" s="10">
        <f t="shared" si="12"/>
        <v>0</v>
      </c>
      <c r="K179" s="10">
        <f t="shared" si="13"/>
        <v>0</v>
      </c>
      <c r="L179" s="6" t="s">
        <v>649</v>
      </c>
      <c r="M179" s="6" t="s">
        <v>656</v>
      </c>
      <c r="N179" s="6" t="s">
        <v>698</v>
      </c>
      <c r="O179" s="6" t="s">
        <v>701</v>
      </c>
      <c r="P179" s="6" t="s">
        <v>707</v>
      </c>
      <c r="Q179" s="6" t="s">
        <v>722</v>
      </c>
      <c r="R179" s="6" t="s">
        <v>727</v>
      </c>
      <c r="S179" s="6" t="s">
        <v>911</v>
      </c>
      <c r="T179" s="8">
        <v>39.229999999999997</v>
      </c>
      <c r="U179" s="8">
        <v>30.09</v>
      </c>
      <c r="V179" s="8">
        <f t="shared" si="14"/>
        <v>0.17699999999999999</v>
      </c>
      <c r="W179" s="8">
        <v>0.17699999999999999</v>
      </c>
      <c r="X179" s="10">
        <f>IF(Table2[[#This Row],[DiscountPct]]&gt;0.2,1,0)</f>
        <v>0</v>
      </c>
      <c r="Y179" s="10">
        <v>13</v>
      </c>
      <c r="Z179" s="30">
        <f>Table2[[#This Row],[UnitPrice]]*Y179*(1-V179)</f>
        <v>321.93290999999999</v>
      </c>
      <c r="AA179" s="2">
        <f>T179*Y179</f>
        <v>509.98999999999995</v>
      </c>
      <c r="AB179" s="2">
        <f t="shared" si="15"/>
        <v>-188.05708999999996</v>
      </c>
      <c r="AC179" s="2">
        <f t="shared" si="16"/>
        <v>-0.58414993981199359</v>
      </c>
      <c r="AD179" s="2" t="e">
        <f>_xlfn.PERCENTILE.INC(S:S, 0.33)</f>
        <v>#NUM!</v>
      </c>
      <c r="AE179" s="2" t="e">
        <f>_xlfn.PERCENTILE.INC(S:S, 0.66)</f>
        <v>#NUM!</v>
      </c>
      <c r="AF179" s="30" t="e">
        <f t="shared" si="17"/>
        <v>#NUM!</v>
      </c>
    </row>
    <row r="180" spans="1:32" x14ac:dyDescent="0.3">
      <c r="A180" s="31" t="s">
        <v>193</v>
      </c>
      <c r="B180" s="32">
        <v>45021</v>
      </c>
      <c r="C180" s="47">
        <f>EOMONTH(Table2[[#This Row],[OrderDate]],-1)+1</f>
        <v>45017</v>
      </c>
      <c r="D180" s="45">
        <f>EOMONTH(_xlfn.MINIFS(B180:B810,M180:M810,Table2[[#This Row],[Country]]), -1) + 1</f>
        <v>44986</v>
      </c>
      <c r="E180" s="47"/>
      <c r="F180" s="32" t="str">
        <f>"Q"&amp;ROUNDUP(MONTH(B180)/3,0)&amp;"-"&amp;YEAR(B180)</f>
        <v>Q2-2023</v>
      </c>
      <c r="G180" s="32">
        <v>45032</v>
      </c>
      <c r="H180" s="32">
        <f>IF(G180&lt;B180, B180+3, G180)</f>
        <v>45032</v>
      </c>
      <c r="I180" s="33">
        <f>H180-B180</f>
        <v>11</v>
      </c>
      <c r="J180" s="33">
        <f t="shared" si="12"/>
        <v>0</v>
      </c>
      <c r="K180" s="33">
        <f t="shared" si="13"/>
        <v>0</v>
      </c>
      <c r="L180" s="34" t="s">
        <v>648</v>
      </c>
      <c r="M180" s="34" t="s">
        <v>653</v>
      </c>
      <c r="N180" s="34" t="s">
        <v>688</v>
      </c>
      <c r="O180" s="34" t="s">
        <v>703</v>
      </c>
      <c r="P180" s="34" t="s">
        <v>708</v>
      </c>
      <c r="Q180" s="34" t="s">
        <v>719</v>
      </c>
      <c r="R180" s="34" t="s">
        <v>732</v>
      </c>
      <c r="S180" s="34" t="s">
        <v>912</v>
      </c>
      <c r="T180" s="35">
        <v>213.1</v>
      </c>
      <c r="U180" s="35">
        <v>501.31</v>
      </c>
      <c r="V180" s="35">
        <f t="shared" si="14"/>
        <v>5.6000000000000001E-2</v>
      </c>
      <c r="W180" s="35">
        <v>5.6000000000000001E-2</v>
      </c>
      <c r="X180" s="33">
        <f>IF(Table2[[#This Row],[DiscountPct]]&gt;0.2,1,0)</f>
        <v>0</v>
      </c>
      <c r="Y180" s="33">
        <v>15</v>
      </c>
      <c r="Z180" s="30">
        <f>Table2[[#This Row],[UnitPrice]]*Y180*(1-V180)</f>
        <v>7098.5495999999994</v>
      </c>
      <c r="AA180" s="31">
        <f>T180*Y180</f>
        <v>3196.5</v>
      </c>
      <c r="AB180" s="31">
        <f t="shared" si="15"/>
        <v>3902.0495999999994</v>
      </c>
      <c r="AC180" s="31">
        <f t="shared" si="16"/>
        <v>0.54969674368409005</v>
      </c>
      <c r="AD180" s="31" t="e">
        <f>_xlfn.PERCENTILE.INC(S:S, 0.33)</f>
        <v>#NUM!</v>
      </c>
      <c r="AE180" s="31" t="e">
        <f>_xlfn.PERCENTILE.INC(S:S, 0.66)</f>
        <v>#NUM!</v>
      </c>
      <c r="AF180" s="30" t="e">
        <f t="shared" si="17"/>
        <v>#NUM!</v>
      </c>
    </row>
    <row r="181" spans="1:32" x14ac:dyDescent="0.3">
      <c r="A181" s="2" t="s">
        <v>194</v>
      </c>
      <c r="B181" s="4">
        <v>45890</v>
      </c>
      <c r="C181" s="46">
        <f>EOMONTH(Table2[[#This Row],[OrderDate]],-1)+1</f>
        <v>45870</v>
      </c>
      <c r="D181" s="45">
        <f>EOMONTH(_xlfn.MINIFS(B181:B811,M181:M811,Table2[[#This Row],[Country]]), -1) + 1</f>
        <v>44927</v>
      </c>
      <c r="E181" s="46"/>
      <c r="F181" s="4" t="str">
        <f>"Q"&amp;ROUNDUP(MONTH(B181)/3,0)&amp;"-"&amp;YEAR(B181)</f>
        <v>Q3-2025</v>
      </c>
      <c r="G181" s="4">
        <v>45912</v>
      </c>
      <c r="H181" s="4">
        <f>IF(G181&lt;B181, B181+3, G181)</f>
        <v>45912</v>
      </c>
      <c r="I181" s="10">
        <f>H181-B181</f>
        <v>22</v>
      </c>
      <c r="J181" s="10">
        <f t="shared" si="12"/>
        <v>0</v>
      </c>
      <c r="K181" s="10">
        <f t="shared" si="13"/>
        <v>0</v>
      </c>
      <c r="L181" s="6" t="s">
        <v>647</v>
      </c>
      <c r="M181" s="6" t="s">
        <v>659</v>
      </c>
      <c r="N181" s="6" t="s">
        <v>676</v>
      </c>
      <c r="O181" s="6" t="s">
        <v>702</v>
      </c>
      <c r="P181" s="6" t="s">
        <v>707</v>
      </c>
      <c r="Q181" s="6" t="s">
        <v>717</v>
      </c>
      <c r="R181" s="6" t="s">
        <v>728</v>
      </c>
      <c r="S181" s="6" t="s">
        <v>913</v>
      </c>
      <c r="T181" s="8">
        <v>352.66</v>
      </c>
      <c r="U181" s="8">
        <v>411.18</v>
      </c>
      <c r="V181" s="8">
        <f t="shared" si="14"/>
        <v>0.17299999999999999</v>
      </c>
      <c r="W181" s="8">
        <v>0.17299999999999999</v>
      </c>
      <c r="X181" s="10">
        <f>IF(Table2[[#This Row],[DiscountPct]]&gt;0.2,1,0)</f>
        <v>0</v>
      </c>
      <c r="Y181" s="10">
        <v>13</v>
      </c>
      <c r="Z181" s="30">
        <f>Table2[[#This Row],[UnitPrice]]*Y181*(1-V181)</f>
        <v>4420.5961799999995</v>
      </c>
      <c r="AA181" s="2">
        <f>T181*Y181</f>
        <v>4584.58</v>
      </c>
      <c r="AB181" s="2">
        <f t="shared" si="15"/>
        <v>-163.98382000000038</v>
      </c>
      <c r="AC181" s="2">
        <f t="shared" si="16"/>
        <v>-3.7095408248758066E-2</v>
      </c>
      <c r="AD181" s="2" t="e">
        <f>_xlfn.PERCENTILE.INC(S:S, 0.33)</f>
        <v>#NUM!</v>
      </c>
      <c r="AE181" s="2" t="e">
        <f>_xlfn.PERCENTILE.INC(S:S, 0.66)</f>
        <v>#NUM!</v>
      </c>
      <c r="AF181" s="30" t="e">
        <f t="shared" si="17"/>
        <v>#NUM!</v>
      </c>
    </row>
    <row r="182" spans="1:32" x14ac:dyDescent="0.3">
      <c r="A182" s="31" t="s">
        <v>195</v>
      </c>
      <c r="B182" s="32">
        <v>45915</v>
      </c>
      <c r="C182" s="47">
        <f>EOMONTH(Table2[[#This Row],[OrderDate]],-1)+1</f>
        <v>45901</v>
      </c>
      <c r="D182" s="45">
        <f>EOMONTH(_xlfn.MINIFS(B182:B812,M182:M812,Table2[[#This Row],[Country]]), -1) + 1</f>
        <v>44927</v>
      </c>
      <c r="E182" s="47"/>
      <c r="F182" s="32" t="str">
        <f>"Q"&amp;ROUNDUP(MONTH(B182)/3,0)&amp;"-"&amp;YEAR(B182)</f>
        <v>Q3-2025</v>
      </c>
      <c r="G182" s="32">
        <v>45918</v>
      </c>
      <c r="H182" s="32">
        <f>IF(G182&lt;B182, B182+3, G182)</f>
        <v>45918</v>
      </c>
      <c r="I182" s="33">
        <f>H182-B182</f>
        <v>3</v>
      </c>
      <c r="J182" s="33">
        <f t="shared" si="12"/>
        <v>1</v>
      </c>
      <c r="K182" s="33">
        <f t="shared" si="13"/>
        <v>1</v>
      </c>
      <c r="L182" s="34" t="s">
        <v>648</v>
      </c>
      <c r="M182" s="34" t="s">
        <v>655</v>
      </c>
      <c r="N182" s="34" t="s">
        <v>692</v>
      </c>
      <c r="O182" s="34" t="s">
        <v>703</v>
      </c>
      <c r="P182" s="34" t="s">
        <v>711</v>
      </c>
      <c r="Q182" s="34" t="s">
        <v>716</v>
      </c>
      <c r="R182" s="34" t="s">
        <v>733</v>
      </c>
      <c r="S182" s="34" t="s">
        <v>914</v>
      </c>
      <c r="T182" s="35">
        <v>5.5</v>
      </c>
      <c r="U182" s="35">
        <v>5.92</v>
      </c>
      <c r="V182" s="35">
        <f t="shared" si="14"/>
        <v>0.21199999999999999</v>
      </c>
      <c r="W182" s="35">
        <v>0.21199999999999999</v>
      </c>
      <c r="X182" s="33">
        <f>IF(Table2[[#This Row],[DiscountPct]]&gt;0.2,1,0)</f>
        <v>1</v>
      </c>
      <c r="Y182" s="33">
        <v>4</v>
      </c>
      <c r="Z182" s="30">
        <f>Table2[[#This Row],[UnitPrice]]*Y182*(1-V182)</f>
        <v>18.659839999999999</v>
      </c>
      <c r="AA182" s="31">
        <f>T182*Y182</f>
        <v>22</v>
      </c>
      <c r="AB182" s="31">
        <f t="shared" si="15"/>
        <v>-3.3401600000000009</v>
      </c>
      <c r="AC182" s="31">
        <f t="shared" si="16"/>
        <v>-0.17900260666758133</v>
      </c>
      <c r="AD182" s="31" t="e">
        <f>_xlfn.PERCENTILE.INC(S:S, 0.33)</f>
        <v>#NUM!</v>
      </c>
      <c r="AE182" s="31" t="e">
        <f>_xlfn.PERCENTILE.INC(S:S, 0.66)</f>
        <v>#NUM!</v>
      </c>
      <c r="AF182" s="30" t="e">
        <f t="shared" si="17"/>
        <v>#NUM!</v>
      </c>
    </row>
    <row r="183" spans="1:32" x14ac:dyDescent="0.3">
      <c r="A183" s="2" t="s">
        <v>196</v>
      </c>
      <c r="B183" s="4">
        <v>45568</v>
      </c>
      <c r="C183" s="46">
        <f>EOMONTH(Table2[[#This Row],[OrderDate]],-1)+1</f>
        <v>45566</v>
      </c>
      <c r="D183" s="45">
        <f>EOMONTH(_xlfn.MINIFS(B183:B813,M183:M813,Table2[[#This Row],[Country]]), -1) + 1</f>
        <v>44927</v>
      </c>
      <c r="E183" s="46"/>
      <c r="F183" s="4" t="str">
        <f>"Q"&amp;ROUNDUP(MONTH(B183)/3,0)&amp;"-"&amp;YEAR(B183)</f>
        <v>Q4-2024</v>
      </c>
      <c r="G183" s="4">
        <v>45576</v>
      </c>
      <c r="H183" s="4">
        <f>IF(G183&lt;B183, B183+3, G183)</f>
        <v>45576</v>
      </c>
      <c r="I183" s="10">
        <f>H183-B183</f>
        <v>8</v>
      </c>
      <c r="J183" s="10">
        <f t="shared" si="12"/>
        <v>0</v>
      </c>
      <c r="K183" s="10">
        <f t="shared" si="13"/>
        <v>0</v>
      </c>
      <c r="L183" s="6" t="s">
        <v>647</v>
      </c>
      <c r="M183" s="6" t="s">
        <v>659</v>
      </c>
      <c r="N183" s="6" t="s">
        <v>699</v>
      </c>
      <c r="O183" s="6" t="s">
        <v>706</v>
      </c>
      <c r="P183" s="6" t="s">
        <v>711</v>
      </c>
      <c r="Q183" s="6" t="s">
        <v>717</v>
      </c>
      <c r="R183" s="6" t="s">
        <v>730</v>
      </c>
      <c r="S183" s="6" t="s">
        <v>915</v>
      </c>
      <c r="T183" s="8">
        <v>1132.6099999999999</v>
      </c>
      <c r="U183" s="8">
        <v>2206.63</v>
      </c>
      <c r="V183" s="8">
        <f t="shared" si="14"/>
        <v>6.3E-2</v>
      </c>
      <c r="W183" s="8">
        <v>6.3E-2</v>
      </c>
      <c r="X183" s="10">
        <f>IF(Table2[[#This Row],[DiscountPct]]&gt;0.2,1,0)</f>
        <v>0</v>
      </c>
      <c r="Y183" s="10">
        <v>20</v>
      </c>
      <c r="Z183" s="30">
        <f>Table2[[#This Row],[UnitPrice]]*Y183*(1-V183)</f>
        <v>41352.246200000009</v>
      </c>
      <c r="AA183" s="2">
        <f>T183*Y183</f>
        <v>22652.199999999997</v>
      </c>
      <c r="AB183" s="2">
        <f t="shared" si="15"/>
        <v>18700.046200000012</v>
      </c>
      <c r="AC183" s="2">
        <f t="shared" si="16"/>
        <v>0.45221355351671338</v>
      </c>
      <c r="AD183" s="2" t="e">
        <f>_xlfn.PERCENTILE.INC(S:S, 0.33)</f>
        <v>#NUM!</v>
      </c>
      <c r="AE183" s="2" t="e">
        <f>_xlfn.PERCENTILE.INC(S:S, 0.66)</f>
        <v>#NUM!</v>
      </c>
      <c r="AF183" s="30" t="e">
        <f t="shared" si="17"/>
        <v>#NUM!</v>
      </c>
    </row>
    <row r="184" spans="1:32" x14ac:dyDescent="0.3">
      <c r="A184" s="31" t="s">
        <v>197</v>
      </c>
      <c r="B184" s="32">
        <v>45690</v>
      </c>
      <c r="C184" s="47">
        <f>EOMONTH(Table2[[#This Row],[OrderDate]],-1)+1</f>
        <v>45689</v>
      </c>
      <c r="D184" s="45">
        <f>EOMONTH(_xlfn.MINIFS(B184:B814,M184:M814,Table2[[#This Row],[Country]]), -1) + 1</f>
        <v>44986</v>
      </c>
      <c r="E184" s="47"/>
      <c r="F184" s="32" t="str">
        <f>"Q"&amp;ROUNDUP(MONTH(B184)/3,0)&amp;"-"&amp;YEAR(B184)</f>
        <v>Q1-2025</v>
      </c>
      <c r="G184" s="32">
        <v>45720</v>
      </c>
      <c r="H184" s="32">
        <f>IF(G184&lt;B184, B184+3, G184)</f>
        <v>45720</v>
      </c>
      <c r="I184" s="33">
        <f>H184-B184</f>
        <v>30</v>
      </c>
      <c r="J184" s="33">
        <f t="shared" si="12"/>
        <v>0</v>
      </c>
      <c r="K184" s="33">
        <f t="shared" si="13"/>
        <v>0</v>
      </c>
      <c r="L184" s="34" t="s">
        <v>647</v>
      </c>
      <c r="M184" s="34" t="s">
        <v>652</v>
      </c>
      <c r="N184" s="34" t="s">
        <v>666</v>
      </c>
      <c r="O184" s="34" t="s">
        <v>702</v>
      </c>
      <c r="P184" s="34" t="s">
        <v>710</v>
      </c>
      <c r="Q184" s="34" t="s">
        <v>716</v>
      </c>
      <c r="R184" s="34" t="s">
        <v>733</v>
      </c>
      <c r="S184" s="34" t="s">
        <v>916</v>
      </c>
      <c r="T184" s="35">
        <v>766.59</v>
      </c>
      <c r="U184" s="35">
        <v>1912.8</v>
      </c>
      <c r="V184" s="35">
        <f t="shared" si="14"/>
        <v>0.19600000000000001</v>
      </c>
      <c r="W184" s="35">
        <v>0.19600000000000001</v>
      </c>
      <c r="X184" s="33">
        <f>IF(Table2[[#This Row],[DiscountPct]]&gt;0.2,1,0)</f>
        <v>0</v>
      </c>
      <c r="Y184" s="33">
        <v>5</v>
      </c>
      <c r="Z184" s="30">
        <f>Table2[[#This Row],[UnitPrice]]*Y184*(1-V184)</f>
        <v>7689.4560000000001</v>
      </c>
      <c r="AA184" s="31">
        <f>T184*Y184</f>
        <v>3832.9500000000003</v>
      </c>
      <c r="AB184" s="31">
        <f t="shared" si="15"/>
        <v>3856.5059999999999</v>
      </c>
      <c r="AC184" s="31">
        <f t="shared" si="16"/>
        <v>0.50153170783472845</v>
      </c>
      <c r="AD184" s="31" t="e">
        <f>_xlfn.PERCENTILE.INC(S:S, 0.33)</f>
        <v>#NUM!</v>
      </c>
      <c r="AE184" s="31" t="e">
        <f>_xlfn.PERCENTILE.INC(S:S, 0.66)</f>
        <v>#NUM!</v>
      </c>
      <c r="AF184" s="30" t="e">
        <f t="shared" si="17"/>
        <v>#NUM!</v>
      </c>
    </row>
    <row r="185" spans="1:32" x14ac:dyDescent="0.3">
      <c r="A185" s="2" t="s">
        <v>198</v>
      </c>
      <c r="B185" s="4">
        <v>45157</v>
      </c>
      <c r="C185" s="46">
        <f>EOMONTH(Table2[[#This Row],[OrderDate]],-1)+1</f>
        <v>45139</v>
      </c>
      <c r="D185" s="45">
        <f>EOMONTH(_xlfn.MINIFS(B185:B815,M185:M815,Table2[[#This Row],[Country]]), -1) + 1</f>
        <v>44958</v>
      </c>
      <c r="E185" s="46"/>
      <c r="F185" s="4" t="str">
        <f>"Q"&amp;ROUNDUP(MONTH(B185)/3,0)&amp;"-"&amp;YEAR(B185)</f>
        <v>Q3-2023</v>
      </c>
      <c r="G185" s="4">
        <v>45161</v>
      </c>
      <c r="H185" s="4">
        <f>IF(G185&lt;B185, B185+3, G185)</f>
        <v>45161</v>
      </c>
      <c r="I185" s="10">
        <f>H185-B185</f>
        <v>4</v>
      </c>
      <c r="J185" s="10">
        <f t="shared" si="12"/>
        <v>1</v>
      </c>
      <c r="K185" s="10">
        <f t="shared" si="13"/>
        <v>1</v>
      </c>
      <c r="L185" s="6" t="s">
        <v>646</v>
      </c>
      <c r="M185" s="6" t="s">
        <v>651</v>
      </c>
      <c r="N185" s="6" t="s">
        <v>669</v>
      </c>
      <c r="O185" s="6" t="s">
        <v>705</v>
      </c>
      <c r="P185" s="6" t="s">
        <v>708</v>
      </c>
      <c r="Q185" s="6" t="s">
        <v>713</v>
      </c>
      <c r="R185" s="6" t="s">
        <v>732</v>
      </c>
      <c r="S185" s="6" t="s">
        <v>917</v>
      </c>
      <c r="T185" s="8">
        <v>790.63</v>
      </c>
      <c r="U185" s="8">
        <v>1382.31</v>
      </c>
      <c r="V185" s="8">
        <f t="shared" si="14"/>
        <v>0.10100000000000001</v>
      </c>
      <c r="W185" s="8">
        <v>0.10100000000000001</v>
      </c>
      <c r="X185" s="10">
        <f>IF(Table2[[#This Row],[DiscountPct]]&gt;0.2,1,0)</f>
        <v>0</v>
      </c>
      <c r="Y185" s="10">
        <v>7</v>
      </c>
      <c r="Z185" s="30">
        <f>Table2[[#This Row],[UnitPrice]]*Y185*(1-V185)</f>
        <v>8698.8768300000011</v>
      </c>
      <c r="AA185" s="2">
        <f>T185*Y185</f>
        <v>5534.41</v>
      </c>
      <c r="AB185" s="2">
        <f t="shared" si="15"/>
        <v>3164.4668300000012</v>
      </c>
      <c r="AC185" s="2">
        <f t="shared" si="16"/>
        <v>0.36377878338116448</v>
      </c>
      <c r="AD185" s="2" t="e">
        <f>_xlfn.PERCENTILE.INC(S:S, 0.33)</f>
        <v>#NUM!</v>
      </c>
      <c r="AE185" s="2" t="e">
        <f>_xlfn.PERCENTILE.INC(S:S, 0.66)</f>
        <v>#NUM!</v>
      </c>
      <c r="AF185" s="30" t="e">
        <f t="shared" si="17"/>
        <v>#NUM!</v>
      </c>
    </row>
    <row r="186" spans="1:32" x14ac:dyDescent="0.3">
      <c r="A186" s="31" t="s">
        <v>199</v>
      </c>
      <c r="B186" s="32">
        <v>45587</v>
      </c>
      <c r="C186" s="47">
        <f>EOMONTH(Table2[[#This Row],[OrderDate]],-1)+1</f>
        <v>45566</v>
      </c>
      <c r="D186" s="45">
        <f>EOMONTH(_xlfn.MINIFS(B186:B816,M186:M816,Table2[[#This Row],[Country]]), -1) + 1</f>
        <v>44958</v>
      </c>
      <c r="E186" s="47"/>
      <c r="F186" s="32" t="str">
        <f>"Q"&amp;ROUNDUP(MONTH(B186)/3,0)&amp;"-"&amp;YEAR(B186)</f>
        <v>Q4-2024</v>
      </c>
      <c r="G186" s="32">
        <v>45594</v>
      </c>
      <c r="H186" s="32">
        <f>IF(G186&lt;B186, B186+3, G186)</f>
        <v>45594</v>
      </c>
      <c r="I186" s="33">
        <f>H186-B186</f>
        <v>7</v>
      </c>
      <c r="J186" s="33">
        <f t="shared" si="12"/>
        <v>1</v>
      </c>
      <c r="K186" s="33">
        <f t="shared" si="13"/>
        <v>1</v>
      </c>
      <c r="L186" s="34" t="s">
        <v>646</v>
      </c>
      <c r="M186" s="34" t="s">
        <v>651</v>
      </c>
      <c r="N186" s="34" t="s">
        <v>663</v>
      </c>
      <c r="O186" s="34" t="s">
        <v>706</v>
      </c>
      <c r="P186" s="34" t="s">
        <v>710</v>
      </c>
      <c r="Q186" s="34" t="s">
        <v>724</v>
      </c>
      <c r="R186" s="34" t="s">
        <v>732</v>
      </c>
      <c r="S186" s="34" t="s">
        <v>918</v>
      </c>
      <c r="T186" s="35">
        <v>1023.06</v>
      </c>
      <c r="U186" s="35">
        <v>1355.61</v>
      </c>
      <c r="V186" s="35">
        <f t="shared" si="14"/>
        <v>0.153</v>
      </c>
      <c r="W186" s="35">
        <v>0.153</v>
      </c>
      <c r="X186" s="33">
        <f>IF(Table2[[#This Row],[DiscountPct]]&gt;0.2,1,0)</f>
        <v>0</v>
      </c>
      <c r="Y186" s="33">
        <v>23</v>
      </c>
      <c r="Z186" s="30">
        <f>Table2[[#This Row],[UnitPrice]]*Y186*(1-V186)</f>
        <v>26408.63841</v>
      </c>
      <c r="AA186" s="31">
        <f>T186*Y186</f>
        <v>23530.379999999997</v>
      </c>
      <c r="AB186" s="31">
        <f t="shared" si="15"/>
        <v>2878.2584100000022</v>
      </c>
      <c r="AC186" s="31">
        <f t="shared" si="16"/>
        <v>0.10898927711888809</v>
      </c>
      <c r="AD186" s="31" t="e">
        <f>_xlfn.PERCENTILE.INC(S:S, 0.33)</f>
        <v>#NUM!</v>
      </c>
      <c r="AE186" s="31" t="e">
        <f>_xlfn.PERCENTILE.INC(S:S, 0.66)</f>
        <v>#NUM!</v>
      </c>
      <c r="AF186" s="30" t="e">
        <f t="shared" si="17"/>
        <v>#NUM!</v>
      </c>
    </row>
    <row r="187" spans="1:32" x14ac:dyDescent="0.3">
      <c r="A187" s="2" t="s">
        <v>200</v>
      </c>
      <c r="B187" s="4">
        <v>45099</v>
      </c>
      <c r="C187" s="46">
        <f>EOMONTH(Table2[[#This Row],[OrderDate]],-1)+1</f>
        <v>45078</v>
      </c>
      <c r="D187" s="45">
        <f>EOMONTH(_xlfn.MINIFS(B187:B817,M187:M817,Table2[[#This Row],[Country]]), -1) + 1</f>
        <v>44927</v>
      </c>
      <c r="E187" s="46"/>
      <c r="F187" s="4" t="str">
        <f>"Q"&amp;ROUNDUP(MONTH(B187)/3,0)&amp;"-"&amp;YEAR(B187)</f>
        <v>Q2-2023</v>
      </c>
      <c r="G187" s="4">
        <v>45128</v>
      </c>
      <c r="H187" s="4">
        <f>IF(G187&lt;B187, B187+3, G187)</f>
        <v>45128</v>
      </c>
      <c r="I187" s="10">
        <f>H187-B187</f>
        <v>29</v>
      </c>
      <c r="J187" s="10">
        <f t="shared" si="12"/>
        <v>0</v>
      </c>
      <c r="K187" s="10">
        <f t="shared" si="13"/>
        <v>0</v>
      </c>
      <c r="L187" s="6" t="s">
        <v>649</v>
      </c>
      <c r="M187" s="6" t="s">
        <v>657</v>
      </c>
      <c r="N187" s="6" t="s">
        <v>679</v>
      </c>
      <c r="O187" s="6" t="s">
        <v>701</v>
      </c>
      <c r="P187" s="6" t="s">
        <v>707</v>
      </c>
      <c r="Q187" s="6" t="s">
        <v>713</v>
      </c>
      <c r="R187" s="6" t="s">
        <v>733</v>
      </c>
      <c r="S187" s="6" t="s">
        <v>919</v>
      </c>
      <c r="T187" s="8">
        <v>734.34</v>
      </c>
      <c r="U187" s="8">
        <v>887.9</v>
      </c>
      <c r="V187" s="8">
        <f t="shared" si="14"/>
        <v>2.5000000000000001E-2</v>
      </c>
      <c r="W187" s="8">
        <v>2.5000000000000001E-2</v>
      </c>
      <c r="X187" s="10">
        <f>IF(Table2[[#This Row],[DiscountPct]]&gt;0.2,1,0)</f>
        <v>0</v>
      </c>
      <c r="Y187" s="10">
        <v>12</v>
      </c>
      <c r="Z187" s="30">
        <f>Table2[[#This Row],[UnitPrice]]*Y187*(1-V187)</f>
        <v>10388.429999999998</v>
      </c>
      <c r="AA187" s="2">
        <f>T187*Y187</f>
        <v>8812.08</v>
      </c>
      <c r="AB187" s="2">
        <f t="shared" si="15"/>
        <v>1576.3499999999985</v>
      </c>
      <c r="AC187" s="2">
        <f t="shared" si="16"/>
        <v>0.15174092716608753</v>
      </c>
      <c r="AD187" s="2" t="e">
        <f>_xlfn.PERCENTILE.INC(S:S, 0.33)</f>
        <v>#NUM!</v>
      </c>
      <c r="AE187" s="2" t="e">
        <f>_xlfn.PERCENTILE.INC(S:S, 0.66)</f>
        <v>#NUM!</v>
      </c>
      <c r="AF187" s="30" t="e">
        <f t="shared" si="17"/>
        <v>#NUM!</v>
      </c>
    </row>
    <row r="188" spans="1:32" x14ac:dyDescent="0.3">
      <c r="A188" s="31" t="s">
        <v>201</v>
      </c>
      <c r="B188" s="32">
        <v>45670</v>
      </c>
      <c r="C188" s="47">
        <f>EOMONTH(Table2[[#This Row],[OrderDate]],-1)+1</f>
        <v>45658</v>
      </c>
      <c r="D188" s="45">
        <f>EOMONTH(_xlfn.MINIFS(B188:B818,M188:M818,Table2[[#This Row],[Country]]), -1) + 1</f>
        <v>44927</v>
      </c>
      <c r="E188" s="47"/>
      <c r="F188" s="32" t="str">
        <f>"Q"&amp;ROUNDUP(MONTH(B188)/3,0)&amp;"-"&amp;YEAR(B188)</f>
        <v>Q1-2025</v>
      </c>
      <c r="G188" s="32">
        <v>45696</v>
      </c>
      <c r="H188" s="32">
        <f>IF(G188&lt;B188, B188+3, G188)</f>
        <v>45696</v>
      </c>
      <c r="I188" s="33">
        <f>H188-B188</f>
        <v>26</v>
      </c>
      <c r="J188" s="33">
        <f t="shared" si="12"/>
        <v>0</v>
      </c>
      <c r="K188" s="33">
        <f t="shared" si="13"/>
        <v>0</v>
      </c>
      <c r="L188" s="34" t="s">
        <v>649</v>
      </c>
      <c r="M188" s="34" t="s">
        <v>657</v>
      </c>
      <c r="N188" s="34" t="s">
        <v>690</v>
      </c>
      <c r="O188" s="34" t="s">
        <v>703</v>
      </c>
      <c r="P188" s="34" t="s">
        <v>1440</v>
      </c>
      <c r="Q188" s="34" t="s">
        <v>718</v>
      </c>
      <c r="R188" s="34" t="s">
        <v>732</v>
      </c>
      <c r="S188" s="34" t="s">
        <v>920</v>
      </c>
      <c r="T188" s="35">
        <v>594.74</v>
      </c>
      <c r="U188" s="35">
        <v>1020.69</v>
      </c>
      <c r="V188" s="35">
        <f t="shared" si="14"/>
        <v>0.21099999999999999</v>
      </c>
      <c r="W188" s="35">
        <v>0.21099999999999999</v>
      </c>
      <c r="X188" s="33">
        <f>IF(Table2[[#This Row],[DiscountPct]]&gt;0.2,1,0)</f>
        <v>1</v>
      </c>
      <c r="Y188" s="33">
        <v>6</v>
      </c>
      <c r="Z188" s="30">
        <f>Table2[[#This Row],[UnitPrice]]*Y188*(1-V188)</f>
        <v>4831.9464600000001</v>
      </c>
      <c r="AA188" s="31">
        <f>T188*Y188</f>
        <v>3568.44</v>
      </c>
      <c r="AB188" s="31">
        <f t="shared" si="15"/>
        <v>1263.5064600000001</v>
      </c>
      <c r="AC188" s="31">
        <f t="shared" si="16"/>
        <v>0.26149016146176424</v>
      </c>
      <c r="AD188" s="31" t="e">
        <f>_xlfn.PERCENTILE.INC(S:S, 0.33)</f>
        <v>#NUM!</v>
      </c>
      <c r="AE188" s="31" t="e">
        <f>_xlfn.PERCENTILE.INC(S:S, 0.66)</f>
        <v>#NUM!</v>
      </c>
      <c r="AF188" s="30" t="e">
        <f t="shared" si="17"/>
        <v>#NUM!</v>
      </c>
    </row>
    <row r="189" spans="1:32" x14ac:dyDescent="0.3">
      <c r="A189" s="2" t="s">
        <v>202</v>
      </c>
      <c r="B189" s="4">
        <v>45126</v>
      </c>
      <c r="C189" s="46">
        <f>EOMONTH(Table2[[#This Row],[OrderDate]],-1)+1</f>
        <v>45108</v>
      </c>
      <c r="D189" s="45">
        <f>EOMONTH(_xlfn.MINIFS(B189:B819,M189:M819,Table2[[#This Row],[Country]]), -1) + 1</f>
        <v>44927</v>
      </c>
      <c r="E189" s="46"/>
      <c r="F189" s="4" t="str">
        <f>"Q"&amp;ROUNDUP(MONTH(B189)/3,0)&amp;"-"&amp;YEAR(B189)</f>
        <v>Q3-2023</v>
      </c>
      <c r="G189" s="4">
        <v>45138</v>
      </c>
      <c r="H189" s="4">
        <f>IF(G189&lt;B189, B189+3, G189)</f>
        <v>45138</v>
      </c>
      <c r="I189" s="10">
        <f>H189-B189</f>
        <v>12</v>
      </c>
      <c r="J189" s="10">
        <f t="shared" si="12"/>
        <v>0</v>
      </c>
      <c r="K189" s="10">
        <f t="shared" si="13"/>
        <v>0</v>
      </c>
      <c r="L189" s="6" t="s">
        <v>648</v>
      </c>
      <c r="M189" s="6" t="s">
        <v>655</v>
      </c>
      <c r="N189" s="6" t="s">
        <v>692</v>
      </c>
      <c r="O189" s="6" t="s">
        <v>701</v>
      </c>
      <c r="P189" s="6" t="s">
        <v>707</v>
      </c>
      <c r="Q189" s="6" t="s">
        <v>712</v>
      </c>
      <c r="R189" s="6" t="s">
        <v>732</v>
      </c>
      <c r="S189" s="6" t="s">
        <v>922</v>
      </c>
      <c r="T189" s="8">
        <v>1334.64</v>
      </c>
      <c r="U189" s="8">
        <v>2273.42</v>
      </c>
      <c r="V189" s="8">
        <f t="shared" si="14"/>
        <v>0.11799999999999999</v>
      </c>
      <c r="W189" s="8">
        <v>0.11799999999999999</v>
      </c>
      <c r="X189" s="10">
        <f>IF(Table2[[#This Row],[DiscountPct]]&gt;0.2,1,0)</f>
        <v>0</v>
      </c>
      <c r="Y189" s="10">
        <v>14</v>
      </c>
      <c r="Z189" s="30">
        <f>Table2[[#This Row],[UnitPrice]]*Y189*(1-V189)</f>
        <v>28072.190160000002</v>
      </c>
      <c r="AA189" s="2">
        <f>T189*Y189</f>
        <v>18684.960000000003</v>
      </c>
      <c r="AB189" s="2">
        <f t="shared" si="15"/>
        <v>9387.2301599999992</v>
      </c>
      <c r="AC189" s="2">
        <f t="shared" si="16"/>
        <v>0.33439607335575267</v>
      </c>
      <c r="AD189" s="2" t="e">
        <f>_xlfn.PERCENTILE.INC(S:S, 0.33)</f>
        <v>#NUM!</v>
      </c>
      <c r="AE189" s="2" t="e">
        <f>_xlfn.PERCENTILE.INC(S:S, 0.66)</f>
        <v>#NUM!</v>
      </c>
      <c r="AF189" s="30" t="e">
        <f t="shared" si="17"/>
        <v>#NUM!</v>
      </c>
    </row>
    <row r="190" spans="1:32" x14ac:dyDescent="0.3">
      <c r="A190" s="31" t="s">
        <v>203</v>
      </c>
      <c r="B190" s="32">
        <v>45431</v>
      </c>
      <c r="C190" s="47">
        <f>EOMONTH(Table2[[#This Row],[OrderDate]],-1)+1</f>
        <v>45413</v>
      </c>
      <c r="D190" s="45">
        <f>EOMONTH(_xlfn.MINIFS(B190:B820,M190:M820,Table2[[#This Row],[Country]]), -1) + 1</f>
        <v>44927</v>
      </c>
      <c r="E190" s="47"/>
      <c r="F190" s="32" t="str">
        <f>"Q"&amp;ROUNDUP(MONTH(B190)/3,0)&amp;"-"&amp;YEAR(B190)</f>
        <v>Q2-2024</v>
      </c>
      <c r="G190" s="32">
        <v>45451</v>
      </c>
      <c r="H190" s="32">
        <f>IF(G190&lt;B190, B190+3, G190)</f>
        <v>45451</v>
      </c>
      <c r="I190" s="33">
        <f>H190-B190</f>
        <v>20</v>
      </c>
      <c r="J190" s="33">
        <f t="shared" si="12"/>
        <v>0</v>
      </c>
      <c r="K190" s="33">
        <f t="shared" si="13"/>
        <v>0</v>
      </c>
      <c r="L190" s="34" t="s">
        <v>648</v>
      </c>
      <c r="M190" s="34" t="s">
        <v>655</v>
      </c>
      <c r="N190" s="34" t="s">
        <v>672</v>
      </c>
      <c r="O190" s="34" t="s">
        <v>705</v>
      </c>
      <c r="P190" s="34" t="s">
        <v>707</v>
      </c>
      <c r="Q190" s="34" t="s">
        <v>718</v>
      </c>
      <c r="R190" s="34" t="s">
        <v>732</v>
      </c>
      <c r="S190" s="34" t="s">
        <v>923</v>
      </c>
      <c r="T190" s="35">
        <v>1075.9000000000001</v>
      </c>
      <c r="U190" s="35">
        <v>1242.1500000000001</v>
      </c>
      <c r="V190" s="35">
        <f t="shared" si="14"/>
        <v>1.2E-2</v>
      </c>
      <c r="W190" s="35">
        <v>1.2E-2</v>
      </c>
      <c r="X190" s="33">
        <f>IF(Table2[[#This Row],[DiscountPct]]&gt;0.2,1,0)</f>
        <v>0</v>
      </c>
      <c r="Y190" s="33">
        <v>7</v>
      </c>
      <c r="Z190" s="30">
        <f>Table2[[#This Row],[UnitPrice]]*Y190*(1-V190)</f>
        <v>8590.7094000000016</v>
      </c>
      <c r="AA190" s="31">
        <f>T190*Y190</f>
        <v>7531.3000000000011</v>
      </c>
      <c r="AB190" s="31">
        <f t="shared" si="15"/>
        <v>1059.4094000000005</v>
      </c>
      <c r="AC190" s="31">
        <f t="shared" si="16"/>
        <v>0.12332036280961853</v>
      </c>
      <c r="AD190" s="31" t="e">
        <f>_xlfn.PERCENTILE.INC(S:S, 0.33)</f>
        <v>#NUM!</v>
      </c>
      <c r="AE190" s="31" t="e">
        <f>_xlfn.PERCENTILE.INC(S:S, 0.66)</f>
        <v>#NUM!</v>
      </c>
      <c r="AF190" s="30" t="e">
        <f t="shared" si="17"/>
        <v>#NUM!</v>
      </c>
    </row>
    <row r="191" spans="1:32" x14ac:dyDescent="0.3">
      <c r="A191" s="2" t="s">
        <v>204</v>
      </c>
      <c r="B191" s="4">
        <v>45325</v>
      </c>
      <c r="C191" s="46">
        <f>EOMONTH(Table2[[#This Row],[OrderDate]],-1)+1</f>
        <v>45323</v>
      </c>
      <c r="D191" s="45">
        <f>EOMONTH(_xlfn.MINIFS(B191:B821,M191:M821,Table2[[#This Row],[Country]]), -1) + 1</f>
        <v>44927</v>
      </c>
      <c r="E191" s="46"/>
      <c r="F191" s="4" t="str">
        <f>"Q"&amp;ROUNDUP(MONTH(B191)/3,0)&amp;"-"&amp;YEAR(B191)</f>
        <v>Q1-2024</v>
      </c>
      <c r="G191" s="4">
        <v>45341</v>
      </c>
      <c r="H191" s="4">
        <f>IF(G191&lt;B191, B191+3, G191)</f>
        <v>45341</v>
      </c>
      <c r="I191" s="10">
        <f>H191-B191</f>
        <v>16</v>
      </c>
      <c r="J191" s="10">
        <f t="shared" si="12"/>
        <v>0</v>
      </c>
      <c r="K191" s="10">
        <f t="shared" si="13"/>
        <v>0</v>
      </c>
      <c r="L191" s="6" t="s">
        <v>647</v>
      </c>
      <c r="M191" s="6" t="s">
        <v>659</v>
      </c>
      <c r="N191" s="6" t="s">
        <v>676</v>
      </c>
      <c r="O191" s="6" t="s">
        <v>705</v>
      </c>
      <c r="P191" s="6" t="s">
        <v>708</v>
      </c>
      <c r="Q191" s="6" t="s">
        <v>722</v>
      </c>
      <c r="R191" s="6" t="s">
        <v>731</v>
      </c>
      <c r="S191" s="6" t="s">
        <v>924</v>
      </c>
      <c r="T191" s="8">
        <v>993.75</v>
      </c>
      <c r="U191" s="8">
        <v>1310.29</v>
      </c>
      <c r="V191" s="8">
        <f t="shared" si="14"/>
        <v>0.215</v>
      </c>
      <c r="W191" s="8">
        <v>0.215</v>
      </c>
      <c r="X191" s="10">
        <f>IF(Table2[[#This Row],[DiscountPct]]&gt;0.2,1,0)</f>
        <v>1</v>
      </c>
      <c r="Y191" s="10">
        <v>19</v>
      </c>
      <c r="Z191" s="30">
        <f>Table2[[#This Row],[UnitPrice]]*Y191*(1-V191)</f>
        <v>19542.975350000001</v>
      </c>
      <c r="AA191" s="2">
        <f>T191*Y191</f>
        <v>18881.25</v>
      </c>
      <c r="AB191" s="2">
        <f t="shared" si="15"/>
        <v>661.72535000000062</v>
      </c>
      <c r="AC191" s="2">
        <f t="shared" si="16"/>
        <v>3.3860010471742245E-2</v>
      </c>
      <c r="AD191" s="2" t="e">
        <f>_xlfn.PERCENTILE.INC(S:S, 0.33)</f>
        <v>#NUM!</v>
      </c>
      <c r="AE191" s="2" t="e">
        <f>_xlfn.PERCENTILE.INC(S:S, 0.66)</f>
        <v>#NUM!</v>
      </c>
      <c r="AF191" s="30" t="e">
        <f t="shared" si="17"/>
        <v>#NUM!</v>
      </c>
    </row>
    <row r="192" spans="1:32" x14ac:dyDescent="0.3">
      <c r="A192" s="31" t="s">
        <v>205</v>
      </c>
      <c r="B192" s="32">
        <v>45146</v>
      </c>
      <c r="C192" s="47">
        <f>EOMONTH(Table2[[#This Row],[OrderDate]],-1)+1</f>
        <v>45139</v>
      </c>
      <c r="D192" s="45">
        <f>EOMONTH(_xlfn.MINIFS(B192:B822,M192:M822,Table2[[#This Row],[Country]]), -1) + 1</f>
        <v>44927</v>
      </c>
      <c r="E192" s="47"/>
      <c r="F192" s="32" t="str">
        <f>"Q"&amp;ROUNDUP(MONTH(B192)/3,0)&amp;"-"&amp;YEAR(B192)</f>
        <v>Q3-2023</v>
      </c>
      <c r="G192" s="32">
        <v>45160</v>
      </c>
      <c r="H192" s="32">
        <f>IF(G192&lt;B192, B192+3, G192)</f>
        <v>45160</v>
      </c>
      <c r="I192" s="33">
        <f>H192-B192</f>
        <v>14</v>
      </c>
      <c r="J192" s="33">
        <f t="shared" si="12"/>
        <v>0</v>
      </c>
      <c r="K192" s="33">
        <f t="shared" si="13"/>
        <v>0</v>
      </c>
      <c r="L192" s="34" t="s">
        <v>649</v>
      </c>
      <c r="M192" s="34" t="s">
        <v>658</v>
      </c>
      <c r="N192" s="34" t="s">
        <v>674</v>
      </c>
      <c r="O192" s="34" t="s">
        <v>703</v>
      </c>
      <c r="P192" s="34" t="s">
        <v>711</v>
      </c>
      <c r="Q192" s="34" t="s">
        <v>725</v>
      </c>
      <c r="R192" s="34" t="s">
        <v>732</v>
      </c>
      <c r="S192" s="34" t="s">
        <v>925</v>
      </c>
      <c r="T192" s="35">
        <v>446.69</v>
      </c>
      <c r="U192" s="35">
        <v>967.25</v>
      </c>
      <c r="V192" s="35">
        <f t="shared" si="14"/>
        <v>9.4E-2</v>
      </c>
      <c r="W192" s="35">
        <v>9.4E-2</v>
      </c>
      <c r="X192" s="33">
        <f>IF(Table2[[#This Row],[DiscountPct]]&gt;0.2,1,0)</f>
        <v>0</v>
      </c>
      <c r="Y192" s="33">
        <v>10</v>
      </c>
      <c r="Z192" s="30">
        <f>Table2[[#This Row],[UnitPrice]]*Y192*(1-V192)</f>
        <v>8763.2849999999999</v>
      </c>
      <c r="AA192" s="31">
        <f>T192*Y192</f>
        <v>4466.8999999999996</v>
      </c>
      <c r="AB192" s="31">
        <f t="shared" si="15"/>
        <v>4296.3850000000002</v>
      </c>
      <c r="AC192" s="31">
        <f t="shared" si="16"/>
        <v>0.49027105702941309</v>
      </c>
      <c r="AD192" s="31" t="e">
        <f>_xlfn.PERCENTILE.INC(S:S, 0.33)</f>
        <v>#NUM!</v>
      </c>
      <c r="AE192" s="31" t="e">
        <f>_xlfn.PERCENTILE.INC(S:S, 0.66)</f>
        <v>#NUM!</v>
      </c>
      <c r="AF192" s="30" t="e">
        <f t="shared" si="17"/>
        <v>#NUM!</v>
      </c>
    </row>
    <row r="193" spans="1:32" x14ac:dyDescent="0.3">
      <c r="A193" s="2" t="s">
        <v>206</v>
      </c>
      <c r="B193" s="4">
        <v>45516</v>
      </c>
      <c r="C193" s="46">
        <f>EOMONTH(Table2[[#This Row],[OrderDate]],-1)+1</f>
        <v>45505</v>
      </c>
      <c r="D193" s="45">
        <f>EOMONTH(_xlfn.MINIFS(B193:B823,M193:M823,Table2[[#This Row],[Country]]), -1) + 1</f>
        <v>44927</v>
      </c>
      <c r="E193" s="46"/>
      <c r="F193" s="4" t="str">
        <f>"Q"&amp;ROUNDUP(MONTH(B193)/3,0)&amp;"-"&amp;YEAR(B193)</f>
        <v>Q3-2024</v>
      </c>
      <c r="G193" s="4">
        <v>45538</v>
      </c>
      <c r="H193" s="4">
        <f>IF(G193&lt;B193, B193+3, G193)</f>
        <v>45538</v>
      </c>
      <c r="I193" s="10">
        <f>H193-B193</f>
        <v>22</v>
      </c>
      <c r="J193" s="10">
        <f t="shared" si="12"/>
        <v>0</v>
      </c>
      <c r="K193" s="10">
        <f t="shared" si="13"/>
        <v>0</v>
      </c>
      <c r="L193" s="6" t="s">
        <v>648</v>
      </c>
      <c r="M193" s="6" t="s">
        <v>660</v>
      </c>
      <c r="N193" s="6" t="s">
        <v>697</v>
      </c>
      <c r="O193" s="6" t="s">
        <v>704</v>
      </c>
      <c r="P193" s="6" t="s">
        <v>710</v>
      </c>
      <c r="Q193" s="6" t="s">
        <v>714</v>
      </c>
      <c r="R193" s="6" t="s">
        <v>731</v>
      </c>
      <c r="S193" s="6" t="s">
        <v>926</v>
      </c>
      <c r="T193" s="8">
        <v>797.8</v>
      </c>
      <c r="U193" s="8">
        <v>886.22</v>
      </c>
      <c r="V193" s="8">
        <f t="shared" si="14"/>
        <v>0.23599999999999999</v>
      </c>
      <c r="W193" s="8">
        <v>0.23599999999999999</v>
      </c>
      <c r="X193" s="10">
        <f>IF(Table2[[#This Row],[DiscountPct]]&gt;0.2,1,0)</f>
        <v>1</v>
      </c>
      <c r="Y193" s="10">
        <v>36</v>
      </c>
      <c r="Z193" s="30">
        <f>Table2[[#This Row],[UnitPrice]]*Y193*(1-V193)</f>
        <v>24374.594880000001</v>
      </c>
      <c r="AA193" s="2">
        <f>T193*Y193</f>
        <v>28720.799999999999</v>
      </c>
      <c r="AB193" s="2">
        <f t="shared" si="15"/>
        <v>-4346.2051199999987</v>
      </c>
      <c r="AC193" s="2">
        <f t="shared" si="16"/>
        <v>-0.17830881462428633</v>
      </c>
      <c r="AD193" s="2" t="e">
        <f>_xlfn.PERCENTILE.INC(S:S, 0.33)</f>
        <v>#NUM!</v>
      </c>
      <c r="AE193" s="2" t="e">
        <f>_xlfn.PERCENTILE.INC(S:S, 0.66)</f>
        <v>#NUM!</v>
      </c>
      <c r="AF193" s="30" t="e">
        <f t="shared" si="17"/>
        <v>#NUM!</v>
      </c>
    </row>
    <row r="194" spans="1:32" x14ac:dyDescent="0.3">
      <c r="A194" s="31" t="s">
        <v>207</v>
      </c>
      <c r="B194" s="32">
        <v>45214</v>
      </c>
      <c r="C194" s="47">
        <f>EOMONTH(Table2[[#This Row],[OrderDate]],-1)+1</f>
        <v>45200</v>
      </c>
      <c r="D194" s="45">
        <f>EOMONTH(_xlfn.MINIFS(B194:B824,M194:M824,Table2[[#This Row],[Country]]), -1) + 1</f>
        <v>44927</v>
      </c>
      <c r="E194" s="47"/>
      <c r="F194" s="32" t="str">
        <f>"Q"&amp;ROUNDUP(MONTH(B194)/3,0)&amp;"-"&amp;YEAR(B194)</f>
        <v>Q4-2023</v>
      </c>
      <c r="G194" s="32">
        <v>45243</v>
      </c>
      <c r="H194" s="32">
        <f>IF(G194&lt;B194, B194+3, G194)</f>
        <v>45243</v>
      </c>
      <c r="I194" s="33">
        <f>H194-B194</f>
        <v>29</v>
      </c>
      <c r="J194" s="33">
        <f t="shared" ref="J194:J257" si="18">IF(I194 &lt;= 7, 1, 0)</f>
        <v>0</v>
      </c>
      <c r="K194" s="33">
        <f t="shared" ref="K194:K257" si="19">IF(I194&lt;=7,1,0)</f>
        <v>0</v>
      </c>
      <c r="L194" s="34" t="s">
        <v>647</v>
      </c>
      <c r="M194" s="34" t="s">
        <v>659</v>
      </c>
      <c r="N194" s="34" t="s">
        <v>676</v>
      </c>
      <c r="O194" s="34" t="s">
        <v>703</v>
      </c>
      <c r="P194" s="34" t="s">
        <v>710</v>
      </c>
      <c r="Q194" s="34" t="s">
        <v>713</v>
      </c>
      <c r="R194" s="34" t="s">
        <v>728</v>
      </c>
      <c r="S194" s="34" t="s">
        <v>927</v>
      </c>
      <c r="T194" s="35">
        <v>986.44</v>
      </c>
      <c r="U194" s="35">
        <v>790.61</v>
      </c>
      <c r="V194" s="35">
        <f t="shared" si="14"/>
        <v>7.1999999999999995E-2</v>
      </c>
      <c r="W194" s="35">
        <v>7.1999999999999995E-2</v>
      </c>
      <c r="X194" s="33">
        <f>IF(Table2[[#This Row],[DiscountPct]]&gt;0.2,1,0)</f>
        <v>0</v>
      </c>
      <c r="Y194" s="33">
        <v>6</v>
      </c>
      <c r="Z194" s="30">
        <f>Table2[[#This Row],[UnitPrice]]*Y194*(1-V194)</f>
        <v>4402.1164799999997</v>
      </c>
      <c r="AA194" s="31">
        <f>T194*Y194</f>
        <v>5918.64</v>
      </c>
      <c r="AB194" s="31">
        <f t="shared" si="15"/>
        <v>-1516.5235200000006</v>
      </c>
      <c r="AC194" s="31">
        <f t="shared" si="16"/>
        <v>-0.34449872621271499</v>
      </c>
      <c r="AD194" s="31" t="e">
        <f>_xlfn.PERCENTILE.INC(S:S, 0.33)</f>
        <v>#NUM!</v>
      </c>
      <c r="AE194" s="31" t="e">
        <f>_xlfn.PERCENTILE.INC(S:S, 0.66)</f>
        <v>#NUM!</v>
      </c>
      <c r="AF194" s="30" t="e">
        <f t="shared" si="17"/>
        <v>#NUM!</v>
      </c>
    </row>
    <row r="195" spans="1:32" x14ac:dyDescent="0.3">
      <c r="A195" s="2" t="s">
        <v>208</v>
      </c>
      <c r="B195" s="4">
        <v>45050</v>
      </c>
      <c r="C195" s="46">
        <f>EOMONTH(Table2[[#This Row],[OrderDate]],-1)+1</f>
        <v>45047</v>
      </c>
      <c r="D195" s="45">
        <f>EOMONTH(_xlfn.MINIFS(B195:B825,M195:M825,Table2[[#This Row],[Country]]), -1) + 1</f>
        <v>44927</v>
      </c>
      <c r="E195" s="46"/>
      <c r="F195" s="4" t="str">
        <f>"Q"&amp;ROUNDUP(MONTH(B195)/3,0)&amp;"-"&amp;YEAR(B195)</f>
        <v>Q2-2023</v>
      </c>
      <c r="G195" s="4">
        <v>45072</v>
      </c>
      <c r="H195" s="4">
        <f>IF(G195&lt;B195, B195+3, G195)</f>
        <v>45072</v>
      </c>
      <c r="I195" s="10">
        <f>H195-B195</f>
        <v>22</v>
      </c>
      <c r="J195" s="10">
        <f t="shared" si="18"/>
        <v>0</v>
      </c>
      <c r="K195" s="10">
        <f t="shared" si="19"/>
        <v>0</v>
      </c>
      <c r="L195" s="6" t="s">
        <v>648</v>
      </c>
      <c r="M195" s="6" t="s">
        <v>660</v>
      </c>
      <c r="N195" s="6" t="s">
        <v>686</v>
      </c>
      <c r="O195" s="6" t="s">
        <v>706</v>
      </c>
      <c r="P195" s="6" t="s">
        <v>708</v>
      </c>
      <c r="Q195" s="6" t="s">
        <v>713</v>
      </c>
      <c r="R195" s="6" t="s">
        <v>729</v>
      </c>
      <c r="S195" s="6" t="s">
        <v>928</v>
      </c>
      <c r="T195" s="8">
        <v>249.71</v>
      </c>
      <c r="U195" s="8">
        <v>361.33</v>
      </c>
      <c r="V195" s="8">
        <f t="shared" ref="V195:V258" si="20">IF(W195&gt;0.3,0.3,W195)</f>
        <v>9.4E-2</v>
      </c>
      <c r="W195" s="8">
        <v>9.4E-2</v>
      </c>
      <c r="X195" s="10">
        <f>IF(Table2[[#This Row],[DiscountPct]]&gt;0.2,1,0)</f>
        <v>0</v>
      </c>
      <c r="Y195" s="10">
        <v>12</v>
      </c>
      <c r="Z195" s="30">
        <f>Table2[[#This Row],[UnitPrice]]*Y195*(1-V195)</f>
        <v>3928.3797600000003</v>
      </c>
      <c r="AA195" s="2">
        <f>T195*Y195</f>
        <v>2996.52</v>
      </c>
      <c r="AB195" s="2">
        <f t="shared" ref="AB195:AB258" si="21">Z195-AA195</f>
        <v>931.85976000000028</v>
      </c>
      <c r="AC195" s="2">
        <f t="shared" ref="AC195:AC258" si="22">IF(Z195=0,0,AB195/Z195)</f>
        <v>0.23721223937881206</v>
      </c>
      <c r="AD195" s="2" t="e">
        <f>_xlfn.PERCENTILE.INC(S:S, 0.33)</f>
        <v>#NUM!</v>
      </c>
      <c r="AE195" s="2" t="e">
        <f>_xlfn.PERCENTILE.INC(S:S, 0.66)</f>
        <v>#NUM!</v>
      </c>
      <c r="AF195" s="30" t="e">
        <f t="shared" ref="AF195:AF258" si="23">IF(Z195="","",
   IF(Z195&lt;=AD195,"Low",
      IF(Z195&lt;=AE195,"Medium","High")
   )
)</f>
        <v>#NUM!</v>
      </c>
    </row>
    <row r="196" spans="1:32" x14ac:dyDescent="0.3">
      <c r="A196" s="31" t="s">
        <v>209</v>
      </c>
      <c r="B196" s="32">
        <v>45557</v>
      </c>
      <c r="C196" s="47">
        <f>EOMONTH(Table2[[#This Row],[OrderDate]],-1)+1</f>
        <v>45536</v>
      </c>
      <c r="D196" s="45">
        <f>EOMONTH(_xlfn.MINIFS(B196:B826,M196:M826,Table2[[#This Row],[Country]]), -1) + 1</f>
        <v>44927</v>
      </c>
      <c r="E196" s="47"/>
      <c r="F196" s="32" t="str">
        <f>"Q"&amp;ROUNDUP(MONTH(B196)/3,0)&amp;"-"&amp;YEAR(B196)</f>
        <v>Q3-2024</v>
      </c>
      <c r="G196" s="32">
        <v>45566</v>
      </c>
      <c r="H196" s="32">
        <f>IF(G196&lt;B196, B196+3, G196)</f>
        <v>45566</v>
      </c>
      <c r="I196" s="33">
        <f>H196-B196</f>
        <v>9</v>
      </c>
      <c r="J196" s="33">
        <f t="shared" si="18"/>
        <v>0</v>
      </c>
      <c r="K196" s="33">
        <f t="shared" si="19"/>
        <v>0</v>
      </c>
      <c r="L196" s="34" t="s">
        <v>648</v>
      </c>
      <c r="M196" s="34" t="s">
        <v>655</v>
      </c>
      <c r="N196" s="34" t="s">
        <v>670</v>
      </c>
      <c r="O196" s="34" t="s">
        <v>703</v>
      </c>
      <c r="P196" s="34" t="s">
        <v>708</v>
      </c>
      <c r="Q196" s="34" t="s">
        <v>723</v>
      </c>
      <c r="R196" s="34" t="s">
        <v>732</v>
      </c>
      <c r="S196" s="34" t="s">
        <v>929</v>
      </c>
      <c r="T196" s="35">
        <v>1378.8</v>
      </c>
      <c r="U196" s="35">
        <v>1952.04</v>
      </c>
      <c r="V196" s="35">
        <f t="shared" si="20"/>
        <v>0.159</v>
      </c>
      <c r="W196" s="35">
        <v>0.159</v>
      </c>
      <c r="X196" s="33">
        <f>IF(Table2[[#This Row],[DiscountPct]]&gt;0.2,1,0)</f>
        <v>0</v>
      </c>
      <c r="Y196" s="33">
        <v>19</v>
      </c>
      <c r="Z196" s="30">
        <f>Table2[[#This Row],[UnitPrice]]*Y196*(1-V196)</f>
        <v>31191.64716</v>
      </c>
      <c r="AA196" s="31">
        <f>T196*Y196</f>
        <v>26197.200000000001</v>
      </c>
      <c r="AB196" s="31">
        <f t="shared" si="21"/>
        <v>4994.4471599999997</v>
      </c>
      <c r="AC196" s="31">
        <f t="shared" si="22"/>
        <v>0.16012130216723058</v>
      </c>
      <c r="AD196" s="31" t="e">
        <f>_xlfn.PERCENTILE.INC(S:S, 0.33)</f>
        <v>#NUM!</v>
      </c>
      <c r="AE196" s="31" t="e">
        <f>_xlfn.PERCENTILE.INC(S:S, 0.66)</f>
        <v>#NUM!</v>
      </c>
      <c r="AF196" s="30" t="e">
        <f t="shared" si="23"/>
        <v>#NUM!</v>
      </c>
    </row>
    <row r="197" spans="1:32" x14ac:dyDescent="0.3">
      <c r="A197" s="2" t="s">
        <v>210</v>
      </c>
      <c r="B197" s="4">
        <v>45588</v>
      </c>
      <c r="C197" s="46">
        <f>EOMONTH(Table2[[#This Row],[OrderDate]],-1)+1</f>
        <v>45566</v>
      </c>
      <c r="D197" s="45">
        <f>EOMONTH(_xlfn.MINIFS(B197:B827,M197:M827,Table2[[#This Row],[Country]]), -1) + 1</f>
        <v>44986</v>
      </c>
      <c r="E197" s="46"/>
      <c r="F197" s="4" t="str">
        <f>"Q"&amp;ROUNDUP(MONTH(B197)/3,0)&amp;"-"&amp;YEAR(B197)</f>
        <v>Q4-2024</v>
      </c>
      <c r="G197" s="4">
        <v>45610</v>
      </c>
      <c r="H197" s="4">
        <f>IF(G197&lt;B197, B197+3, G197)</f>
        <v>45610</v>
      </c>
      <c r="I197" s="10">
        <f>H197-B197</f>
        <v>22</v>
      </c>
      <c r="J197" s="10">
        <f t="shared" si="18"/>
        <v>0</v>
      </c>
      <c r="K197" s="10">
        <f t="shared" si="19"/>
        <v>0</v>
      </c>
      <c r="L197" s="6" t="s">
        <v>647</v>
      </c>
      <c r="M197" s="6" t="s">
        <v>652</v>
      </c>
      <c r="N197" s="6" t="s">
        <v>666</v>
      </c>
      <c r="O197" s="6" t="s">
        <v>703</v>
      </c>
      <c r="P197" s="6" t="s">
        <v>711</v>
      </c>
      <c r="Q197" s="6" t="s">
        <v>717</v>
      </c>
      <c r="R197" s="6" t="s">
        <v>730</v>
      </c>
      <c r="S197" s="6" t="s">
        <v>930</v>
      </c>
      <c r="T197" s="8">
        <v>1406.4</v>
      </c>
      <c r="U197" s="8">
        <v>1564.76</v>
      </c>
      <c r="V197" s="8">
        <f t="shared" si="20"/>
        <v>0.185</v>
      </c>
      <c r="W197" s="8">
        <v>0.185</v>
      </c>
      <c r="X197" s="10">
        <f>IF(Table2[[#This Row],[DiscountPct]]&gt;0.2,1,0)</f>
        <v>0</v>
      </c>
      <c r="Y197" s="10">
        <v>17</v>
      </c>
      <c r="Z197" s="30">
        <f>Table2[[#This Row],[UnitPrice]]*Y197*(1-V197)</f>
        <v>21679.749799999998</v>
      </c>
      <c r="AA197" s="2">
        <f>T197*Y197</f>
        <v>23908.800000000003</v>
      </c>
      <c r="AB197" s="2">
        <f t="shared" si="21"/>
        <v>-2229.0502000000051</v>
      </c>
      <c r="AC197" s="2">
        <f t="shared" si="22"/>
        <v>-0.10281715520536151</v>
      </c>
      <c r="AD197" s="2" t="e">
        <f>_xlfn.PERCENTILE.INC(S:S, 0.33)</f>
        <v>#NUM!</v>
      </c>
      <c r="AE197" s="2" t="e">
        <f>_xlfn.PERCENTILE.INC(S:S, 0.66)</f>
        <v>#NUM!</v>
      </c>
      <c r="AF197" s="30" t="e">
        <f t="shared" si="23"/>
        <v>#NUM!</v>
      </c>
    </row>
    <row r="198" spans="1:32" x14ac:dyDescent="0.3">
      <c r="A198" s="31" t="s">
        <v>211</v>
      </c>
      <c r="B198" s="32">
        <v>45333</v>
      </c>
      <c r="C198" s="47">
        <f>EOMONTH(Table2[[#This Row],[OrderDate]],-1)+1</f>
        <v>45323</v>
      </c>
      <c r="D198" s="45">
        <f>EOMONTH(_xlfn.MINIFS(B198:B828,M198:M828,Table2[[#This Row],[Country]]), -1) + 1</f>
        <v>44927</v>
      </c>
      <c r="E198" s="47"/>
      <c r="F198" s="32" t="str">
        <f>"Q"&amp;ROUNDUP(MONTH(B198)/3,0)&amp;"-"&amp;YEAR(B198)</f>
        <v>Q1-2024</v>
      </c>
      <c r="G198" s="32">
        <v>45354</v>
      </c>
      <c r="H198" s="32">
        <f>IF(G198&lt;B198, B198+3, G198)</f>
        <v>45354</v>
      </c>
      <c r="I198" s="33">
        <f>H198-B198</f>
        <v>21</v>
      </c>
      <c r="J198" s="33">
        <f t="shared" si="18"/>
        <v>0</v>
      </c>
      <c r="K198" s="33">
        <f t="shared" si="19"/>
        <v>0</v>
      </c>
      <c r="L198" s="34" t="s">
        <v>646</v>
      </c>
      <c r="M198" s="34" t="s">
        <v>650</v>
      </c>
      <c r="N198" s="34" t="s">
        <v>662</v>
      </c>
      <c r="O198" s="34" t="s">
        <v>706</v>
      </c>
      <c r="P198" s="34" t="s">
        <v>708</v>
      </c>
      <c r="Q198" s="34" t="s">
        <v>717</v>
      </c>
      <c r="R198" s="34" t="s">
        <v>730</v>
      </c>
      <c r="S198" s="34" t="s">
        <v>931</v>
      </c>
      <c r="T198" s="35">
        <v>516.86</v>
      </c>
      <c r="U198" s="35">
        <v>852.54</v>
      </c>
      <c r="V198" s="35">
        <f t="shared" si="20"/>
        <v>5.0999999999999997E-2</v>
      </c>
      <c r="W198" s="35">
        <v>5.0999999999999997E-2</v>
      </c>
      <c r="X198" s="33">
        <f>IF(Table2[[#This Row],[DiscountPct]]&gt;0.2,1,0)</f>
        <v>0</v>
      </c>
      <c r="Y198" s="33">
        <v>14</v>
      </c>
      <c r="Z198" s="30">
        <f>Table2[[#This Row],[UnitPrice]]*Y198*(1-V198)</f>
        <v>11326.846439999999</v>
      </c>
      <c r="AA198" s="31">
        <f>T198*Y198</f>
        <v>7236.04</v>
      </c>
      <c r="AB198" s="31">
        <f t="shared" si="21"/>
        <v>4090.8064399999994</v>
      </c>
      <c r="AC198" s="31">
        <f t="shared" si="22"/>
        <v>0.36116022775355994</v>
      </c>
      <c r="AD198" s="31" t="e">
        <f>_xlfn.PERCENTILE.INC(S:S, 0.33)</f>
        <v>#NUM!</v>
      </c>
      <c r="AE198" s="31" t="e">
        <f>_xlfn.PERCENTILE.INC(S:S, 0.66)</f>
        <v>#NUM!</v>
      </c>
      <c r="AF198" s="30" t="e">
        <f t="shared" si="23"/>
        <v>#NUM!</v>
      </c>
    </row>
    <row r="199" spans="1:32" x14ac:dyDescent="0.3">
      <c r="A199" s="2" t="s">
        <v>212</v>
      </c>
      <c r="B199" s="4">
        <v>44956</v>
      </c>
      <c r="C199" s="46">
        <f>EOMONTH(Table2[[#This Row],[OrderDate]],-1)+1</f>
        <v>44927</v>
      </c>
      <c r="D199" s="45">
        <f>EOMONTH(_xlfn.MINIFS(B199:B829,M199:M829,Table2[[#This Row],[Country]]), -1) + 1</f>
        <v>44927</v>
      </c>
      <c r="E199" s="46"/>
      <c r="F199" s="4" t="str">
        <f>"Q"&amp;ROUNDUP(MONTH(B199)/3,0)&amp;"-"&amp;YEAR(B199)</f>
        <v>Q1-2023</v>
      </c>
      <c r="G199" s="4">
        <v>44978</v>
      </c>
      <c r="H199" s="4">
        <f>IF(G199&lt;B199, B199+3, G199)</f>
        <v>44978</v>
      </c>
      <c r="I199" s="10">
        <f>H199-B199</f>
        <v>22</v>
      </c>
      <c r="J199" s="10">
        <f t="shared" si="18"/>
        <v>0</v>
      </c>
      <c r="K199" s="10">
        <f t="shared" si="19"/>
        <v>0</v>
      </c>
      <c r="L199" s="6" t="s">
        <v>649</v>
      </c>
      <c r="M199" s="6" t="s">
        <v>656</v>
      </c>
      <c r="N199" s="6" t="s">
        <v>684</v>
      </c>
      <c r="O199" s="6" t="s">
        <v>705</v>
      </c>
      <c r="P199" s="6" t="s">
        <v>709</v>
      </c>
      <c r="Q199" s="6" t="s">
        <v>715</v>
      </c>
      <c r="R199" s="6" t="s">
        <v>729</v>
      </c>
      <c r="S199" s="6" t="s">
        <v>932</v>
      </c>
      <c r="T199" s="8">
        <v>1142.8800000000001</v>
      </c>
      <c r="U199" s="8">
        <v>1465.29</v>
      </c>
      <c r="V199" s="8">
        <f t="shared" si="20"/>
        <v>0.186</v>
      </c>
      <c r="W199" s="8">
        <v>0.186</v>
      </c>
      <c r="X199" s="10">
        <f>IF(Table2[[#This Row],[DiscountPct]]&gt;0.2,1,0)</f>
        <v>0</v>
      </c>
      <c r="Y199" s="10">
        <v>7</v>
      </c>
      <c r="Z199" s="30">
        <f>Table2[[#This Row],[UnitPrice]]*Y199*(1-V199)</f>
        <v>8349.2224200000001</v>
      </c>
      <c r="AA199" s="2">
        <f>T199*Y199</f>
        <v>8000.1600000000008</v>
      </c>
      <c r="AB199" s="2">
        <f t="shared" si="21"/>
        <v>349.06241999999929</v>
      </c>
      <c r="AC199" s="2">
        <f t="shared" si="22"/>
        <v>4.1807775915017401E-2</v>
      </c>
      <c r="AD199" s="2" t="e">
        <f>_xlfn.PERCENTILE.INC(S:S, 0.33)</f>
        <v>#NUM!</v>
      </c>
      <c r="AE199" s="2" t="e">
        <f>_xlfn.PERCENTILE.INC(S:S, 0.66)</f>
        <v>#NUM!</v>
      </c>
      <c r="AF199" s="30" t="e">
        <f t="shared" si="23"/>
        <v>#NUM!</v>
      </c>
    </row>
    <row r="200" spans="1:32" x14ac:dyDescent="0.3">
      <c r="A200" s="31" t="s">
        <v>213</v>
      </c>
      <c r="B200" s="32">
        <v>45030</v>
      </c>
      <c r="C200" s="47">
        <f>EOMONTH(Table2[[#This Row],[OrderDate]],-1)+1</f>
        <v>45017</v>
      </c>
      <c r="D200" s="45">
        <f>EOMONTH(_xlfn.MINIFS(B200:B830,M200:M830,Table2[[#This Row],[Country]]), -1) + 1</f>
        <v>44927</v>
      </c>
      <c r="E200" s="47"/>
      <c r="F200" s="32" t="str">
        <f>"Q"&amp;ROUNDUP(MONTH(B200)/3,0)&amp;"-"&amp;YEAR(B200)</f>
        <v>Q2-2023</v>
      </c>
      <c r="G200" s="32">
        <v>45059</v>
      </c>
      <c r="H200" s="32">
        <f>IF(G200&lt;B200, B200+3, G200)</f>
        <v>45059</v>
      </c>
      <c r="I200" s="33">
        <f>H200-B200</f>
        <v>29</v>
      </c>
      <c r="J200" s="33">
        <f t="shared" si="18"/>
        <v>0</v>
      </c>
      <c r="K200" s="33">
        <f t="shared" si="19"/>
        <v>0</v>
      </c>
      <c r="L200" s="34" t="s">
        <v>649</v>
      </c>
      <c r="M200" s="34" t="s">
        <v>656</v>
      </c>
      <c r="N200" s="34" t="s">
        <v>698</v>
      </c>
      <c r="O200" s="34" t="s">
        <v>704</v>
      </c>
      <c r="P200" s="34" t="s">
        <v>711</v>
      </c>
      <c r="Q200" s="34" t="s">
        <v>713</v>
      </c>
      <c r="R200" s="34" t="s">
        <v>728</v>
      </c>
      <c r="S200" s="34" t="s">
        <v>933</v>
      </c>
      <c r="T200" s="35">
        <v>1320.33</v>
      </c>
      <c r="U200" s="35">
        <v>2645.23</v>
      </c>
      <c r="V200" s="35">
        <f t="shared" si="20"/>
        <v>0.155</v>
      </c>
      <c r="W200" s="35">
        <v>0.155</v>
      </c>
      <c r="X200" s="33">
        <f>IF(Table2[[#This Row],[DiscountPct]]&gt;0.2,1,0)</f>
        <v>0</v>
      </c>
      <c r="Y200" s="33">
        <v>25</v>
      </c>
      <c r="Z200" s="30">
        <f>Table2[[#This Row],[UnitPrice]]*Y200*(1-V200)</f>
        <v>55880.483749999999</v>
      </c>
      <c r="AA200" s="31">
        <f>T200*Y200</f>
        <v>33008.25</v>
      </c>
      <c r="AB200" s="31">
        <f t="shared" si="21"/>
        <v>22872.233749999999</v>
      </c>
      <c r="AC200" s="31">
        <f t="shared" si="22"/>
        <v>0.40930629470436536</v>
      </c>
      <c r="AD200" s="31" t="e">
        <f>_xlfn.PERCENTILE.INC(S:S, 0.33)</f>
        <v>#NUM!</v>
      </c>
      <c r="AE200" s="31" t="e">
        <f>_xlfn.PERCENTILE.INC(S:S, 0.66)</f>
        <v>#NUM!</v>
      </c>
      <c r="AF200" s="30" t="e">
        <f t="shared" si="23"/>
        <v>#NUM!</v>
      </c>
    </row>
    <row r="201" spans="1:32" x14ac:dyDescent="0.3">
      <c r="A201" s="2" t="s">
        <v>214</v>
      </c>
      <c r="B201" s="4">
        <v>44939</v>
      </c>
      <c r="C201" s="46">
        <f>EOMONTH(Table2[[#This Row],[OrderDate]],-1)+1</f>
        <v>44927</v>
      </c>
      <c r="D201" s="45">
        <f>EOMONTH(_xlfn.MINIFS(B201:B831,M201:M831,Table2[[#This Row],[Country]]), -1) + 1</f>
        <v>44927</v>
      </c>
      <c r="E201" s="46"/>
      <c r="F201" s="4" t="str">
        <f>"Q"&amp;ROUNDUP(MONTH(B201)/3,0)&amp;"-"&amp;YEAR(B201)</f>
        <v>Q1-2023</v>
      </c>
      <c r="G201" s="4">
        <v>44945</v>
      </c>
      <c r="H201" s="4">
        <f>IF(G201&lt;B201, B201+3, G201)</f>
        <v>44945</v>
      </c>
      <c r="I201" s="10">
        <f>H201-B201</f>
        <v>6</v>
      </c>
      <c r="J201" s="10">
        <f t="shared" si="18"/>
        <v>1</v>
      </c>
      <c r="K201" s="10">
        <f t="shared" si="19"/>
        <v>1</v>
      </c>
      <c r="L201" s="6" t="s">
        <v>648</v>
      </c>
      <c r="M201" s="6" t="s">
        <v>660</v>
      </c>
      <c r="N201" s="6" t="s">
        <v>677</v>
      </c>
      <c r="O201" s="6" t="s">
        <v>701</v>
      </c>
      <c r="P201" s="6" t="s">
        <v>711</v>
      </c>
      <c r="Q201" s="6" t="s">
        <v>722</v>
      </c>
      <c r="R201" s="6" t="s">
        <v>730</v>
      </c>
      <c r="S201" s="6" t="s">
        <v>934</v>
      </c>
      <c r="T201" s="8">
        <v>833.57</v>
      </c>
      <c r="U201" s="8">
        <v>881.57</v>
      </c>
      <c r="V201" s="8">
        <f t="shared" si="20"/>
        <v>5.7000000000000002E-2</v>
      </c>
      <c r="W201" s="8">
        <v>5.7000000000000002E-2</v>
      </c>
      <c r="X201" s="10">
        <f>IF(Table2[[#This Row],[DiscountPct]]&gt;0.2,1,0)</f>
        <v>0</v>
      </c>
      <c r="Y201" s="10">
        <v>18</v>
      </c>
      <c r="Z201" s="30">
        <f>Table2[[#This Row],[UnitPrice]]*Y201*(1-V201)</f>
        <v>14963.769179999999</v>
      </c>
      <c r="AA201" s="2">
        <f>T201*Y201</f>
        <v>15004.26</v>
      </c>
      <c r="AB201" s="2">
        <f t="shared" si="21"/>
        <v>-40.490820000000895</v>
      </c>
      <c r="AC201" s="2">
        <f t="shared" si="22"/>
        <v>-2.7059238560107821E-3</v>
      </c>
      <c r="AD201" s="2" t="e">
        <f>_xlfn.PERCENTILE.INC(S:S, 0.33)</f>
        <v>#NUM!</v>
      </c>
      <c r="AE201" s="2" t="e">
        <f>_xlfn.PERCENTILE.INC(S:S, 0.66)</f>
        <v>#NUM!</v>
      </c>
      <c r="AF201" s="30" t="e">
        <f t="shared" si="23"/>
        <v>#NUM!</v>
      </c>
    </row>
    <row r="202" spans="1:32" x14ac:dyDescent="0.3">
      <c r="A202" s="31" t="s">
        <v>215</v>
      </c>
      <c r="B202" s="32">
        <v>45303</v>
      </c>
      <c r="C202" s="47">
        <f>EOMONTH(Table2[[#This Row],[OrderDate]],-1)+1</f>
        <v>45292</v>
      </c>
      <c r="D202" s="45">
        <f>EOMONTH(_xlfn.MINIFS(B202:B832,M202:M832,Table2[[#This Row],[Country]]), -1) + 1</f>
        <v>44958</v>
      </c>
      <c r="E202" s="47"/>
      <c r="F202" s="32" t="str">
        <f>"Q"&amp;ROUNDUP(MONTH(B202)/3,0)&amp;"-"&amp;YEAR(B202)</f>
        <v>Q1-2024</v>
      </c>
      <c r="G202" s="32">
        <v>45320</v>
      </c>
      <c r="H202" s="32">
        <f>IF(G202&lt;B202, B202+3, G202)</f>
        <v>45320</v>
      </c>
      <c r="I202" s="33">
        <f>H202-B202</f>
        <v>17</v>
      </c>
      <c r="J202" s="33">
        <f t="shared" si="18"/>
        <v>0</v>
      </c>
      <c r="K202" s="33">
        <f t="shared" si="19"/>
        <v>0</v>
      </c>
      <c r="L202" s="34" t="s">
        <v>648</v>
      </c>
      <c r="M202" s="34" t="s">
        <v>660</v>
      </c>
      <c r="N202" s="34" t="s">
        <v>677</v>
      </c>
      <c r="O202" s="34" t="s">
        <v>702</v>
      </c>
      <c r="P202" s="34" t="s">
        <v>710</v>
      </c>
      <c r="Q202" s="34" t="s">
        <v>720</v>
      </c>
      <c r="R202" s="34" t="s">
        <v>728</v>
      </c>
      <c r="S202" s="34" t="s">
        <v>935</v>
      </c>
      <c r="T202" s="35">
        <v>493.76</v>
      </c>
      <c r="U202" s="35">
        <v>625.04</v>
      </c>
      <c r="V202" s="35">
        <f t="shared" si="20"/>
        <v>0.25800000000000001</v>
      </c>
      <c r="W202" s="35">
        <v>0.25800000000000001</v>
      </c>
      <c r="X202" s="33">
        <f>IF(Table2[[#This Row],[DiscountPct]]&gt;0.2,1,0)</f>
        <v>1</v>
      </c>
      <c r="Y202" s="33">
        <v>10</v>
      </c>
      <c r="Z202" s="30">
        <f>Table2[[#This Row],[UnitPrice]]*Y202*(1-V202)</f>
        <v>4637.7968000000001</v>
      </c>
      <c r="AA202" s="31">
        <f>T202*Y202</f>
        <v>4937.6000000000004</v>
      </c>
      <c r="AB202" s="31">
        <f t="shared" si="21"/>
        <v>-299.80320000000029</v>
      </c>
      <c r="AC202" s="31">
        <f t="shared" si="22"/>
        <v>-6.464345311549663E-2</v>
      </c>
      <c r="AD202" s="31" t="e">
        <f>_xlfn.PERCENTILE.INC(S:S, 0.33)</f>
        <v>#NUM!</v>
      </c>
      <c r="AE202" s="31" t="e">
        <f>_xlfn.PERCENTILE.INC(S:S, 0.66)</f>
        <v>#NUM!</v>
      </c>
      <c r="AF202" s="30" t="e">
        <f t="shared" si="23"/>
        <v>#NUM!</v>
      </c>
    </row>
    <row r="203" spans="1:32" x14ac:dyDescent="0.3">
      <c r="A203" s="2" t="s">
        <v>216</v>
      </c>
      <c r="B203" s="4">
        <v>45153</v>
      </c>
      <c r="C203" s="46">
        <f>EOMONTH(Table2[[#This Row],[OrderDate]],-1)+1</f>
        <v>45139</v>
      </c>
      <c r="D203" s="45">
        <f>EOMONTH(_xlfn.MINIFS(B203:B833,M203:M833,Table2[[#This Row],[Country]]), -1) + 1</f>
        <v>44958</v>
      </c>
      <c r="E203" s="46"/>
      <c r="F203" s="4" t="str">
        <f>"Q"&amp;ROUNDUP(MONTH(B203)/3,0)&amp;"-"&amp;YEAR(B203)</f>
        <v>Q3-2023</v>
      </c>
      <c r="G203" s="4">
        <v>45176</v>
      </c>
      <c r="H203" s="4">
        <f>IF(G203&lt;B203, B203+3, G203)</f>
        <v>45176</v>
      </c>
      <c r="I203" s="10">
        <f>H203-B203</f>
        <v>23</v>
      </c>
      <c r="J203" s="10">
        <f t="shared" si="18"/>
        <v>0</v>
      </c>
      <c r="K203" s="10">
        <f t="shared" si="19"/>
        <v>0</v>
      </c>
      <c r="L203" s="6" t="s">
        <v>648</v>
      </c>
      <c r="M203" s="6" t="s">
        <v>660</v>
      </c>
      <c r="N203" s="6" t="s">
        <v>700</v>
      </c>
      <c r="O203" s="6" t="s">
        <v>706</v>
      </c>
      <c r="P203" s="6" t="s">
        <v>708</v>
      </c>
      <c r="Q203" s="6" t="s">
        <v>723</v>
      </c>
      <c r="R203" s="6" t="s">
        <v>730</v>
      </c>
      <c r="S203" s="6" t="s">
        <v>936</v>
      </c>
      <c r="T203" s="8">
        <v>590.33000000000004</v>
      </c>
      <c r="U203" s="8">
        <v>973.04</v>
      </c>
      <c r="V203" s="8">
        <f t="shared" si="20"/>
        <v>0</v>
      </c>
      <c r="W203" s="8">
        <v>0</v>
      </c>
      <c r="X203" s="10">
        <f>IF(Table2[[#This Row],[DiscountPct]]&gt;0.2,1,0)</f>
        <v>0</v>
      </c>
      <c r="Y203" s="10">
        <v>26</v>
      </c>
      <c r="Z203" s="30">
        <f>Table2[[#This Row],[UnitPrice]]*Y203*(1-V203)</f>
        <v>25299.040000000001</v>
      </c>
      <c r="AA203" s="2">
        <f>T203*Y203</f>
        <v>15348.580000000002</v>
      </c>
      <c r="AB203" s="2">
        <f t="shared" si="21"/>
        <v>9950.4599999999991</v>
      </c>
      <c r="AC203" s="2">
        <f t="shared" si="22"/>
        <v>0.39331373838691108</v>
      </c>
      <c r="AD203" s="2" t="e">
        <f>_xlfn.PERCENTILE.INC(S:S, 0.33)</f>
        <v>#NUM!</v>
      </c>
      <c r="AE203" s="2" t="e">
        <f>_xlfn.PERCENTILE.INC(S:S, 0.66)</f>
        <v>#NUM!</v>
      </c>
      <c r="AF203" s="30" t="e">
        <f t="shared" si="23"/>
        <v>#NUM!</v>
      </c>
    </row>
    <row r="204" spans="1:32" x14ac:dyDescent="0.3">
      <c r="A204" s="31" t="s">
        <v>217</v>
      </c>
      <c r="B204" s="32">
        <v>44946</v>
      </c>
      <c r="C204" s="47">
        <f>EOMONTH(Table2[[#This Row],[OrderDate]],-1)+1</f>
        <v>44927</v>
      </c>
      <c r="D204" s="45">
        <f>EOMONTH(_xlfn.MINIFS(B204:B834,M204:M834,Table2[[#This Row],[Country]]), -1) + 1</f>
        <v>44927</v>
      </c>
      <c r="E204" s="47"/>
      <c r="F204" s="32" t="str">
        <f>"Q"&amp;ROUNDUP(MONTH(B204)/3,0)&amp;"-"&amp;YEAR(B204)</f>
        <v>Q1-2023</v>
      </c>
      <c r="G204" s="32">
        <v>44960</v>
      </c>
      <c r="H204" s="32">
        <f>IF(G204&lt;B204, B204+3, G204)</f>
        <v>44960</v>
      </c>
      <c r="I204" s="33">
        <f>H204-B204</f>
        <v>14</v>
      </c>
      <c r="J204" s="33">
        <f t="shared" si="18"/>
        <v>0</v>
      </c>
      <c r="K204" s="33">
        <f t="shared" si="19"/>
        <v>0</v>
      </c>
      <c r="L204" s="34" t="s">
        <v>646</v>
      </c>
      <c r="M204" s="34" t="s">
        <v>650</v>
      </c>
      <c r="N204" s="34" t="s">
        <v>662</v>
      </c>
      <c r="O204" s="34" t="s">
        <v>701</v>
      </c>
      <c r="P204" s="34" t="s">
        <v>707</v>
      </c>
      <c r="Q204" s="34" t="s">
        <v>724</v>
      </c>
      <c r="R204" s="34" t="s">
        <v>729</v>
      </c>
      <c r="S204" s="34" t="s">
        <v>937</v>
      </c>
      <c r="T204" s="35">
        <v>884.36</v>
      </c>
      <c r="U204" s="35">
        <v>1545.34</v>
      </c>
      <c r="V204" s="35">
        <f t="shared" si="20"/>
        <v>0.24299999999999999</v>
      </c>
      <c r="W204" s="35">
        <v>0.24299999999999999</v>
      </c>
      <c r="X204" s="33">
        <f>IF(Table2[[#This Row],[DiscountPct]]&gt;0.2,1,0)</f>
        <v>1</v>
      </c>
      <c r="Y204" s="33">
        <v>41</v>
      </c>
      <c r="Z204" s="30">
        <f>Table2[[#This Row],[UnitPrice]]*Y204*(1-V204)</f>
        <v>47962.717579999997</v>
      </c>
      <c r="AA204" s="31">
        <f>T204*Y204</f>
        <v>36258.76</v>
      </c>
      <c r="AB204" s="31">
        <f t="shared" si="21"/>
        <v>11703.957579999995</v>
      </c>
      <c r="AC204" s="31">
        <f t="shared" si="22"/>
        <v>0.24402198562827965</v>
      </c>
      <c r="AD204" s="31" t="e">
        <f>_xlfn.PERCENTILE.INC(S:S, 0.33)</f>
        <v>#NUM!</v>
      </c>
      <c r="AE204" s="31" t="e">
        <f>_xlfn.PERCENTILE.INC(S:S, 0.66)</f>
        <v>#NUM!</v>
      </c>
      <c r="AF204" s="30" t="e">
        <f t="shared" si="23"/>
        <v>#NUM!</v>
      </c>
    </row>
    <row r="205" spans="1:32" x14ac:dyDescent="0.3">
      <c r="A205" s="2" t="s">
        <v>218</v>
      </c>
      <c r="B205" s="4">
        <v>45692</v>
      </c>
      <c r="C205" s="46">
        <f>EOMONTH(Table2[[#This Row],[OrderDate]],-1)+1</f>
        <v>45689</v>
      </c>
      <c r="D205" s="45">
        <f>EOMONTH(_xlfn.MINIFS(B205:B835,M205:M835,Table2[[#This Row],[Country]]), -1) + 1</f>
        <v>44927</v>
      </c>
      <c r="E205" s="46"/>
      <c r="F205" s="4" t="str">
        <f>"Q"&amp;ROUNDUP(MONTH(B205)/3,0)&amp;"-"&amp;YEAR(B205)</f>
        <v>Q1-2025</v>
      </c>
      <c r="G205" s="4">
        <v>45713</v>
      </c>
      <c r="H205" s="4">
        <f>IF(G205&lt;B205, B205+3, G205)</f>
        <v>45713</v>
      </c>
      <c r="I205" s="10">
        <f>H205-B205</f>
        <v>21</v>
      </c>
      <c r="J205" s="10">
        <f t="shared" si="18"/>
        <v>0</v>
      </c>
      <c r="K205" s="10">
        <f t="shared" si="19"/>
        <v>0</v>
      </c>
      <c r="L205" s="6" t="s">
        <v>649</v>
      </c>
      <c r="M205" s="6" t="s">
        <v>658</v>
      </c>
      <c r="N205" s="6" t="s">
        <v>674</v>
      </c>
      <c r="O205" s="6" t="s">
        <v>701</v>
      </c>
      <c r="P205" s="6" t="s">
        <v>709</v>
      </c>
      <c r="Q205" s="6" t="s">
        <v>726</v>
      </c>
      <c r="R205" s="6" t="s">
        <v>732</v>
      </c>
      <c r="S205" s="6" t="s">
        <v>938</v>
      </c>
      <c r="T205" s="8">
        <v>1016.32</v>
      </c>
      <c r="U205" s="8">
        <v>2253.42</v>
      </c>
      <c r="V205" s="8">
        <f t="shared" si="20"/>
        <v>5.5E-2</v>
      </c>
      <c r="W205" s="8">
        <v>5.5E-2</v>
      </c>
      <c r="X205" s="10">
        <f>IF(Table2[[#This Row],[DiscountPct]]&gt;0.2,1,0)</f>
        <v>0</v>
      </c>
      <c r="Y205" s="10">
        <v>12</v>
      </c>
      <c r="Z205" s="30">
        <f>Table2[[#This Row],[UnitPrice]]*Y205*(1-V205)</f>
        <v>25553.782800000001</v>
      </c>
      <c r="AA205" s="2">
        <f>T205*Y205</f>
        <v>12195.84</v>
      </c>
      <c r="AB205" s="2">
        <f t="shared" si="21"/>
        <v>13357.942800000001</v>
      </c>
      <c r="AC205" s="2">
        <f t="shared" si="22"/>
        <v>0.52273837124419797</v>
      </c>
      <c r="AD205" s="2" t="e">
        <f>_xlfn.PERCENTILE.INC(S:S, 0.33)</f>
        <v>#NUM!</v>
      </c>
      <c r="AE205" s="2" t="e">
        <f>_xlfn.PERCENTILE.INC(S:S, 0.66)</f>
        <v>#NUM!</v>
      </c>
      <c r="AF205" s="30" t="e">
        <f t="shared" si="23"/>
        <v>#NUM!</v>
      </c>
    </row>
    <row r="206" spans="1:32" x14ac:dyDescent="0.3">
      <c r="A206" s="31" t="s">
        <v>219</v>
      </c>
      <c r="B206" s="32">
        <v>45035</v>
      </c>
      <c r="C206" s="47">
        <f>EOMONTH(Table2[[#This Row],[OrderDate]],-1)+1</f>
        <v>45017</v>
      </c>
      <c r="D206" s="45">
        <f>EOMONTH(_xlfn.MINIFS(B206:B836,M206:M836,Table2[[#This Row],[Country]]), -1) + 1</f>
        <v>44927</v>
      </c>
      <c r="E206" s="47"/>
      <c r="F206" s="32" t="str">
        <f>"Q"&amp;ROUNDUP(MONTH(B206)/3,0)&amp;"-"&amp;YEAR(B206)</f>
        <v>Q2-2023</v>
      </c>
      <c r="G206" s="32">
        <v>45044</v>
      </c>
      <c r="H206" s="32">
        <f>IF(G206&lt;B206, B206+3, G206)</f>
        <v>45044</v>
      </c>
      <c r="I206" s="33">
        <f>H206-B206</f>
        <v>9</v>
      </c>
      <c r="J206" s="33">
        <f t="shared" si="18"/>
        <v>0</v>
      </c>
      <c r="K206" s="33">
        <f t="shared" si="19"/>
        <v>0</v>
      </c>
      <c r="L206" s="34" t="s">
        <v>649</v>
      </c>
      <c r="M206" s="34" t="s">
        <v>656</v>
      </c>
      <c r="N206" s="34" t="s">
        <v>671</v>
      </c>
      <c r="O206" s="34" t="s">
        <v>702</v>
      </c>
      <c r="P206" s="34" t="s">
        <v>708</v>
      </c>
      <c r="Q206" s="34" t="s">
        <v>718</v>
      </c>
      <c r="R206" s="34" t="s">
        <v>732</v>
      </c>
      <c r="S206" s="34" t="s">
        <v>939</v>
      </c>
      <c r="T206" s="35">
        <v>1178.42</v>
      </c>
      <c r="U206" s="35">
        <v>2446.56</v>
      </c>
      <c r="V206" s="35">
        <f t="shared" si="20"/>
        <v>2.9000000000000001E-2</v>
      </c>
      <c r="W206" s="35">
        <v>2.9000000000000001E-2</v>
      </c>
      <c r="X206" s="33">
        <f>IF(Table2[[#This Row],[DiscountPct]]&gt;0.2,1,0)</f>
        <v>0</v>
      </c>
      <c r="Y206" s="33">
        <v>11</v>
      </c>
      <c r="Z206" s="30">
        <f>Table2[[#This Row],[UnitPrice]]*Y206*(1-V206)</f>
        <v>26131.70736</v>
      </c>
      <c r="AA206" s="31">
        <f>T206*Y206</f>
        <v>12962.62</v>
      </c>
      <c r="AB206" s="31">
        <f t="shared" si="21"/>
        <v>13169.08736</v>
      </c>
      <c r="AC206" s="31">
        <f t="shared" si="22"/>
        <v>0.5039505141618883</v>
      </c>
      <c r="AD206" s="31" t="e">
        <f>_xlfn.PERCENTILE.INC(S:S, 0.33)</f>
        <v>#NUM!</v>
      </c>
      <c r="AE206" s="31" t="e">
        <f>_xlfn.PERCENTILE.INC(S:S, 0.66)</f>
        <v>#NUM!</v>
      </c>
      <c r="AF206" s="30" t="e">
        <f t="shared" si="23"/>
        <v>#NUM!</v>
      </c>
    </row>
    <row r="207" spans="1:32" x14ac:dyDescent="0.3">
      <c r="A207" s="2" t="s">
        <v>220</v>
      </c>
      <c r="B207" s="4">
        <v>45109</v>
      </c>
      <c r="C207" s="46">
        <f>EOMONTH(Table2[[#This Row],[OrderDate]],-1)+1</f>
        <v>45108</v>
      </c>
      <c r="D207" s="45">
        <f>EOMONTH(_xlfn.MINIFS(B207:B837,M207:M837,Table2[[#This Row],[Country]]), -1) + 1</f>
        <v>44927</v>
      </c>
      <c r="E207" s="46"/>
      <c r="F207" s="4" t="str">
        <f>"Q"&amp;ROUNDUP(MONTH(B207)/3,0)&amp;"-"&amp;YEAR(B207)</f>
        <v>Q3-2023</v>
      </c>
      <c r="G207" s="4">
        <v>45139</v>
      </c>
      <c r="H207" s="4">
        <f>IF(G207&lt;B207, B207+3, G207)</f>
        <v>45139</v>
      </c>
      <c r="I207" s="10">
        <f>H207-B207</f>
        <v>30</v>
      </c>
      <c r="J207" s="10">
        <f t="shared" si="18"/>
        <v>0</v>
      </c>
      <c r="K207" s="10">
        <f t="shared" si="19"/>
        <v>0</v>
      </c>
      <c r="L207" s="6" t="s">
        <v>649</v>
      </c>
      <c r="M207" s="6" t="s">
        <v>658</v>
      </c>
      <c r="N207" s="6" t="s">
        <v>674</v>
      </c>
      <c r="O207" s="6" t="s">
        <v>705</v>
      </c>
      <c r="P207" s="6" t="s">
        <v>707</v>
      </c>
      <c r="Q207" s="6" t="s">
        <v>717</v>
      </c>
      <c r="R207" s="6" t="s">
        <v>727</v>
      </c>
      <c r="S207" s="6" t="s">
        <v>940</v>
      </c>
      <c r="T207" s="8">
        <v>137.46</v>
      </c>
      <c r="U207" s="8">
        <v>188.3</v>
      </c>
      <c r="V207" s="8">
        <f t="shared" si="20"/>
        <v>3.7999999999999999E-2</v>
      </c>
      <c r="W207" s="8">
        <v>3.7999999999999999E-2</v>
      </c>
      <c r="X207" s="10">
        <f>IF(Table2[[#This Row],[DiscountPct]]&gt;0.2,1,0)</f>
        <v>0</v>
      </c>
      <c r="Y207" s="10">
        <v>37</v>
      </c>
      <c r="Z207" s="30">
        <f>Table2[[#This Row],[UnitPrice]]*Y207*(1-V207)</f>
        <v>6702.3501999999999</v>
      </c>
      <c r="AA207" s="2">
        <f>T207*Y207</f>
        <v>5086.0200000000004</v>
      </c>
      <c r="AB207" s="2">
        <f t="shared" si="21"/>
        <v>1616.3301999999994</v>
      </c>
      <c r="AC207" s="2">
        <f t="shared" si="22"/>
        <v>0.24115872071262398</v>
      </c>
      <c r="AD207" s="2" t="e">
        <f>_xlfn.PERCENTILE.INC(S:S, 0.33)</f>
        <v>#NUM!</v>
      </c>
      <c r="AE207" s="2" t="e">
        <f>_xlfn.PERCENTILE.INC(S:S, 0.66)</f>
        <v>#NUM!</v>
      </c>
      <c r="AF207" s="30" t="e">
        <f t="shared" si="23"/>
        <v>#NUM!</v>
      </c>
    </row>
    <row r="208" spans="1:32" x14ac:dyDescent="0.3">
      <c r="A208" s="31" t="s">
        <v>221</v>
      </c>
      <c r="B208" s="32">
        <v>45678</v>
      </c>
      <c r="C208" s="47">
        <f>EOMONTH(Table2[[#This Row],[OrderDate]],-1)+1</f>
        <v>45658</v>
      </c>
      <c r="D208" s="45">
        <f>EOMONTH(_xlfn.MINIFS(B208:B838,M208:M838,Table2[[#This Row],[Country]]), -1) + 1</f>
        <v>44958</v>
      </c>
      <c r="E208" s="47"/>
      <c r="F208" s="32" t="str">
        <f>"Q"&amp;ROUNDUP(MONTH(B208)/3,0)&amp;"-"&amp;YEAR(B208)</f>
        <v>Q1-2025</v>
      </c>
      <c r="G208" s="32">
        <v>45702</v>
      </c>
      <c r="H208" s="32">
        <f>IF(G208&lt;B208, B208+3, G208)</f>
        <v>45702</v>
      </c>
      <c r="I208" s="33">
        <f>H208-B208</f>
        <v>24</v>
      </c>
      <c r="J208" s="33">
        <f t="shared" si="18"/>
        <v>0</v>
      </c>
      <c r="K208" s="33">
        <f t="shared" si="19"/>
        <v>0</v>
      </c>
      <c r="L208" s="34" t="s">
        <v>646</v>
      </c>
      <c r="M208" s="34" t="s">
        <v>650</v>
      </c>
      <c r="N208" s="34" t="s">
        <v>664</v>
      </c>
      <c r="O208" s="34" t="s">
        <v>705</v>
      </c>
      <c r="P208" s="34" t="s">
        <v>707</v>
      </c>
      <c r="Q208" s="34" t="s">
        <v>713</v>
      </c>
      <c r="R208" s="34" t="s">
        <v>733</v>
      </c>
      <c r="S208" s="34" t="s">
        <v>941</v>
      </c>
      <c r="T208" s="35">
        <v>1030.44</v>
      </c>
      <c r="U208" s="35">
        <v>2562.84</v>
      </c>
      <c r="V208" s="35">
        <f t="shared" si="20"/>
        <v>0.14799999999999999</v>
      </c>
      <c r="W208" s="35">
        <v>0.14799999999999999</v>
      </c>
      <c r="X208" s="33">
        <f>IF(Table2[[#This Row],[DiscountPct]]&gt;0.2,1,0)</f>
        <v>0</v>
      </c>
      <c r="Y208" s="33">
        <v>13</v>
      </c>
      <c r="Z208" s="30">
        <f>Table2[[#This Row],[UnitPrice]]*Y208*(1-V208)</f>
        <v>28386.015839999996</v>
      </c>
      <c r="AA208" s="31">
        <f>T208*Y208</f>
        <v>13395.720000000001</v>
      </c>
      <c r="AB208" s="31">
        <f t="shared" si="21"/>
        <v>14990.295839999995</v>
      </c>
      <c r="AC208" s="31">
        <f t="shared" si="22"/>
        <v>0.52808734852027039</v>
      </c>
      <c r="AD208" s="31" t="e">
        <f>_xlfn.PERCENTILE.INC(S:S, 0.33)</f>
        <v>#NUM!</v>
      </c>
      <c r="AE208" s="31" t="e">
        <f>_xlfn.PERCENTILE.INC(S:S, 0.66)</f>
        <v>#NUM!</v>
      </c>
      <c r="AF208" s="30" t="e">
        <f t="shared" si="23"/>
        <v>#NUM!</v>
      </c>
    </row>
    <row r="209" spans="1:32" x14ac:dyDescent="0.3">
      <c r="A209" s="2" t="s">
        <v>222</v>
      </c>
      <c r="B209" s="4">
        <v>45545</v>
      </c>
      <c r="C209" s="46">
        <f>EOMONTH(Table2[[#This Row],[OrderDate]],-1)+1</f>
        <v>45536</v>
      </c>
      <c r="D209" s="45">
        <f>EOMONTH(_xlfn.MINIFS(B209:B839,M209:M839,Table2[[#This Row],[Country]]), -1) + 1</f>
        <v>44958</v>
      </c>
      <c r="E209" s="46"/>
      <c r="F209" s="4" t="str">
        <f>"Q"&amp;ROUNDUP(MONTH(B209)/3,0)&amp;"-"&amp;YEAR(B209)</f>
        <v>Q3-2024</v>
      </c>
      <c r="G209" s="4">
        <v>45572</v>
      </c>
      <c r="H209" s="4">
        <f>IF(G209&lt;B209, B209+3, G209)</f>
        <v>45572</v>
      </c>
      <c r="I209" s="10">
        <f>H209-B209</f>
        <v>27</v>
      </c>
      <c r="J209" s="10">
        <f t="shared" si="18"/>
        <v>0</v>
      </c>
      <c r="K209" s="10">
        <f t="shared" si="19"/>
        <v>0</v>
      </c>
      <c r="L209" s="6" t="s">
        <v>646</v>
      </c>
      <c r="M209" s="6" t="s">
        <v>650</v>
      </c>
      <c r="N209" s="6" t="s">
        <v>662</v>
      </c>
      <c r="O209" s="6" t="s">
        <v>704</v>
      </c>
      <c r="P209" s="6" t="s">
        <v>707</v>
      </c>
      <c r="Q209" s="6" t="s">
        <v>716</v>
      </c>
      <c r="R209" s="6" t="s">
        <v>728</v>
      </c>
      <c r="S209" s="6" t="s">
        <v>942</v>
      </c>
      <c r="T209" s="8">
        <v>1248.3900000000001</v>
      </c>
      <c r="U209" s="8">
        <v>1805.11</v>
      </c>
      <c r="V209" s="8">
        <f t="shared" si="20"/>
        <v>0.20300000000000001</v>
      </c>
      <c r="W209" s="8">
        <v>0.20300000000000001</v>
      </c>
      <c r="X209" s="10">
        <f>IF(Table2[[#This Row],[DiscountPct]]&gt;0.2,1,0)</f>
        <v>1</v>
      </c>
      <c r="Y209" s="10">
        <v>11</v>
      </c>
      <c r="Z209" s="30">
        <f>Table2[[#This Row],[UnitPrice]]*Y209*(1-V209)</f>
        <v>15825.399369999997</v>
      </c>
      <c r="AA209" s="2">
        <f>T209*Y209</f>
        <v>13732.29</v>
      </c>
      <c r="AB209" s="2">
        <f t="shared" si="21"/>
        <v>2093.1093699999965</v>
      </c>
      <c r="AC209" s="2">
        <f t="shared" si="22"/>
        <v>0.13226265707820786</v>
      </c>
      <c r="AD209" s="2" t="e">
        <f>_xlfn.PERCENTILE.INC(S:S, 0.33)</f>
        <v>#NUM!</v>
      </c>
      <c r="AE209" s="2" t="e">
        <f>_xlfn.PERCENTILE.INC(S:S, 0.66)</f>
        <v>#NUM!</v>
      </c>
      <c r="AF209" s="30" t="e">
        <f t="shared" si="23"/>
        <v>#NUM!</v>
      </c>
    </row>
    <row r="210" spans="1:32" x14ac:dyDescent="0.3">
      <c r="A210" s="31" t="s">
        <v>223</v>
      </c>
      <c r="B210" s="32">
        <v>45859</v>
      </c>
      <c r="C210" s="47">
        <f>EOMONTH(Table2[[#This Row],[OrderDate]],-1)+1</f>
        <v>45839</v>
      </c>
      <c r="D210" s="45">
        <f>EOMONTH(_xlfn.MINIFS(B210:B840,M210:M840,Table2[[#This Row],[Country]]), -1) + 1</f>
        <v>44958</v>
      </c>
      <c r="E210" s="47"/>
      <c r="F210" s="32" t="str">
        <f>"Q"&amp;ROUNDUP(MONTH(B210)/3,0)&amp;"-"&amp;YEAR(B210)</f>
        <v>Q3-2025</v>
      </c>
      <c r="G210" s="32">
        <v>45876</v>
      </c>
      <c r="H210" s="32">
        <f>IF(G210&lt;B210, B210+3, G210)</f>
        <v>45876</v>
      </c>
      <c r="I210" s="33">
        <f>H210-B210</f>
        <v>17</v>
      </c>
      <c r="J210" s="33">
        <f t="shared" si="18"/>
        <v>0</v>
      </c>
      <c r="K210" s="33">
        <f t="shared" si="19"/>
        <v>0</v>
      </c>
      <c r="L210" s="34" t="s">
        <v>646</v>
      </c>
      <c r="M210" s="34" t="s">
        <v>651</v>
      </c>
      <c r="N210" s="34" t="s">
        <v>665</v>
      </c>
      <c r="O210" s="34" t="s">
        <v>706</v>
      </c>
      <c r="P210" s="34" t="s">
        <v>711</v>
      </c>
      <c r="Q210" s="34" t="s">
        <v>724</v>
      </c>
      <c r="R210" s="34" t="s">
        <v>733</v>
      </c>
      <c r="S210" s="34" t="s">
        <v>943</v>
      </c>
      <c r="T210" s="35">
        <v>1204.95</v>
      </c>
      <c r="U210" s="35">
        <v>2065.73</v>
      </c>
      <c r="V210" s="35">
        <f t="shared" si="20"/>
        <v>0.13600000000000001</v>
      </c>
      <c r="W210" s="35">
        <v>0.13600000000000001</v>
      </c>
      <c r="X210" s="33">
        <f>IF(Table2[[#This Row],[DiscountPct]]&gt;0.2,1,0)</f>
        <v>0</v>
      </c>
      <c r="Y210" s="33">
        <v>10</v>
      </c>
      <c r="Z210" s="30">
        <f>Table2[[#This Row],[UnitPrice]]*Y210*(1-V210)</f>
        <v>17847.907199999998</v>
      </c>
      <c r="AA210" s="31">
        <f>T210*Y210</f>
        <v>12049.5</v>
      </c>
      <c r="AB210" s="31">
        <f t="shared" si="21"/>
        <v>5798.4071999999978</v>
      </c>
      <c r="AC210" s="31">
        <f t="shared" si="22"/>
        <v>0.32487882949100039</v>
      </c>
      <c r="AD210" s="31" t="e">
        <f>_xlfn.PERCENTILE.INC(S:S, 0.33)</f>
        <v>#NUM!</v>
      </c>
      <c r="AE210" s="31" t="e">
        <f>_xlfn.PERCENTILE.INC(S:S, 0.66)</f>
        <v>#NUM!</v>
      </c>
      <c r="AF210" s="30" t="e">
        <f t="shared" si="23"/>
        <v>#NUM!</v>
      </c>
    </row>
    <row r="211" spans="1:32" x14ac:dyDescent="0.3">
      <c r="A211" s="2" t="s">
        <v>224</v>
      </c>
      <c r="B211" s="4">
        <v>45567</v>
      </c>
      <c r="C211" s="46">
        <f>EOMONTH(Table2[[#This Row],[OrderDate]],-1)+1</f>
        <v>45566</v>
      </c>
      <c r="D211" s="45">
        <f>EOMONTH(_xlfn.MINIFS(B211:B841,M211:M841,Table2[[#This Row],[Country]]), -1) + 1</f>
        <v>44927</v>
      </c>
      <c r="E211" s="46"/>
      <c r="F211" s="4" t="str">
        <f>"Q"&amp;ROUNDUP(MONTH(B211)/3,0)&amp;"-"&amp;YEAR(B211)</f>
        <v>Q4-2024</v>
      </c>
      <c r="G211" s="4">
        <v>45588</v>
      </c>
      <c r="H211" s="4">
        <f>IF(G211&lt;B211, B211+3, G211)</f>
        <v>45588</v>
      </c>
      <c r="I211" s="10">
        <f>H211-B211</f>
        <v>21</v>
      </c>
      <c r="J211" s="10">
        <f t="shared" si="18"/>
        <v>0</v>
      </c>
      <c r="K211" s="10">
        <f t="shared" si="19"/>
        <v>0</v>
      </c>
      <c r="L211" s="6" t="s">
        <v>646</v>
      </c>
      <c r="M211" s="6" t="s">
        <v>661</v>
      </c>
      <c r="N211" s="6" t="s">
        <v>687</v>
      </c>
      <c r="O211" s="6" t="s">
        <v>701</v>
      </c>
      <c r="P211" s="6" t="s">
        <v>709</v>
      </c>
      <c r="Q211" s="6" t="s">
        <v>720</v>
      </c>
      <c r="R211" s="6" t="s">
        <v>727</v>
      </c>
      <c r="S211" s="6" t="s">
        <v>944</v>
      </c>
      <c r="T211" s="8">
        <v>1095.6099999999999</v>
      </c>
      <c r="U211" s="8">
        <v>2366.5100000000002</v>
      </c>
      <c r="V211" s="8">
        <f t="shared" si="20"/>
        <v>0.152</v>
      </c>
      <c r="W211" s="8">
        <v>0.152</v>
      </c>
      <c r="X211" s="10">
        <f>IF(Table2[[#This Row],[DiscountPct]]&gt;0.2,1,0)</f>
        <v>0</v>
      </c>
      <c r="Y211" s="10">
        <v>9</v>
      </c>
      <c r="Z211" s="30">
        <f>Table2[[#This Row],[UnitPrice]]*Y211*(1-V211)</f>
        <v>18061.204320000004</v>
      </c>
      <c r="AA211" s="2">
        <f>T211*Y211</f>
        <v>9860.49</v>
      </c>
      <c r="AB211" s="2">
        <f t="shared" si="21"/>
        <v>8200.7143200000046</v>
      </c>
      <c r="AC211" s="2">
        <f t="shared" si="22"/>
        <v>0.4540513564158607</v>
      </c>
      <c r="AD211" s="2" t="e">
        <f>_xlfn.PERCENTILE.INC(S:S, 0.33)</f>
        <v>#NUM!</v>
      </c>
      <c r="AE211" s="2" t="e">
        <f>_xlfn.PERCENTILE.INC(S:S, 0.66)</f>
        <v>#NUM!</v>
      </c>
      <c r="AF211" s="30" t="e">
        <f t="shared" si="23"/>
        <v>#NUM!</v>
      </c>
    </row>
    <row r="212" spans="1:32" x14ac:dyDescent="0.3">
      <c r="A212" s="31" t="s">
        <v>225</v>
      </c>
      <c r="B212" s="32">
        <v>45852</v>
      </c>
      <c r="C212" s="47">
        <f>EOMONTH(Table2[[#This Row],[OrderDate]],-1)+1</f>
        <v>45839</v>
      </c>
      <c r="D212" s="45">
        <f>EOMONTH(_xlfn.MINIFS(B212:B842,M212:M842,Table2[[#This Row],[Country]]), -1) + 1</f>
        <v>44986</v>
      </c>
      <c r="E212" s="47"/>
      <c r="F212" s="32" t="str">
        <f>"Q"&amp;ROUNDUP(MONTH(B212)/3,0)&amp;"-"&amp;YEAR(B212)</f>
        <v>Q3-2025</v>
      </c>
      <c r="G212" s="32">
        <v>45873</v>
      </c>
      <c r="H212" s="32">
        <f>IF(G212&lt;B212, B212+3, G212)</f>
        <v>45873</v>
      </c>
      <c r="I212" s="33">
        <f>H212-B212</f>
        <v>21</v>
      </c>
      <c r="J212" s="33">
        <f t="shared" si="18"/>
        <v>0</v>
      </c>
      <c r="K212" s="33">
        <f t="shared" si="19"/>
        <v>0</v>
      </c>
      <c r="L212" s="34" t="s">
        <v>648</v>
      </c>
      <c r="M212" s="34" t="s">
        <v>653</v>
      </c>
      <c r="N212" s="34" t="s">
        <v>681</v>
      </c>
      <c r="O212" s="34" t="s">
        <v>704</v>
      </c>
      <c r="P212" s="34" t="s">
        <v>708</v>
      </c>
      <c r="Q212" s="34" t="s">
        <v>722</v>
      </c>
      <c r="R212" s="34" t="s">
        <v>732</v>
      </c>
      <c r="S212" s="34" t="s">
        <v>945</v>
      </c>
      <c r="T212" s="35">
        <v>90.3</v>
      </c>
      <c r="U212" s="35">
        <v>131.76</v>
      </c>
      <c r="V212" s="35">
        <f t="shared" si="20"/>
        <v>0.10199999999999999</v>
      </c>
      <c r="W212" s="35">
        <v>0.10199999999999999</v>
      </c>
      <c r="X212" s="33">
        <f>IF(Table2[[#This Row],[DiscountPct]]&gt;0.2,1,0)</f>
        <v>0</v>
      </c>
      <c r="Y212" s="33">
        <v>15</v>
      </c>
      <c r="Z212" s="30">
        <f>Table2[[#This Row],[UnitPrice]]*Y212*(1-V212)</f>
        <v>1774.8072</v>
      </c>
      <c r="AA212" s="31">
        <f>T212*Y212</f>
        <v>1354.5</v>
      </c>
      <c r="AB212" s="31">
        <f t="shared" si="21"/>
        <v>420.30719999999997</v>
      </c>
      <c r="AC212" s="31">
        <f t="shared" si="22"/>
        <v>0.23681851189244668</v>
      </c>
      <c r="AD212" s="31" t="e">
        <f>_xlfn.PERCENTILE.INC(S:S, 0.33)</f>
        <v>#NUM!</v>
      </c>
      <c r="AE212" s="31" t="e">
        <f>_xlfn.PERCENTILE.INC(S:S, 0.66)</f>
        <v>#NUM!</v>
      </c>
      <c r="AF212" s="30" t="e">
        <f t="shared" si="23"/>
        <v>#NUM!</v>
      </c>
    </row>
    <row r="213" spans="1:32" x14ac:dyDescent="0.3">
      <c r="A213" s="2" t="s">
        <v>226</v>
      </c>
      <c r="B213" s="4">
        <v>45544</v>
      </c>
      <c r="C213" s="46">
        <f>EOMONTH(Table2[[#This Row],[OrderDate]],-1)+1</f>
        <v>45536</v>
      </c>
      <c r="D213" s="45">
        <f>EOMONTH(_xlfn.MINIFS(B213:B843,M213:M843,Table2[[#This Row],[Country]]), -1) + 1</f>
        <v>44927</v>
      </c>
      <c r="E213" s="46"/>
      <c r="F213" s="4" t="str">
        <f>"Q"&amp;ROUNDUP(MONTH(B213)/3,0)&amp;"-"&amp;YEAR(B213)</f>
        <v>Q3-2024</v>
      </c>
      <c r="G213" s="4">
        <v>45566</v>
      </c>
      <c r="H213" s="4">
        <f>IF(G213&lt;B213, B213+3, G213)</f>
        <v>45566</v>
      </c>
      <c r="I213" s="10">
        <f>H213-B213</f>
        <v>22</v>
      </c>
      <c r="J213" s="10">
        <f t="shared" si="18"/>
        <v>0</v>
      </c>
      <c r="K213" s="10">
        <f t="shared" si="19"/>
        <v>0</v>
      </c>
      <c r="L213" s="6" t="s">
        <v>647</v>
      </c>
      <c r="M213" s="6" t="s">
        <v>659</v>
      </c>
      <c r="N213" s="6" t="s">
        <v>676</v>
      </c>
      <c r="O213" s="6" t="s">
        <v>704</v>
      </c>
      <c r="P213" s="6" t="s">
        <v>711</v>
      </c>
      <c r="Q213" s="6" t="s">
        <v>716</v>
      </c>
      <c r="R213" s="6" t="s">
        <v>728</v>
      </c>
      <c r="S213" s="6" t="s">
        <v>946</v>
      </c>
      <c r="T213" s="8">
        <v>1166.18</v>
      </c>
      <c r="U213" s="8">
        <v>1335.02</v>
      </c>
      <c r="V213" s="8">
        <f t="shared" si="20"/>
        <v>0.128</v>
      </c>
      <c r="W213" s="8">
        <v>0.128</v>
      </c>
      <c r="X213" s="10">
        <f>IF(Table2[[#This Row],[DiscountPct]]&gt;0.2,1,0)</f>
        <v>0</v>
      </c>
      <c r="Y213" s="10">
        <v>6</v>
      </c>
      <c r="Z213" s="30">
        <f>Table2[[#This Row],[UnitPrice]]*Y213*(1-V213)</f>
        <v>6984.8246399999998</v>
      </c>
      <c r="AA213" s="2">
        <f>T213*Y213</f>
        <v>6997.08</v>
      </c>
      <c r="AB213" s="2">
        <f t="shared" si="21"/>
        <v>-12.25536000000011</v>
      </c>
      <c r="AC213" s="2">
        <f t="shared" si="22"/>
        <v>-1.7545694604582242E-3</v>
      </c>
      <c r="AD213" s="2" t="e">
        <f>_xlfn.PERCENTILE.INC(S:S, 0.33)</f>
        <v>#NUM!</v>
      </c>
      <c r="AE213" s="2" t="e">
        <f>_xlfn.PERCENTILE.INC(S:S, 0.66)</f>
        <v>#NUM!</v>
      </c>
      <c r="AF213" s="30" t="e">
        <f t="shared" si="23"/>
        <v>#NUM!</v>
      </c>
    </row>
    <row r="214" spans="1:32" x14ac:dyDescent="0.3">
      <c r="A214" s="31" t="s">
        <v>227</v>
      </c>
      <c r="B214" s="32">
        <v>45686</v>
      </c>
      <c r="C214" s="47">
        <f>EOMONTH(Table2[[#This Row],[OrderDate]],-1)+1</f>
        <v>45658</v>
      </c>
      <c r="D214" s="45">
        <f>EOMONTH(_xlfn.MINIFS(B214:B844,M214:M844,Table2[[#This Row],[Country]]), -1) + 1</f>
        <v>44958</v>
      </c>
      <c r="E214" s="47"/>
      <c r="F214" s="32" t="str">
        <f>"Q"&amp;ROUNDUP(MONTH(B214)/3,0)&amp;"-"&amp;YEAR(B214)</f>
        <v>Q1-2025</v>
      </c>
      <c r="G214" s="32">
        <v>45694</v>
      </c>
      <c r="H214" s="32">
        <f>IF(G214&lt;B214, B214+3, G214)</f>
        <v>45694</v>
      </c>
      <c r="I214" s="33">
        <f>H214-B214</f>
        <v>8</v>
      </c>
      <c r="J214" s="33">
        <f t="shared" si="18"/>
        <v>0</v>
      </c>
      <c r="K214" s="33">
        <f t="shared" si="19"/>
        <v>0</v>
      </c>
      <c r="L214" s="34" t="s">
        <v>646</v>
      </c>
      <c r="M214" s="34" t="s">
        <v>650</v>
      </c>
      <c r="N214" s="34" t="s">
        <v>662</v>
      </c>
      <c r="O214" s="34" t="s">
        <v>702</v>
      </c>
      <c r="P214" s="34" t="s">
        <v>707</v>
      </c>
      <c r="Q214" s="34" t="s">
        <v>717</v>
      </c>
      <c r="R214" s="34" t="s">
        <v>730</v>
      </c>
      <c r="S214" s="34" t="s">
        <v>947</v>
      </c>
      <c r="T214" s="35">
        <v>1445.27</v>
      </c>
      <c r="U214" s="35">
        <v>2691.45</v>
      </c>
      <c r="V214" s="35">
        <f t="shared" si="20"/>
        <v>0</v>
      </c>
      <c r="W214" s="35">
        <v>0</v>
      </c>
      <c r="X214" s="33">
        <f>IF(Table2[[#This Row],[DiscountPct]]&gt;0.2,1,0)</f>
        <v>0</v>
      </c>
      <c r="Y214" s="33">
        <v>9</v>
      </c>
      <c r="Z214" s="30">
        <f>Table2[[#This Row],[UnitPrice]]*Y214*(1-V214)</f>
        <v>24223.05</v>
      </c>
      <c r="AA214" s="31">
        <f>T214*Y214</f>
        <v>13007.43</v>
      </c>
      <c r="AB214" s="31">
        <f t="shared" si="21"/>
        <v>11215.619999999999</v>
      </c>
      <c r="AC214" s="31">
        <f t="shared" si="22"/>
        <v>0.46301436028906351</v>
      </c>
      <c r="AD214" s="31" t="e">
        <f>_xlfn.PERCENTILE.INC(S:S, 0.33)</f>
        <v>#NUM!</v>
      </c>
      <c r="AE214" s="31" t="e">
        <f>_xlfn.PERCENTILE.INC(S:S, 0.66)</f>
        <v>#NUM!</v>
      </c>
      <c r="AF214" s="30" t="e">
        <f t="shared" si="23"/>
        <v>#NUM!</v>
      </c>
    </row>
    <row r="215" spans="1:32" x14ac:dyDescent="0.3">
      <c r="A215" s="2" t="s">
        <v>228</v>
      </c>
      <c r="B215" s="4">
        <v>45240</v>
      </c>
      <c r="C215" s="46">
        <f>EOMONTH(Table2[[#This Row],[OrderDate]],-1)+1</f>
        <v>45231</v>
      </c>
      <c r="D215" s="45">
        <f>EOMONTH(_xlfn.MINIFS(B215:B845,M215:M845,Table2[[#This Row],[Country]]), -1) + 1</f>
        <v>44927</v>
      </c>
      <c r="E215" s="46"/>
      <c r="F215" s="4" t="str">
        <f>"Q"&amp;ROUNDUP(MONTH(B215)/3,0)&amp;"-"&amp;YEAR(B215)</f>
        <v>Q4-2023</v>
      </c>
      <c r="G215" s="4">
        <v>45258</v>
      </c>
      <c r="H215" s="4">
        <f>IF(G215&lt;B215, B215+3, G215)</f>
        <v>45258</v>
      </c>
      <c r="I215" s="10">
        <f>H215-B215</f>
        <v>18</v>
      </c>
      <c r="J215" s="10">
        <f t="shared" si="18"/>
        <v>0</v>
      </c>
      <c r="K215" s="10">
        <f t="shared" si="19"/>
        <v>0</v>
      </c>
      <c r="L215" s="6" t="s">
        <v>648</v>
      </c>
      <c r="M215" s="6" t="s">
        <v>655</v>
      </c>
      <c r="N215" s="6" t="s">
        <v>672</v>
      </c>
      <c r="O215" s="6" t="s">
        <v>702</v>
      </c>
      <c r="P215" s="6" t="s">
        <v>709</v>
      </c>
      <c r="Q215" s="6" t="s">
        <v>716</v>
      </c>
      <c r="R215" s="6" t="s">
        <v>733</v>
      </c>
      <c r="S215" s="6" t="s">
        <v>948</v>
      </c>
      <c r="T215" s="8">
        <v>388.51</v>
      </c>
      <c r="U215" s="8">
        <v>776.46</v>
      </c>
      <c r="V215" s="8">
        <f t="shared" si="20"/>
        <v>0.157</v>
      </c>
      <c r="W215" s="8">
        <v>0.157</v>
      </c>
      <c r="X215" s="10">
        <f>IF(Table2[[#This Row],[DiscountPct]]&gt;0.2,1,0)</f>
        <v>0</v>
      </c>
      <c r="Y215" s="10">
        <v>12</v>
      </c>
      <c r="Z215" s="30">
        <f>Table2[[#This Row],[UnitPrice]]*Y215*(1-V215)</f>
        <v>7854.6693599999999</v>
      </c>
      <c r="AA215" s="2">
        <f>T215*Y215</f>
        <v>4662.12</v>
      </c>
      <c r="AB215" s="2">
        <f t="shared" si="21"/>
        <v>3192.54936</v>
      </c>
      <c r="AC215" s="2">
        <f t="shared" si="22"/>
        <v>0.40645241876864946</v>
      </c>
      <c r="AD215" s="2" t="e">
        <f>_xlfn.PERCENTILE.INC(S:S, 0.33)</f>
        <v>#NUM!</v>
      </c>
      <c r="AE215" s="2" t="e">
        <f>_xlfn.PERCENTILE.INC(S:S, 0.66)</f>
        <v>#NUM!</v>
      </c>
      <c r="AF215" s="30" t="e">
        <f t="shared" si="23"/>
        <v>#NUM!</v>
      </c>
    </row>
    <row r="216" spans="1:32" x14ac:dyDescent="0.3">
      <c r="A216" s="31" t="s">
        <v>229</v>
      </c>
      <c r="B216" s="32">
        <v>45351</v>
      </c>
      <c r="C216" s="47">
        <f>EOMONTH(Table2[[#This Row],[OrderDate]],-1)+1</f>
        <v>45323</v>
      </c>
      <c r="D216" s="45">
        <f>EOMONTH(_xlfn.MINIFS(B216:B846,M216:M846,Table2[[#This Row],[Country]]), -1) + 1</f>
        <v>44986</v>
      </c>
      <c r="E216" s="47"/>
      <c r="F216" s="32" t="str">
        <f>"Q"&amp;ROUNDUP(MONTH(B216)/3,0)&amp;"-"&amp;YEAR(B216)</f>
        <v>Q1-2024</v>
      </c>
      <c r="G216" s="32">
        <v>45381</v>
      </c>
      <c r="H216" s="32">
        <f>IF(G216&lt;B216, B216+3, G216)</f>
        <v>45381</v>
      </c>
      <c r="I216" s="33">
        <f>H216-B216</f>
        <v>30</v>
      </c>
      <c r="J216" s="33">
        <f t="shared" si="18"/>
        <v>0</v>
      </c>
      <c r="K216" s="33">
        <f t="shared" si="19"/>
        <v>0</v>
      </c>
      <c r="L216" s="34" t="s">
        <v>647</v>
      </c>
      <c r="M216" s="34" t="s">
        <v>652</v>
      </c>
      <c r="N216" s="34" t="s">
        <v>694</v>
      </c>
      <c r="O216" s="34" t="s">
        <v>705</v>
      </c>
      <c r="P216" s="34" t="s">
        <v>711</v>
      </c>
      <c r="Q216" s="34" t="s">
        <v>714</v>
      </c>
      <c r="R216" s="34" t="s">
        <v>729</v>
      </c>
      <c r="S216" s="34" t="s">
        <v>949</v>
      </c>
      <c r="T216" s="35">
        <v>231.11</v>
      </c>
      <c r="U216" s="35">
        <v>318.17</v>
      </c>
      <c r="V216" s="35">
        <f t="shared" si="20"/>
        <v>0.20100000000000001</v>
      </c>
      <c r="W216" s="35">
        <v>0.20100000000000001</v>
      </c>
      <c r="X216" s="33">
        <f>IF(Table2[[#This Row],[DiscountPct]]&gt;0.2,1,0)</f>
        <v>1</v>
      </c>
      <c r="Y216" s="33">
        <v>60</v>
      </c>
      <c r="Z216" s="30">
        <f>Table2[[#This Row],[UnitPrice]]*Y216*(1-V216)</f>
        <v>15253.069799999999</v>
      </c>
      <c r="AA216" s="31">
        <f>T216*Y216</f>
        <v>13866.6</v>
      </c>
      <c r="AB216" s="31">
        <f t="shared" si="21"/>
        <v>1386.4697999999989</v>
      </c>
      <c r="AC216" s="31">
        <f t="shared" si="22"/>
        <v>9.0897754889969692E-2</v>
      </c>
      <c r="AD216" s="31" t="e">
        <f>_xlfn.PERCENTILE.INC(S:S, 0.33)</f>
        <v>#NUM!</v>
      </c>
      <c r="AE216" s="31" t="e">
        <f>_xlfn.PERCENTILE.INC(S:S, 0.66)</f>
        <v>#NUM!</v>
      </c>
      <c r="AF216" s="30" t="e">
        <f t="shared" si="23"/>
        <v>#NUM!</v>
      </c>
    </row>
    <row r="217" spans="1:32" x14ac:dyDescent="0.3">
      <c r="A217" s="2" t="s">
        <v>230</v>
      </c>
      <c r="B217" s="4">
        <v>45280</v>
      </c>
      <c r="C217" s="46">
        <f>EOMONTH(Table2[[#This Row],[OrderDate]],-1)+1</f>
        <v>45261</v>
      </c>
      <c r="D217" s="45">
        <f>EOMONTH(_xlfn.MINIFS(B217:B847,M217:M847,Table2[[#This Row],[Country]]), -1) + 1</f>
        <v>45047</v>
      </c>
      <c r="E217" s="46"/>
      <c r="F217" s="4" t="str">
        <f>"Q"&amp;ROUNDUP(MONTH(B217)/3,0)&amp;"-"&amp;YEAR(B217)</f>
        <v>Q4-2023</v>
      </c>
      <c r="G217" s="4">
        <v>45305</v>
      </c>
      <c r="H217" s="4">
        <f>IF(G217&lt;B217, B217+3, G217)</f>
        <v>45305</v>
      </c>
      <c r="I217" s="10">
        <f>H217-B217</f>
        <v>25</v>
      </c>
      <c r="J217" s="10">
        <f t="shared" si="18"/>
        <v>0</v>
      </c>
      <c r="K217" s="10">
        <f t="shared" si="19"/>
        <v>0</v>
      </c>
      <c r="L217" s="6" t="s">
        <v>647</v>
      </c>
      <c r="M217" s="6" t="s">
        <v>654</v>
      </c>
      <c r="N217" s="6" t="s">
        <v>691</v>
      </c>
      <c r="O217" s="6" t="s">
        <v>703</v>
      </c>
      <c r="P217" s="6" t="s">
        <v>709</v>
      </c>
      <c r="Q217" s="6" t="s">
        <v>716</v>
      </c>
      <c r="R217" s="6" t="s">
        <v>732</v>
      </c>
      <c r="S217" s="6" t="s">
        <v>950</v>
      </c>
      <c r="T217" s="8">
        <v>1085.6099999999999</v>
      </c>
      <c r="U217" s="8">
        <v>1246.4100000000001</v>
      </c>
      <c r="V217" s="8">
        <f t="shared" si="20"/>
        <v>0.113</v>
      </c>
      <c r="W217" s="8">
        <v>0.113</v>
      </c>
      <c r="X217" s="10">
        <f>IF(Table2[[#This Row],[DiscountPct]]&gt;0.2,1,0)</f>
        <v>0</v>
      </c>
      <c r="Y217" s="10">
        <v>7</v>
      </c>
      <c r="Z217" s="30">
        <f>Table2[[#This Row],[UnitPrice]]*Y217*(1-V217)</f>
        <v>7738.9596900000006</v>
      </c>
      <c r="AA217" s="2">
        <f>T217*Y217</f>
        <v>7599.2699999999995</v>
      </c>
      <c r="AB217" s="2">
        <f t="shared" si="21"/>
        <v>139.68969000000106</v>
      </c>
      <c r="AC217" s="2">
        <f t="shared" si="22"/>
        <v>1.8050189637310417E-2</v>
      </c>
      <c r="AD217" s="2" t="e">
        <f>_xlfn.PERCENTILE.INC(S:S, 0.33)</f>
        <v>#NUM!</v>
      </c>
      <c r="AE217" s="2" t="e">
        <f>_xlfn.PERCENTILE.INC(S:S, 0.66)</f>
        <v>#NUM!</v>
      </c>
      <c r="AF217" s="30" t="e">
        <f t="shared" si="23"/>
        <v>#NUM!</v>
      </c>
    </row>
    <row r="218" spans="1:32" x14ac:dyDescent="0.3">
      <c r="A218" s="31" t="s">
        <v>231</v>
      </c>
      <c r="B218" s="32">
        <v>44948</v>
      </c>
      <c r="C218" s="47">
        <f>EOMONTH(Table2[[#This Row],[OrderDate]],-1)+1</f>
        <v>44927</v>
      </c>
      <c r="D218" s="45">
        <f>EOMONTH(_xlfn.MINIFS(B218:B848,M218:M848,Table2[[#This Row],[Country]]), -1) + 1</f>
        <v>44927</v>
      </c>
      <c r="E218" s="47"/>
      <c r="F218" s="32" t="str">
        <f>"Q"&amp;ROUNDUP(MONTH(B218)/3,0)&amp;"-"&amp;YEAR(B218)</f>
        <v>Q1-2023</v>
      </c>
      <c r="G218" s="32">
        <v>44947</v>
      </c>
      <c r="H218" s="32">
        <f>IF(G218&lt;B218, B218+3, G218)</f>
        <v>44951</v>
      </c>
      <c r="I218" s="33">
        <f>H218-B218</f>
        <v>3</v>
      </c>
      <c r="J218" s="33">
        <f t="shared" si="18"/>
        <v>1</v>
      </c>
      <c r="K218" s="33">
        <f t="shared" si="19"/>
        <v>1</v>
      </c>
      <c r="L218" s="34" t="s">
        <v>649</v>
      </c>
      <c r="M218" s="34" t="s">
        <v>656</v>
      </c>
      <c r="N218" s="34" t="s">
        <v>684</v>
      </c>
      <c r="O218" s="34" t="s">
        <v>701</v>
      </c>
      <c r="P218" s="34" t="s">
        <v>711</v>
      </c>
      <c r="Q218" s="34" t="s">
        <v>721</v>
      </c>
      <c r="R218" s="34" t="s">
        <v>732</v>
      </c>
      <c r="S218" s="34" t="s">
        <v>951</v>
      </c>
      <c r="T218" s="35">
        <v>150.86000000000001</v>
      </c>
      <c r="U218" s="35">
        <v>346.96</v>
      </c>
      <c r="V218" s="35">
        <f t="shared" si="20"/>
        <v>0.19600000000000001</v>
      </c>
      <c r="W218" s="35">
        <v>0.19600000000000001</v>
      </c>
      <c r="X218" s="33">
        <f>IF(Table2[[#This Row],[DiscountPct]]&gt;0.2,1,0)</f>
        <v>0</v>
      </c>
      <c r="Y218" s="33">
        <v>8</v>
      </c>
      <c r="Z218" s="30">
        <f>Table2[[#This Row],[UnitPrice]]*Y218*(1-V218)</f>
        <v>2231.6467200000002</v>
      </c>
      <c r="AA218" s="31">
        <f>T218*Y218</f>
        <v>1206.8800000000001</v>
      </c>
      <c r="AB218" s="31">
        <f t="shared" si="21"/>
        <v>1024.7667200000001</v>
      </c>
      <c r="AC218" s="31">
        <f t="shared" si="22"/>
        <v>0.45919755614365343</v>
      </c>
      <c r="AD218" s="31" t="e">
        <f>_xlfn.PERCENTILE.INC(S:S, 0.33)</f>
        <v>#NUM!</v>
      </c>
      <c r="AE218" s="31" t="e">
        <f>_xlfn.PERCENTILE.INC(S:S, 0.66)</f>
        <v>#NUM!</v>
      </c>
      <c r="AF218" s="30" t="e">
        <f t="shared" si="23"/>
        <v>#NUM!</v>
      </c>
    </row>
    <row r="219" spans="1:32" x14ac:dyDescent="0.3">
      <c r="A219" s="2" t="s">
        <v>232</v>
      </c>
      <c r="B219" s="4">
        <v>45576</v>
      </c>
      <c r="C219" s="46">
        <f>EOMONTH(Table2[[#This Row],[OrderDate]],-1)+1</f>
        <v>45566</v>
      </c>
      <c r="D219" s="45">
        <f>EOMONTH(_xlfn.MINIFS(B219:B849,M219:M849,Table2[[#This Row],[Country]]), -1) + 1</f>
        <v>44927</v>
      </c>
      <c r="E219" s="46"/>
      <c r="F219" s="4" t="str">
        <f>"Q"&amp;ROUNDUP(MONTH(B219)/3,0)&amp;"-"&amp;YEAR(B219)</f>
        <v>Q4-2024</v>
      </c>
      <c r="G219" s="4">
        <v>45605</v>
      </c>
      <c r="H219" s="4">
        <f>IF(G219&lt;B219, B219+3, G219)</f>
        <v>45605</v>
      </c>
      <c r="I219" s="10">
        <f>H219-B219</f>
        <v>29</v>
      </c>
      <c r="J219" s="10">
        <f t="shared" si="18"/>
        <v>0</v>
      </c>
      <c r="K219" s="10">
        <f t="shared" si="19"/>
        <v>0</v>
      </c>
      <c r="L219" s="6" t="s">
        <v>647</v>
      </c>
      <c r="M219" s="6" t="s">
        <v>659</v>
      </c>
      <c r="N219" s="6" t="s">
        <v>685</v>
      </c>
      <c r="O219" s="6" t="s">
        <v>703</v>
      </c>
      <c r="P219" s="6" t="s">
        <v>708</v>
      </c>
      <c r="Q219" s="6" t="s">
        <v>721</v>
      </c>
      <c r="R219" s="6" t="s">
        <v>728</v>
      </c>
      <c r="S219" s="6" t="s">
        <v>952</v>
      </c>
      <c r="T219" s="8">
        <v>391.64</v>
      </c>
      <c r="U219" s="8">
        <v>504.76</v>
      </c>
      <c r="V219" s="8">
        <f t="shared" si="20"/>
        <v>4.0000000000000001E-3</v>
      </c>
      <c r="W219" s="8">
        <v>4.0000000000000001E-3</v>
      </c>
      <c r="X219" s="10">
        <f>IF(Table2[[#This Row],[DiscountPct]]&gt;0.2,1,0)</f>
        <v>0</v>
      </c>
      <c r="Y219" s="10">
        <v>13</v>
      </c>
      <c r="Z219" s="30">
        <f>Table2[[#This Row],[UnitPrice]]*Y219*(1-V219)</f>
        <v>6535.6324800000002</v>
      </c>
      <c r="AA219" s="2">
        <f>T219*Y219</f>
        <v>5091.32</v>
      </c>
      <c r="AB219" s="2">
        <f t="shared" si="21"/>
        <v>1444.3124800000005</v>
      </c>
      <c r="AC219" s="2">
        <f t="shared" si="22"/>
        <v>0.22099046793402319</v>
      </c>
      <c r="AD219" s="2" t="e">
        <f>_xlfn.PERCENTILE.INC(S:S, 0.33)</f>
        <v>#NUM!</v>
      </c>
      <c r="AE219" s="2" t="e">
        <f>_xlfn.PERCENTILE.INC(S:S, 0.66)</f>
        <v>#NUM!</v>
      </c>
      <c r="AF219" s="30" t="e">
        <f t="shared" si="23"/>
        <v>#NUM!</v>
      </c>
    </row>
    <row r="220" spans="1:32" x14ac:dyDescent="0.3">
      <c r="A220" s="31" t="s">
        <v>233</v>
      </c>
      <c r="B220" s="32">
        <v>45554</v>
      </c>
      <c r="C220" s="47">
        <f>EOMONTH(Table2[[#This Row],[OrderDate]],-1)+1</f>
        <v>45536</v>
      </c>
      <c r="D220" s="45">
        <f>EOMONTH(_xlfn.MINIFS(B220:B850,M220:M850,Table2[[#This Row],[Country]]), -1) + 1</f>
        <v>44927</v>
      </c>
      <c r="E220" s="47"/>
      <c r="F220" s="32" t="str">
        <f>"Q"&amp;ROUNDUP(MONTH(B220)/3,0)&amp;"-"&amp;YEAR(B220)</f>
        <v>Q3-2024</v>
      </c>
      <c r="G220" s="32">
        <v>45579</v>
      </c>
      <c r="H220" s="32">
        <f>IF(G220&lt;B220, B220+3, G220)</f>
        <v>45579</v>
      </c>
      <c r="I220" s="33">
        <f>H220-B220</f>
        <v>25</v>
      </c>
      <c r="J220" s="33">
        <f t="shared" si="18"/>
        <v>0</v>
      </c>
      <c r="K220" s="33">
        <f t="shared" si="19"/>
        <v>0</v>
      </c>
      <c r="L220" s="34" t="s">
        <v>648</v>
      </c>
      <c r="M220" s="34" t="s">
        <v>655</v>
      </c>
      <c r="N220" s="34" t="s">
        <v>692</v>
      </c>
      <c r="O220" s="34" t="s">
        <v>705</v>
      </c>
      <c r="P220" s="34" t="s">
        <v>707</v>
      </c>
      <c r="Q220" s="34" t="s">
        <v>723</v>
      </c>
      <c r="R220" s="34" t="s">
        <v>728</v>
      </c>
      <c r="S220" s="34" t="s">
        <v>953</v>
      </c>
      <c r="T220" s="35">
        <v>386.96</v>
      </c>
      <c r="U220" s="35">
        <v>937.46</v>
      </c>
      <c r="V220" s="35">
        <f t="shared" si="20"/>
        <v>0.26600000000000001</v>
      </c>
      <c r="W220" s="35">
        <v>0.26600000000000001</v>
      </c>
      <c r="X220" s="33">
        <f>IF(Table2[[#This Row],[DiscountPct]]&gt;0.2,1,0)</f>
        <v>1</v>
      </c>
      <c r="Y220" s="33">
        <v>41</v>
      </c>
      <c r="Z220" s="30">
        <f>Table2[[#This Row],[UnitPrice]]*Y220*(1-V220)</f>
        <v>28211.92124</v>
      </c>
      <c r="AA220" s="31">
        <f>T220*Y220</f>
        <v>15865.359999999999</v>
      </c>
      <c r="AB220" s="31">
        <f t="shared" si="21"/>
        <v>12346.561240000001</v>
      </c>
      <c r="AC220" s="31">
        <f t="shared" si="22"/>
        <v>0.43763631462626335</v>
      </c>
      <c r="AD220" s="31" t="e">
        <f>_xlfn.PERCENTILE.INC(S:S, 0.33)</f>
        <v>#NUM!</v>
      </c>
      <c r="AE220" s="31" t="e">
        <f>_xlfn.PERCENTILE.INC(S:S, 0.66)</f>
        <v>#NUM!</v>
      </c>
      <c r="AF220" s="30" t="e">
        <f t="shared" si="23"/>
        <v>#NUM!</v>
      </c>
    </row>
    <row r="221" spans="1:32" x14ac:dyDescent="0.3">
      <c r="A221" s="2" t="s">
        <v>234</v>
      </c>
      <c r="B221" s="4">
        <v>45894</v>
      </c>
      <c r="C221" s="46">
        <f>EOMONTH(Table2[[#This Row],[OrderDate]],-1)+1</f>
        <v>45870</v>
      </c>
      <c r="D221" s="45">
        <f>EOMONTH(_xlfn.MINIFS(B221:B851,M221:M851,Table2[[#This Row],[Country]]), -1) + 1</f>
        <v>44958</v>
      </c>
      <c r="E221" s="46"/>
      <c r="F221" s="4" t="str">
        <f>"Q"&amp;ROUNDUP(MONTH(B221)/3,0)&amp;"-"&amp;YEAR(B221)</f>
        <v>Q3-2025</v>
      </c>
      <c r="G221" s="4">
        <v>45924</v>
      </c>
      <c r="H221" s="4">
        <f>IF(G221&lt;B221, B221+3, G221)</f>
        <v>45924</v>
      </c>
      <c r="I221" s="10">
        <f>H221-B221</f>
        <v>30</v>
      </c>
      <c r="J221" s="10">
        <f t="shared" si="18"/>
        <v>0</v>
      </c>
      <c r="K221" s="10">
        <f t="shared" si="19"/>
        <v>0</v>
      </c>
      <c r="L221" s="6" t="s">
        <v>646</v>
      </c>
      <c r="M221" s="6" t="s">
        <v>650</v>
      </c>
      <c r="N221" s="6" t="s">
        <v>664</v>
      </c>
      <c r="O221" s="6" t="s">
        <v>704</v>
      </c>
      <c r="P221" s="6" t="s">
        <v>711</v>
      </c>
      <c r="Q221" s="6" t="s">
        <v>717</v>
      </c>
      <c r="R221" s="6" t="s">
        <v>727</v>
      </c>
      <c r="S221" s="6" t="s">
        <v>954</v>
      </c>
      <c r="T221" s="8">
        <v>589.14</v>
      </c>
      <c r="U221" s="8">
        <v>1300.58</v>
      </c>
      <c r="V221" s="8">
        <f t="shared" si="20"/>
        <v>5.5E-2</v>
      </c>
      <c r="W221" s="8">
        <v>5.5E-2</v>
      </c>
      <c r="X221" s="10">
        <f>IF(Table2[[#This Row],[DiscountPct]]&gt;0.2,1,0)</f>
        <v>0</v>
      </c>
      <c r="Y221" s="10">
        <v>11</v>
      </c>
      <c r="Z221" s="30">
        <f>Table2[[#This Row],[UnitPrice]]*Y221*(1-V221)</f>
        <v>13519.529099999998</v>
      </c>
      <c r="AA221" s="2">
        <f>T221*Y221</f>
        <v>6480.54</v>
      </c>
      <c r="AB221" s="2">
        <f t="shared" si="21"/>
        <v>7038.989099999998</v>
      </c>
      <c r="AC221" s="2">
        <f t="shared" si="22"/>
        <v>0.52065342275863724</v>
      </c>
      <c r="AD221" s="2" t="e">
        <f>_xlfn.PERCENTILE.INC(S:S, 0.33)</f>
        <v>#NUM!</v>
      </c>
      <c r="AE221" s="2" t="e">
        <f>_xlfn.PERCENTILE.INC(S:S, 0.66)</f>
        <v>#NUM!</v>
      </c>
      <c r="AF221" s="30" t="e">
        <f t="shared" si="23"/>
        <v>#NUM!</v>
      </c>
    </row>
    <row r="222" spans="1:32" x14ac:dyDescent="0.3">
      <c r="A222" s="31" t="s">
        <v>235</v>
      </c>
      <c r="B222" s="32">
        <v>45194</v>
      </c>
      <c r="C222" s="47">
        <f>EOMONTH(Table2[[#This Row],[OrderDate]],-1)+1</f>
        <v>45170</v>
      </c>
      <c r="D222" s="45">
        <f>EOMONTH(_xlfn.MINIFS(B222:B852,M222:M852,Table2[[#This Row],[Country]]), -1) + 1</f>
        <v>44958</v>
      </c>
      <c r="E222" s="47"/>
      <c r="F222" s="32" t="str">
        <f>"Q"&amp;ROUNDUP(MONTH(B222)/3,0)&amp;"-"&amp;YEAR(B222)</f>
        <v>Q3-2023</v>
      </c>
      <c r="G222" s="32">
        <v>45201</v>
      </c>
      <c r="H222" s="32">
        <f>IF(G222&lt;B222, B222+3, G222)</f>
        <v>45201</v>
      </c>
      <c r="I222" s="33">
        <f>H222-B222</f>
        <v>7</v>
      </c>
      <c r="J222" s="33">
        <f t="shared" si="18"/>
        <v>1</v>
      </c>
      <c r="K222" s="33">
        <f t="shared" si="19"/>
        <v>1</v>
      </c>
      <c r="L222" s="34" t="s">
        <v>648</v>
      </c>
      <c r="M222" s="34" t="s">
        <v>660</v>
      </c>
      <c r="N222" s="34" t="s">
        <v>700</v>
      </c>
      <c r="O222" s="34" t="s">
        <v>702</v>
      </c>
      <c r="P222" s="34" t="s">
        <v>709</v>
      </c>
      <c r="Q222" s="34" t="s">
        <v>714</v>
      </c>
      <c r="R222" s="34" t="s">
        <v>733</v>
      </c>
      <c r="S222" s="34" t="s">
        <v>955</v>
      </c>
      <c r="T222" s="35">
        <v>145.58000000000001</v>
      </c>
      <c r="U222" s="35">
        <v>228.15</v>
      </c>
      <c r="V222" s="35">
        <f t="shared" si="20"/>
        <v>0.20399999999999999</v>
      </c>
      <c r="W222" s="35">
        <v>0.20399999999999999</v>
      </c>
      <c r="X222" s="33">
        <f>IF(Table2[[#This Row],[DiscountPct]]&gt;0.2,1,0)</f>
        <v>1</v>
      </c>
      <c r="Y222" s="33">
        <v>5</v>
      </c>
      <c r="Z222" s="30">
        <f>Table2[[#This Row],[UnitPrice]]*Y222*(1-V222)</f>
        <v>908.03700000000003</v>
      </c>
      <c r="AA222" s="31">
        <f>T222*Y222</f>
        <v>727.90000000000009</v>
      </c>
      <c r="AB222" s="31">
        <f t="shared" si="21"/>
        <v>180.13699999999994</v>
      </c>
      <c r="AC222" s="31">
        <f t="shared" si="22"/>
        <v>0.19838068272548359</v>
      </c>
      <c r="AD222" s="31" t="e">
        <f>_xlfn.PERCENTILE.INC(S:S, 0.33)</f>
        <v>#NUM!</v>
      </c>
      <c r="AE222" s="31" t="e">
        <f>_xlfn.PERCENTILE.INC(S:S, 0.66)</f>
        <v>#NUM!</v>
      </c>
      <c r="AF222" s="30" t="e">
        <f t="shared" si="23"/>
        <v>#NUM!</v>
      </c>
    </row>
    <row r="223" spans="1:32" x14ac:dyDescent="0.3">
      <c r="A223" s="2" t="s">
        <v>236</v>
      </c>
      <c r="B223" s="4">
        <v>45164</v>
      </c>
      <c r="C223" s="46">
        <f>EOMONTH(Table2[[#This Row],[OrderDate]],-1)+1</f>
        <v>45139</v>
      </c>
      <c r="D223" s="45">
        <f>EOMONTH(_xlfn.MINIFS(B223:B853,M223:M853,Table2[[#This Row],[Country]]), -1) + 1</f>
        <v>44927</v>
      </c>
      <c r="E223" s="46"/>
      <c r="F223" s="4" t="str">
        <f>"Q"&amp;ROUNDUP(MONTH(B223)/3,0)&amp;"-"&amp;YEAR(B223)</f>
        <v>Q3-2023</v>
      </c>
      <c r="G223" s="4">
        <v>45179</v>
      </c>
      <c r="H223" s="4">
        <f>IF(G223&lt;B223, B223+3, G223)</f>
        <v>45179</v>
      </c>
      <c r="I223" s="10">
        <f>H223-B223</f>
        <v>15</v>
      </c>
      <c r="J223" s="10">
        <f t="shared" si="18"/>
        <v>0</v>
      </c>
      <c r="K223" s="10">
        <f t="shared" si="19"/>
        <v>0</v>
      </c>
      <c r="L223" s="6" t="s">
        <v>646</v>
      </c>
      <c r="M223" s="6" t="s">
        <v>661</v>
      </c>
      <c r="N223" s="6" t="s">
        <v>695</v>
      </c>
      <c r="O223" s="6" t="s">
        <v>703</v>
      </c>
      <c r="P223" s="6" t="s">
        <v>711</v>
      </c>
      <c r="Q223" s="6" t="s">
        <v>725</v>
      </c>
      <c r="R223" s="6" t="s">
        <v>727</v>
      </c>
      <c r="S223" s="6" t="s">
        <v>956</v>
      </c>
      <c r="T223" s="8">
        <v>241.14</v>
      </c>
      <c r="U223" s="8">
        <v>496.52</v>
      </c>
      <c r="V223" s="8">
        <f t="shared" si="20"/>
        <v>9.2999999999999999E-2</v>
      </c>
      <c r="W223" s="8">
        <v>9.2999999999999999E-2</v>
      </c>
      <c r="X223" s="10">
        <f>IF(Table2[[#This Row],[DiscountPct]]&gt;0.2,1,0)</f>
        <v>0</v>
      </c>
      <c r="Y223" s="10">
        <v>10</v>
      </c>
      <c r="Z223" s="30">
        <f>Table2[[#This Row],[UnitPrice]]*Y223*(1-V223)</f>
        <v>4503.4363999999996</v>
      </c>
      <c r="AA223" s="2">
        <f>T223*Y223</f>
        <v>2411.3999999999996</v>
      </c>
      <c r="AB223" s="2">
        <f t="shared" si="21"/>
        <v>2092.0364</v>
      </c>
      <c r="AC223" s="2">
        <f t="shared" si="22"/>
        <v>0.46454223268257994</v>
      </c>
      <c r="AD223" s="2" t="e">
        <f>_xlfn.PERCENTILE.INC(S:S, 0.33)</f>
        <v>#NUM!</v>
      </c>
      <c r="AE223" s="2" t="e">
        <f>_xlfn.PERCENTILE.INC(S:S, 0.66)</f>
        <v>#NUM!</v>
      </c>
      <c r="AF223" s="30" t="e">
        <f t="shared" si="23"/>
        <v>#NUM!</v>
      </c>
    </row>
    <row r="224" spans="1:32" x14ac:dyDescent="0.3">
      <c r="A224" s="31" t="s">
        <v>237</v>
      </c>
      <c r="B224" s="32">
        <v>45854</v>
      </c>
      <c r="C224" s="47">
        <f>EOMONTH(Table2[[#This Row],[OrderDate]],-1)+1</f>
        <v>45839</v>
      </c>
      <c r="D224" s="45">
        <f>EOMONTH(_xlfn.MINIFS(B224:B854,M224:M854,Table2[[#This Row],[Country]]), -1) + 1</f>
        <v>44927</v>
      </c>
      <c r="E224" s="47"/>
      <c r="F224" s="32" t="str">
        <f>"Q"&amp;ROUNDUP(MONTH(B224)/3,0)&amp;"-"&amp;YEAR(B224)</f>
        <v>Q3-2025</v>
      </c>
      <c r="G224" s="32">
        <v>45855</v>
      </c>
      <c r="H224" s="32">
        <f>IF(G224&lt;B224, B224+3, G224)</f>
        <v>45855</v>
      </c>
      <c r="I224" s="33">
        <f>H224-B224</f>
        <v>1</v>
      </c>
      <c r="J224" s="33">
        <f t="shared" si="18"/>
        <v>1</v>
      </c>
      <c r="K224" s="33">
        <f t="shared" si="19"/>
        <v>1</v>
      </c>
      <c r="L224" s="34" t="s">
        <v>646</v>
      </c>
      <c r="M224" s="34" t="s">
        <v>661</v>
      </c>
      <c r="N224" s="34" t="s">
        <v>687</v>
      </c>
      <c r="O224" s="34" t="s">
        <v>705</v>
      </c>
      <c r="P224" s="34" t="s">
        <v>710</v>
      </c>
      <c r="Q224" s="34" t="s">
        <v>717</v>
      </c>
      <c r="R224" s="34" t="s">
        <v>729</v>
      </c>
      <c r="S224" s="34" t="s">
        <v>957</v>
      </c>
      <c r="T224" s="35">
        <v>1198.9000000000001</v>
      </c>
      <c r="U224" s="35">
        <v>2941.2</v>
      </c>
      <c r="V224" s="35">
        <f t="shared" si="20"/>
        <v>5.0999999999999997E-2</v>
      </c>
      <c r="W224" s="35">
        <v>5.0999999999999997E-2</v>
      </c>
      <c r="X224" s="33">
        <f>IF(Table2[[#This Row],[DiscountPct]]&gt;0.2,1,0)</f>
        <v>0</v>
      </c>
      <c r="Y224" s="33">
        <v>24</v>
      </c>
      <c r="Z224" s="30">
        <f>Table2[[#This Row],[UnitPrice]]*Y224*(1-V224)</f>
        <v>66988.771199999988</v>
      </c>
      <c r="AA224" s="31">
        <f>T224*Y224</f>
        <v>28773.600000000002</v>
      </c>
      <c r="AB224" s="31">
        <f t="shared" si="21"/>
        <v>38215.171199999982</v>
      </c>
      <c r="AC224" s="31">
        <f t="shared" si="22"/>
        <v>0.57047129713583977</v>
      </c>
      <c r="AD224" s="31" t="e">
        <f>_xlfn.PERCENTILE.INC(S:S, 0.33)</f>
        <v>#NUM!</v>
      </c>
      <c r="AE224" s="31" t="e">
        <f>_xlfn.PERCENTILE.INC(S:S, 0.66)</f>
        <v>#NUM!</v>
      </c>
      <c r="AF224" s="30" t="e">
        <f t="shared" si="23"/>
        <v>#NUM!</v>
      </c>
    </row>
    <row r="225" spans="1:32" x14ac:dyDescent="0.3">
      <c r="A225" s="2" t="s">
        <v>238</v>
      </c>
      <c r="B225" s="4">
        <v>45035</v>
      </c>
      <c r="C225" s="46">
        <f>EOMONTH(Table2[[#This Row],[OrderDate]],-1)+1</f>
        <v>45017</v>
      </c>
      <c r="D225" s="45">
        <f>EOMONTH(_xlfn.MINIFS(B225:B855,M225:M855,Table2[[#This Row],[Country]]), -1) + 1</f>
        <v>44927</v>
      </c>
      <c r="E225" s="46"/>
      <c r="F225" s="4" t="str">
        <f>"Q"&amp;ROUNDUP(MONTH(B225)/3,0)&amp;"-"&amp;YEAR(B225)</f>
        <v>Q2-2023</v>
      </c>
      <c r="G225" s="4">
        <v>45053</v>
      </c>
      <c r="H225" s="4">
        <f>IF(G225&lt;B225, B225+3, G225)</f>
        <v>45053</v>
      </c>
      <c r="I225" s="10">
        <f>H225-B225</f>
        <v>18</v>
      </c>
      <c r="J225" s="10">
        <f t="shared" si="18"/>
        <v>0</v>
      </c>
      <c r="K225" s="10">
        <f t="shared" si="19"/>
        <v>0</v>
      </c>
      <c r="L225" s="6" t="s">
        <v>649</v>
      </c>
      <c r="M225" s="6" t="s">
        <v>658</v>
      </c>
      <c r="N225" s="6" t="s">
        <v>674</v>
      </c>
      <c r="O225" s="6" t="s">
        <v>706</v>
      </c>
      <c r="P225" s="6" t="s">
        <v>707</v>
      </c>
      <c r="Q225" s="6" t="s">
        <v>725</v>
      </c>
      <c r="R225" s="6" t="s">
        <v>731</v>
      </c>
      <c r="S225" s="6" t="s">
        <v>958</v>
      </c>
      <c r="T225" s="8">
        <v>1089.1500000000001</v>
      </c>
      <c r="U225" s="8">
        <v>1088.2</v>
      </c>
      <c r="V225" s="8">
        <f t="shared" si="20"/>
        <v>5.0999999999999997E-2</v>
      </c>
      <c r="W225" s="8">
        <v>5.0999999999999997E-2</v>
      </c>
      <c r="X225" s="10">
        <f>IF(Table2[[#This Row],[DiscountPct]]&gt;0.2,1,0)</f>
        <v>0</v>
      </c>
      <c r="Y225" s="10">
        <v>15</v>
      </c>
      <c r="Z225" s="30">
        <f>Table2[[#This Row],[UnitPrice]]*Y225*(1-V225)</f>
        <v>15490.527</v>
      </c>
      <c r="AA225" s="2">
        <f>T225*Y225</f>
        <v>16337.250000000002</v>
      </c>
      <c r="AB225" s="2">
        <f t="shared" si="21"/>
        <v>-846.72300000000178</v>
      </c>
      <c r="AC225" s="2">
        <f t="shared" si="22"/>
        <v>-5.4660696824582002E-2</v>
      </c>
      <c r="AD225" s="2" t="e">
        <f>_xlfn.PERCENTILE.INC(S:S, 0.33)</f>
        <v>#NUM!</v>
      </c>
      <c r="AE225" s="2" t="e">
        <f>_xlfn.PERCENTILE.INC(S:S, 0.66)</f>
        <v>#NUM!</v>
      </c>
      <c r="AF225" s="30" t="e">
        <f t="shared" si="23"/>
        <v>#NUM!</v>
      </c>
    </row>
    <row r="226" spans="1:32" x14ac:dyDescent="0.3">
      <c r="A226" s="31" t="s">
        <v>239</v>
      </c>
      <c r="B226" s="32">
        <v>45279</v>
      </c>
      <c r="C226" s="47">
        <f>EOMONTH(Table2[[#This Row],[OrderDate]],-1)+1</f>
        <v>45261</v>
      </c>
      <c r="D226" s="45">
        <f>EOMONTH(_xlfn.MINIFS(B226:B856,M226:M856,Table2[[#This Row],[Country]]), -1) + 1</f>
        <v>44927</v>
      </c>
      <c r="E226" s="47"/>
      <c r="F226" s="32" t="str">
        <f>"Q"&amp;ROUNDUP(MONTH(B226)/3,0)&amp;"-"&amp;YEAR(B226)</f>
        <v>Q4-2023</v>
      </c>
      <c r="G226" s="32">
        <v>45280</v>
      </c>
      <c r="H226" s="32">
        <f>IF(G226&lt;B226, B226+3, G226)</f>
        <v>45280</v>
      </c>
      <c r="I226" s="33">
        <f>H226-B226</f>
        <v>1</v>
      </c>
      <c r="J226" s="33">
        <f t="shared" si="18"/>
        <v>1</v>
      </c>
      <c r="K226" s="33">
        <f t="shared" si="19"/>
        <v>1</v>
      </c>
      <c r="L226" s="34" t="s">
        <v>648</v>
      </c>
      <c r="M226" s="34" t="s">
        <v>655</v>
      </c>
      <c r="N226" s="34" t="s">
        <v>692</v>
      </c>
      <c r="O226" s="34" t="s">
        <v>704</v>
      </c>
      <c r="P226" s="34" t="s">
        <v>710</v>
      </c>
      <c r="Q226" s="34" t="s">
        <v>713</v>
      </c>
      <c r="R226" s="34" t="s">
        <v>730</v>
      </c>
      <c r="S226" s="34" t="s">
        <v>959</v>
      </c>
      <c r="T226" s="35">
        <v>1080.43</v>
      </c>
      <c r="U226" s="35">
        <v>2529.15</v>
      </c>
      <c r="V226" s="35">
        <f t="shared" si="20"/>
        <v>0.14699999999999999</v>
      </c>
      <c r="W226" s="35">
        <v>0.14699999999999999</v>
      </c>
      <c r="X226" s="33">
        <f>IF(Table2[[#This Row],[DiscountPct]]&gt;0.2,1,0)</f>
        <v>0</v>
      </c>
      <c r="Y226" s="33">
        <v>10</v>
      </c>
      <c r="Z226" s="30">
        <f>Table2[[#This Row],[UnitPrice]]*Y226*(1-V226)</f>
        <v>21573.6495</v>
      </c>
      <c r="AA226" s="31">
        <f>T226*Y226</f>
        <v>10804.300000000001</v>
      </c>
      <c r="AB226" s="31">
        <f t="shared" si="21"/>
        <v>10769.349499999998</v>
      </c>
      <c r="AC226" s="31">
        <f t="shared" si="22"/>
        <v>0.49918997247081437</v>
      </c>
      <c r="AD226" s="31" t="e">
        <f>_xlfn.PERCENTILE.INC(S:S, 0.33)</f>
        <v>#NUM!</v>
      </c>
      <c r="AE226" s="31" t="e">
        <f>_xlfn.PERCENTILE.INC(S:S, 0.66)</f>
        <v>#NUM!</v>
      </c>
      <c r="AF226" s="30" t="e">
        <f t="shared" si="23"/>
        <v>#NUM!</v>
      </c>
    </row>
    <row r="227" spans="1:32" x14ac:dyDescent="0.3">
      <c r="A227" s="2" t="s">
        <v>240</v>
      </c>
      <c r="B227" s="4">
        <v>45137</v>
      </c>
      <c r="C227" s="46">
        <f>EOMONTH(Table2[[#This Row],[OrderDate]],-1)+1</f>
        <v>45108</v>
      </c>
      <c r="D227" s="45">
        <f>EOMONTH(_xlfn.MINIFS(B227:B857,M227:M857,Table2[[#This Row],[Country]]), -1) + 1</f>
        <v>44986</v>
      </c>
      <c r="E227" s="46"/>
      <c r="F227" s="4" t="str">
        <f>"Q"&amp;ROUNDUP(MONTH(B227)/3,0)&amp;"-"&amp;YEAR(B227)</f>
        <v>Q3-2023</v>
      </c>
      <c r="G227" s="4">
        <v>45145</v>
      </c>
      <c r="H227" s="4">
        <f>IF(G227&lt;B227, B227+3, G227)</f>
        <v>45145</v>
      </c>
      <c r="I227" s="10">
        <f>H227-B227</f>
        <v>8</v>
      </c>
      <c r="J227" s="10">
        <f t="shared" si="18"/>
        <v>0</v>
      </c>
      <c r="K227" s="10">
        <f t="shared" si="19"/>
        <v>0</v>
      </c>
      <c r="L227" s="6" t="s">
        <v>647</v>
      </c>
      <c r="M227" s="6" t="s">
        <v>652</v>
      </c>
      <c r="N227" s="6" t="s">
        <v>694</v>
      </c>
      <c r="O227" s="6" t="s">
        <v>702</v>
      </c>
      <c r="P227" s="6" t="s">
        <v>709</v>
      </c>
      <c r="Q227" s="6" t="s">
        <v>720</v>
      </c>
      <c r="R227" s="6" t="s">
        <v>729</v>
      </c>
      <c r="S227" s="6" t="s">
        <v>960</v>
      </c>
      <c r="T227" s="8">
        <v>1352.44</v>
      </c>
      <c r="U227" s="8">
        <v>2698.01</v>
      </c>
      <c r="V227" s="8">
        <f t="shared" si="20"/>
        <v>0.13100000000000001</v>
      </c>
      <c r="W227" s="8">
        <v>0.13100000000000001</v>
      </c>
      <c r="X227" s="10">
        <f>IF(Table2[[#This Row],[DiscountPct]]&gt;0.2,1,0)</f>
        <v>0</v>
      </c>
      <c r="Y227" s="10">
        <v>13</v>
      </c>
      <c r="Z227" s="30">
        <f>Table2[[#This Row],[UnitPrice]]*Y227*(1-V227)</f>
        <v>30479.418970000002</v>
      </c>
      <c r="AA227" s="2">
        <f>T227*Y227</f>
        <v>17581.72</v>
      </c>
      <c r="AB227" s="2">
        <f t="shared" si="21"/>
        <v>12897.698970000001</v>
      </c>
      <c r="AC227" s="2">
        <f t="shared" si="22"/>
        <v>0.42316091992090887</v>
      </c>
      <c r="AD227" s="2" t="e">
        <f>_xlfn.PERCENTILE.INC(S:S, 0.33)</f>
        <v>#NUM!</v>
      </c>
      <c r="AE227" s="2" t="e">
        <f>_xlfn.PERCENTILE.INC(S:S, 0.66)</f>
        <v>#NUM!</v>
      </c>
      <c r="AF227" s="30" t="e">
        <f t="shared" si="23"/>
        <v>#NUM!</v>
      </c>
    </row>
    <row r="228" spans="1:32" x14ac:dyDescent="0.3">
      <c r="A228" s="31" t="s">
        <v>241</v>
      </c>
      <c r="B228" s="32">
        <v>45203</v>
      </c>
      <c r="C228" s="47">
        <f>EOMONTH(Table2[[#This Row],[OrderDate]],-1)+1</f>
        <v>45200</v>
      </c>
      <c r="D228" s="45">
        <f>EOMONTH(_xlfn.MINIFS(B228:B858,M228:M858,Table2[[#This Row],[Country]]), -1) + 1</f>
        <v>44958</v>
      </c>
      <c r="E228" s="47"/>
      <c r="F228" s="32" t="str">
        <f>"Q"&amp;ROUNDUP(MONTH(B228)/3,0)&amp;"-"&amp;YEAR(B228)</f>
        <v>Q4-2023</v>
      </c>
      <c r="G228" s="32">
        <v>45228</v>
      </c>
      <c r="H228" s="32">
        <f>IF(G228&lt;B228, B228+3, G228)</f>
        <v>45228</v>
      </c>
      <c r="I228" s="33">
        <f>H228-B228</f>
        <v>25</v>
      </c>
      <c r="J228" s="33">
        <f t="shared" si="18"/>
        <v>0</v>
      </c>
      <c r="K228" s="33">
        <f t="shared" si="19"/>
        <v>0</v>
      </c>
      <c r="L228" s="34" t="s">
        <v>648</v>
      </c>
      <c r="M228" s="34" t="s">
        <v>660</v>
      </c>
      <c r="N228" s="34" t="s">
        <v>686</v>
      </c>
      <c r="O228" s="34" t="s">
        <v>705</v>
      </c>
      <c r="P228" s="34" t="s">
        <v>710</v>
      </c>
      <c r="Q228" s="34" t="s">
        <v>719</v>
      </c>
      <c r="R228" s="34" t="s">
        <v>733</v>
      </c>
      <c r="S228" s="34" t="s">
        <v>961</v>
      </c>
      <c r="T228" s="35">
        <v>1239.8399999999999</v>
      </c>
      <c r="U228" s="35">
        <v>1482.75</v>
      </c>
      <c r="V228" s="35">
        <f t="shared" si="20"/>
        <v>6.7000000000000004E-2</v>
      </c>
      <c r="W228" s="35">
        <v>6.7000000000000004E-2</v>
      </c>
      <c r="X228" s="33">
        <f>IF(Table2[[#This Row],[DiscountPct]]&gt;0.2,1,0)</f>
        <v>0</v>
      </c>
      <c r="Y228" s="33">
        <v>4</v>
      </c>
      <c r="Z228" s="30">
        <f>Table2[[#This Row],[UnitPrice]]*Y228*(1-V228)</f>
        <v>5533.6230000000005</v>
      </c>
      <c r="AA228" s="31">
        <f>T228*Y228</f>
        <v>4959.3599999999997</v>
      </c>
      <c r="AB228" s="31">
        <f t="shared" si="21"/>
        <v>574.26300000000083</v>
      </c>
      <c r="AC228" s="31">
        <f t="shared" si="22"/>
        <v>0.10377703721413634</v>
      </c>
      <c r="AD228" s="31" t="e">
        <f>_xlfn.PERCENTILE.INC(S:S, 0.33)</f>
        <v>#NUM!</v>
      </c>
      <c r="AE228" s="31" t="e">
        <f>_xlfn.PERCENTILE.INC(S:S, 0.66)</f>
        <v>#NUM!</v>
      </c>
      <c r="AF228" s="30" t="e">
        <f t="shared" si="23"/>
        <v>#NUM!</v>
      </c>
    </row>
    <row r="229" spans="1:32" x14ac:dyDescent="0.3">
      <c r="A229" s="2" t="s">
        <v>242</v>
      </c>
      <c r="B229" s="4">
        <v>45879</v>
      </c>
      <c r="C229" s="46">
        <f>EOMONTH(Table2[[#This Row],[OrderDate]],-1)+1</f>
        <v>45870</v>
      </c>
      <c r="D229" s="45">
        <f>EOMONTH(_xlfn.MINIFS(B229:B859,M229:M859,Table2[[#This Row],[Country]]), -1) + 1</f>
        <v>44958</v>
      </c>
      <c r="E229" s="46"/>
      <c r="F229" s="4" t="str">
        <f>"Q"&amp;ROUNDUP(MONTH(B229)/3,0)&amp;"-"&amp;YEAR(B229)</f>
        <v>Q3-2025</v>
      </c>
      <c r="G229" s="4">
        <v>45899</v>
      </c>
      <c r="H229" s="4">
        <f>IF(G229&lt;B229, B229+3, G229)</f>
        <v>45899</v>
      </c>
      <c r="I229" s="10">
        <f>H229-B229</f>
        <v>20</v>
      </c>
      <c r="J229" s="10">
        <f t="shared" si="18"/>
        <v>0</v>
      </c>
      <c r="K229" s="10">
        <f t="shared" si="19"/>
        <v>0</v>
      </c>
      <c r="L229" s="6" t="s">
        <v>648</v>
      </c>
      <c r="M229" s="6" t="s">
        <v>660</v>
      </c>
      <c r="N229" s="6" t="s">
        <v>686</v>
      </c>
      <c r="O229" s="6" t="s">
        <v>701</v>
      </c>
      <c r="P229" s="6" t="s">
        <v>709</v>
      </c>
      <c r="Q229" s="6" t="s">
        <v>723</v>
      </c>
      <c r="R229" s="6" t="s">
        <v>728</v>
      </c>
      <c r="S229" s="6" t="s">
        <v>962</v>
      </c>
      <c r="T229" s="8">
        <v>933.29</v>
      </c>
      <c r="U229" s="8">
        <v>1456.81</v>
      </c>
      <c r="V229" s="8">
        <f t="shared" si="20"/>
        <v>0.123</v>
      </c>
      <c r="W229" s="8">
        <v>0.123</v>
      </c>
      <c r="X229" s="10">
        <f>IF(Table2[[#This Row],[DiscountPct]]&gt;0.2,1,0)</f>
        <v>0</v>
      </c>
      <c r="Y229" s="10">
        <v>13</v>
      </c>
      <c r="Z229" s="30">
        <f>Table2[[#This Row],[UnitPrice]]*Y229*(1-V229)</f>
        <v>16609.090809999998</v>
      </c>
      <c r="AA229" s="2">
        <f>T229*Y229</f>
        <v>12132.77</v>
      </c>
      <c r="AB229" s="2">
        <f t="shared" si="21"/>
        <v>4476.3208099999974</v>
      </c>
      <c r="AC229" s="2">
        <f t="shared" si="22"/>
        <v>0.26951028573489977</v>
      </c>
      <c r="AD229" s="2" t="e">
        <f>_xlfn.PERCENTILE.INC(S:S, 0.33)</f>
        <v>#NUM!</v>
      </c>
      <c r="AE229" s="2" t="e">
        <f>_xlfn.PERCENTILE.INC(S:S, 0.66)</f>
        <v>#NUM!</v>
      </c>
      <c r="AF229" s="30" t="e">
        <f t="shared" si="23"/>
        <v>#NUM!</v>
      </c>
    </row>
    <row r="230" spans="1:32" x14ac:dyDescent="0.3">
      <c r="A230" s="31" t="s">
        <v>243</v>
      </c>
      <c r="B230" s="32">
        <v>44992</v>
      </c>
      <c r="C230" s="47">
        <f>EOMONTH(Table2[[#This Row],[OrderDate]],-1)+1</f>
        <v>44986</v>
      </c>
      <c r="D230" s="45">
        <f>EOMONTH(_xlfn.MINIFS(B230:B860,M230:M860,Table2[[#This Row],[Country]]), -1) + 1</f>
        <v>44958</v>
      </c>
      <c r="E230" s="47"/>
      <c r="F230" s="32" t="str">
        <f>"Q"&amp;ROUNDUP(MONTH(B230)/3,0)&amp;"-"&amp;YEAR(B230)</f>
        <v>Q1-2023</v>
      </c>
      <c r="G230" s="32">
        <v>45017</v>
      </c>
      <c r="H230" s="32">
        <f>IF(G230&lt;B230, B230+3, G230)</f>
        <v>45017</v>
      </c>
      <c r="I230" s="33">
        <f>H230-B230</f>
        <v>25</v>
      </c>
      <c r="J230" s="33">
        <f t="shared" si="18"/>
        <v>0</v>
      </c>
      <c r="K230" s="33">
        <f t="shared" si="19"/>
        <v>0</v>
      </c>
      <c r="L230" s="34" t="s">
        <v>646</v>
      </c>
      <c r="M230" s="34" t="s">
        <v>650</v>
      </c>
      <c r="N230" s="34" t="s">
        <v>664</v>
      </c>
      <c r="O230" s="34" t="s">
        <v>704</v>
      </c>
      <c r="P230" s="34" t="s">
        <v>709</v>
      </c>
      <c r="Q230" s="34" t="s">
        <v>726</v>
      </c>
      <c r="R230" s="34" t="s">
        <v>728</v>
      </c>
      <c r="S230" s="34" t="s">
        <v>963</v>
      </c>
      <c r="T230" s="35">
        <v>1024.0999999999999</v>
      </c>
      <c r="U230" s="35">
        <v>918.19</v>
      </c>
      <c r="V230" s="35">
        <f t="shared" si="20"/>
        <v>0.189</v>
      </c>
      <c r="W230" s="35">
        <v>0.189</v>
      </c>
      <c r="X230" s="33">
        <f>IF(Table2[[#This Row],[DiscountPct]]&gt;0.2,1,0)</f>
        <v>0</v>
      </c>
      <c r="Y230" s="33">
        <v>10</v>
      </c>
      <c r="Z230" s="30">
        <f>Table2[[#This Row],[UnitPrice]]*Y230*(1-V230)</f>
        <v>7446.5209000000004</v>
      </c>
      <c r="AA230" s="31">
        <f>T230*Y230</f>
        <v>10241</v>
      </c>
      <c r="AB230" s="31">
        <f t="shared" si="21"/>
        <v>-2794.4790999999996</v>
      </c>
      <c r="AC230" s="31">
        <f t="shared" si="22"/>
        <v>-0.37527311579827827</v>
      </c>
      <c r="AD230" s="31" t="e">
        <f>_xlfn.PERCENTILE.INC(S:S, 0.33)</f>
        <v>#NUM!</v>
      </c>
      <c r="AE230" s="31" t="e">
        <f>_xlfn.PERCENTILE.INC(S:S, 0.66)</f>
        <v>#NUM!</v>
      </c>
      <c r="AF230" s="30" t="e">
        <f t="shared" si="23"/>
        <v>#NUM!</v>
      </c>
    </row>
    <row r="231" spans="1:32" x14ac:dyDescent="0.3">
      <c r="A231" s="2" t="s">
        <v>244</v>
      </c>
      <c r="B231" s="4">
        <v>45069</v>
      </c>
      <c r="C231" s="46">
        <f>EOMONTH(Table2[[#This Row],[OrderDate]],-1)+1</f>
        <v>45047</v>
      </c>
      <c r="D231" s="45">
        <f>EOMONTH(_xlfn.MINIFS(B231:B861,M231:M861,Table2[[#This Row],[Country]]), -1) + 1</f>
        <v>44927</v>
      </c>
      <c r="E231" s="46"/>
      <c r="F231" s="4" t="str">
        <f>"Q"&amp;ROUNDUP(MONTH(B231)/3,0)&amp;"-"&amp;YEAR(B231)</f>
        <v>Q2-2023</v>
      </c>
      <c r="G231" s="4">
        <v>45087</v>
      </c>
      <c r="H231" s="4">
        <f>IF(G231&lt;B231, B231+3, G231)</f>
        <v>45087</v>
      </c>
      <c r="I231" s="10">
        <f>H231-B231</f>
        <v>18</v>
      </c>
      <c r="J231" s="10">
        <f t="shared" si="18"/>
        <v>0</v>
      </c>
      <c r="K231" s="10">
        <f t="shared" si="19"/>
        <v>0</v>
      </c>
      <c r="L231" s="6" t="s">
        <v>647</v>
      </c>
      <c r="M231" s="6" t="s">
        <v>659</v>
      </c>
      <c r="N231" s="6" t="s">
        <v>685</v>
      </c>
      <c r="O231" s="6" t="s">
        <v>701</v>
      </c>
      <c r="P231" s="6" t="s">
        <v>710</v>
      </c>
      <c r="Q231" s="6" t="s">
        <v>718</v>
      </c>
      <c r="R231" s="6" t="s">
        <v>727</v>
      </c>
      <c r="S231" s="6" t="s">
        <v>964</v>
      </c>
      <c r="T231" s="8">
        <v>54.62</v>
      </c>
      <c r="U231" s="8">
        <v>48.94</v>
      </c>
      <c r="V231" s="8">
        <f t="shared" si="20"/>
        <v>0.14799999999999999</v>
      </c>
      <c r="W231" s="8">
        <v>0.14799999999999999</v>
      </c>
      <c r="X231" s="10">
        <f>IF(Table2[[#This Row],[DiscountPct]]&gt;0.2,1,0)</f>
        <v>0</v>
      </c>
      <c r="Y231" s="10">
        <v>16</v>
      </c>
      <c r="Z231" s="30">
        <f>Table2[[#This Row],[UnitPrice]]*Y231*(1-V231)</f>
        <v>667.15008</v>
      </c>
      <c r="AA231" s="2">
        <f>T231*Y231</f>
        <v>873.92</v>
      </c>
      <c r="AB231" s="2">
        <f t="shared" si="21"/>
        <v>-206.76991999999996</v>
      </c>
      <c r="AC231" s="2">
        <f t="shared" si="22"/>
        <v>-0.3099301434543783</v>
      </c>
      <c r="AD231" s="2" t="e">
        <f>_xlfn.PERCENTILE.INC(S:S, 0.33)</f>
        <v>#NUM!</v>
      </c>
      <c r="AE231" s="2" t="e">
        <f>_xlfn.PERCENTILE.INC(S:S, 0.66)</f>
        <v>#NUM!</v>
      </c>
      <c r="AF231" s="30" t="e">
        <f t="shared" si="23"/>
        <v>#NUM!</v>
      </c>
    </row>
    <row r="232" spans="1:32" x14ac:dyDescent="0.3">
      <c r="A232" s="31" t="s">
        <v>245</v>
      </c>
      <c r="B232" s="32">
        <v>45771</v>
      </c>
      <c r="C232" s="47">
        <f>EOMONTH(Table2[[#This Row],[OrderDate]],-1)+1</f>
        <v>45748</v>
      </c>
      <c r="D232" s="45">
        <f>EOMONTH(_xlfn.MINIFS(B232:B862,M232:M862,Table2[[#This Row],[Country]]), -1) + 1</f>
        <v>44927</v>
      </c>
      <c r="E232" s="47"/>
      <c r="F232" s="32" t="str">
        <f>"Q"&amp;ROUNDUP(MONTH(B232)/3,0)&amp;"-"&amp;YEAR(B232)</f>
        <v>Q2-2025</v>
      </c>
      <c r="G232" s="32">
        <v>45783</v>
      </c>
      <c r="H232" s="32">
        <f>IF(G232&lt;B232, B232+3, G232)</f>
        <v>45783</v>
      </c>
      <c r="I232" s="33">
        <f>H232-B232</f>
        <v>12</v>
      </c>
      <c r="J232" s="33">
        <f t="shared" si="18"/>
        <v>0</v>
      </c>
      <c r="K232" s="33">
        <f t="shared" si="19"/>
        <v>0</v>
      </c>
      <c r="L232" s="34" t="s">
        <v>648</v>
      </c>
      <c r="M232" s="34" t="s">
        <v>655</v>
      </c>
      <c r="N232" s="34" t="s">
        <v>672</v>
      </c>
      <c r="O232" s="34" t="s">
        <v>704</v>
      </c>
      <c r="P232" s="34" t="s">
        <v>708</v>
      </c>
      <c r="Q232" s="34" t="s">
        <v>712</v>
      </c>
      <c r="R232" s="34" t="s">
        <v>730</v>
      </c>
      <c r="S232" s="34" t="s">
        <v>965</v>
      </c>
      <c r="T232" s="35">
        <v>394.13</v>
      </c>
      <c r="U232" s="35">
        <v>932.29</v>
      </c>
      <c r="V232" s="35">
        <f t="shared" si="20"/>
        <v>0.109</v>
      </c>
      <c r="W232" s="35">
        <v>0.109</v>
      </c>
      <c r="X232" s="33">
        <f>IF(Table2[[#This Row],[DiscountPct]]&gt;0.2,1,0)</f>
        <v>0</v>
      </c>
      <c r="Y232" s="33">
        <v>7</v>
      </c>
      <c r="Z232" s="30">
        <f>Table2[[#This Row],[UnitPrice]]*Y232*(1-V232)</f>
        <v>5814.6927299999998</v>
      </c>
      <c r="AA232" s="31">
        <f>T232*Y232</f>
        <v>2758.91</v>
      </c>
      <c r="AB232" s="31">
        <f t="shared" si="21"/>
        <v>3055.7827299999999</v>
      </c>
      <c r="AC232" s="31">
        <f t="shared" si="22"/>
        <v>0.5255278089303268</v>
      </c>
      <c r="AD232" s="31" t="e">
        <f>_xlfn.PERCENTILE.INC(S:S, 0.33)</f>
        <v>#NUM!</v>
      </c>
      <c r="AE232" s="31" t="e">
        <f>_xlfn.PERCENTILE.INC(S:S, 0.66)</f>
        <v>#NUM!</v>
      </c>
      <c r="AF232" s="30" t="e">
        <f t="shared" si="23"/>
        <v>#NUM!</v>
      </c>
    </row>
    <row r="233" spans="1:32" x14ac:dyDescent="0.3">
      <c r="A233" s="2" t="s">
        <v>246</v>
      </c>
      <c r="B233" s="4">
        <v>45538</v>
      </c>
      <c r="C233" s="46">
        <f>EOMONTH(Table2[[#This Row],[OrderDate]],-1)+1</f>
        <v>45536</v>
      </c>
      <c r="D233" s="45">
        <f>EOMONTH(_xlfn.MINIFS(B233:B863,M233:M863,Table2[[#This Row],[Country]]), -1) + 1</f>
        <v>44958</v>
      </c>
      <c r="E233" s="46"/>
      <c r="F233" s="4" t="str">
        <f>"Q"&amp;ROUNDUP(MONTH(B233)/3,0)&amp;"-"&amp;YEAR(B233)</f>
        <v>Q3-2024</v>
      </c>
      <c r="G233" s="4">
        <v>45543</v>
      </c>
      <c r="H233" s="4">
        <f>IF(G233&lt;B233, B233+3, G233)</f>
        <v>45543</v>
      </c>
      <c r="I233" s="10">
        <f>H233-B233</f>
        <v>5</v>
      </c>
      <c r="J233" s="10">
        <f t="shared" si="18"/>
        <v>1</v>
      </c>
      <c r="K233" s="10">
        <f t="shared" si="19"/>
        <v>1</v>
      </c>
      <c r="L233" s="6" t="s">
        <v>646</v>
      </c>
      <c r="M233" s="6" t="s">
        <v>651</v>
      </c>
      <c r="N233" s="6" t="s">
        <v>665</v>
      </c>
      <c r="O233" s="6" t="s">
        <v>705</v>
      </c>
      <c r="P233" s="6" t="s">
        <v>711</v>
      </c>
      <c r="Q233" s="6" t="s">
        <v>723</v>
      </c>
      <c r="R233" s="6" t="s">
        <v>728</v>
      </c>
      <c r="S233" s="6" t="s">
        <v>966</v>
      </c>
      <c r="T233" s="8">
        <v>197.63</v>
      </c>
      <c r="U233" s="8">
        <v>325.79000000000002</v>
      </c>
      <c r="V233" s="8">
        <f t="shared" si="20"/>
        <v>0.11600000000000001</v>
      </c>
      <c r="W233" s="8">
        <v>0.11600000000000001</v>
      </c>
      <c r="X233" s="10">
        <f>IF(Table2[[#This Row],[DiscountPct]]&gt;0.2,1,0)</f>
        <v>0</v>
      </c>
      <c r="Y233" s="10">
        <v>10</v>
      </c>
      <c r="Z233" s="30">
        <f>Table2[[#This Row],[UnitPrice]]*Y233*(1-V233)</f>
        <v>2879.9836</v>
      </c>
      <c r="AA233" s="2">
        <f>T233*Y233</f>
        <v>1976.3</v>
      </c>
      <c r="AB233" s="2">
        <f t="shared" si="21"/>
        <v>903.68360000000007</v>
      </c>
      <c r="AC233" s="2">
        <f t="shared" si="22"/>
        <v>0.31378081458519419</v>
      </c>
      <c r="AD233" s="2" t="e">
        <f>_xlfn.PERCENTILE.INC(S:S, 0.33)</f>
        <v>#NUM!</v>
      </c>
      <c r="AE233" s="2" t="e">
        <f>_xlfn.PERCENTILE.INC(S:S, 0.66)</f>
        <v>#NUM!</v>
      </c>
      <c r="AF233" s="30" t="e">
        <f t="shared" si="23"/>
        <v>#NUM!</v>
      </c>
    </row>
    <row r="234" spans="1:32" x14ac:dyDescent="0.3">
      <c r="A234" s="31" t="s">
        <v>247</v>
      </c>
      <c r="B234" s="32">
        <v>45540</v>
      </c>
      <c r="C234" s="47">
        <f>EOMONTH(Table2[[#This Row],[OrderDate]],-1)+1</f>
        <v>45536</v>
      </c>
      <c r="D234" s="45">
        <f>EOMONTH(_xlfn.MINIFS(B234:B864,M234:M864,Table2[[#This Row],[Country]]), -1) + 1</f>
        <v>44986</v>
      </c>
      <c r="E234" s="47"/>
      <c r="F234" s="32" t="str">
        <f>"Q"&amp;ROUNDUP(MONTH(B234)/3,0)&amp;"-"&amp;YEAR(B234)</f>
        <v>Q3-2024</v>
      </c>
      <c r="G234" s="32">
        <v>45560</v>
      </c>
      <c r="H234" s="32">
        <f>IF(G234&lt;B234, B234+3, G234)</f>
        <v>45560</v>
      </c>
      <c r="I234" s="33">
        <f>H234-B234</f>
        <v>20</v>
      </c>
      <c r="J234" s="33">
        <f t="shared" si="18"/>
        <v>0</v>
      </c>
      <c r="K234" s="33">
        <f t="shared" si="19"/>
        <v>0</v>
      </c>
      <c r="L234" s="34" t="s">
        <v>647</v>
      </c>
      <c r="M234" s="34" t="s">
        <v>652</v>
      </c>
      <c r="N234" s="34" t="s">
        <v>666</v>
      </c>
      <c r="O234" s="34" t="s">
        <v>706</v>
      </c>
      <c r="P234" s="34" t="s">
        <v>710</v>
      </c>
      <c r="Q234" s="34" t="s">
        <v>726</v>
      </c>
      <c r="R234" s="34" t="s">
        <v>732</v>
      </c>
      <c r="S234" s="34" t="s">
        <v>967</v>
      </c>
      <c r="T234" s="35">
        <v>195.54</v>
      </c>
      <c r="U234" s="35">
        <v>405.97</v>
      </c>
      <c r="V234" s="35">
        <f t="shared" si="20"/>
        <v>0.187</v>
      </c>
      <c r="W234" s="35">
        <v>0.187</v>
      </c>
      <c r="X234" s="33">
        <f>IF(Table2[[#This Row],[DiscountPct]]&gt;0.2,1,0)</f>
        <v>0</v>
      </c>
      <c r="Y234" s="33">
        <v>16</v>
      </c>
      <c r="Z234" s="30">
        <f>Table2[[#This Row],[UnitPrice]]*Y234*(1-V234)</f>
        <v>5280.8577599999999</v>
      </c>
      <c r="AA234" s="31">
        <f>T234*Y234</f>
        <v>3128.64</v>
      </c>
      <c r="AB234" s="31">
        <f t="shared" si="21"/>
        <v>2152.21776</v>
      </c>
      <c r="AC234" s="31">
        <f t="shared" si="22"/>
        <v>0.40755079152141377</v>
      </c>
      <c r="AD234" s="31" t="e">
        <f>_xlfn.PERCENTILE.INC(S:S, 0.33)</f>
        <v>#NUM!</v>
      </c>
      <c r="AE234" s="31" t="e">
        <f>_xlfn.PERCENTILE.INC(S:S, 0.66)</f>
        <v>#NUM!</v>
      </c>
      <c r="AF234" s="30" t="e">
        <f t="shared" si="23"/>
        <v>#NUM!</v>
      </c>
    </row>
    <row r="235" spans="1:32" x14ac:dyDescent="0.3">
      <c r="A235" s="2" t="s">
        <v>248</v>
      </c>
      <c r="B235" s="4">
        <v>44999</v>
      </c>
      <c r="C235" s="46">
        <f>EOMONTH(Table2[[#This Row],[OrderDate]],-1)+1</f>
        <v>44986</v>
      </c>
      <c r="D235" s="45">
        <f>EOMONTH(_xlfn.MINIFS(B235:B865,M235:M865,Table2[[#This Row],[Country]]), -1) + 1</f>
        <v>44927</v>
      </c>
      <c r="E235" s="46"/>
      <c r="F235" s="4" t="str">
        <f>"Q"&amp;ROUNDUP(MONTH(B235)/3,0)&amp;"-"&amp;YEAR(B235)</f>
        <v>Q1-2023</v>
      </c>
      <c r="G235" s="4">
        <v>45015</v>
      </c>
      <c r="H235" s="4">
        <f>IF(G235&lt;B235, B235+3, G235)</f>
        <v>45015</v>
      </c>
      <c r="I235" s="10">
        <f>H235-B235</f>
        <v>16</v>
      </c>
      <c r="J235" s="10">
        <f t="shared" si="18"/>
        <v>0</v>
      </c>
      <c r="K235" s="10">
        <f t="shared" si="19"/>
        <v>0</v>
      </c>
      <c r="L235" s="6" t="s">
        <v>646</v>
      </c>
      <c r="M235" s="6" t="s">
        <v>661</v>
      </c>
      <c r="N235" s="6" t="s">
        <v>695</v>
      </c>
      <c r="O235" s="6" t="s">
        <v>704</v>
      </c>
      <c r="P235" s="6" t="s">
        <v>710</v>
      </c>
      <c r="Q235" s="6" t="s">
        <v>723</v>
      </c>
      <c r="R235" s="6" t="s">
        <v>727</v>
      </c>
      <c r="S235" s="6" t="s">
        <v>968</v>
      </c>
      <c r="T235" s="8">
        <v>1309.77</v>
      </c>
      <c r="U235" s="8">
        <v>1589.07</v>
      </c>
      <c r="V235" s="8">
        <f t="shared" si="20"/>
        <v>0.10199999999999999</v>
      </c>
      <c r="W235" s="8">
        <v>0.10199999999999999</v>
      </c>
      <c r="X235" s="10">
        <f>IF(Table2[[#This Row],[DiscountPct]]&gt;0.2,1,0)</f>
        <v>0</v>
      </c>
      <c r="Y235" s="10">
        <v>10</v>
      </c>
      <c r="Z235" s="30">
        <f>Table2[[#This Row],[UnitPrice]]*Y235*(1-V235)</f>
        <v>14269.848599999999</v>
      </c>
      <c r="AA235" s="2">
        <f>T235*Y235</f>
        <v>13097.7</v>
      </c>
      <c r="AB235" s="2">
        <f t="shared" si="21"/>
        <v>1172.1485999999986</v>
      </c>
      <c r="AC235" s="2">
        <f t="shared" si="22"/>
        <v>8.2141628328137886E-2</v>
      </c>
      <c r="AD235" s="2" t="e">
        <f>_xlfn.PERCENTILE.INC(S:S, 0.33)</f>
        <v>#NUM!</v>
      </c>
      <c r="AE235" s="2" t="e">
        <f>_xlfn.PERCENTILE.INC(S:S, 0.66)</f>
        <v>#NUM!</v>
      </c>
      <c r="AF235" s="30" t="e">
        <f t="shared" si="23"/>
        <v>#NUM!</v>
      </c>
    </row>
    <row r="236" spans="1:32" x14ac:dyDescent="0.3">
      <c r="A236" s="31" t="s">
        <v>249</v>
      </c>
      <c r="B236" s="32">
        <v>45302</v>
      </c>
      <c r="C236" s="47">
        <f>EOMONTH(Table2[[#This Row],[OrderDate]],-1)+1</f>
        <v>45292</v>
      </c>
      <c r="D236" s="45">
        <f>EOMONTH(_xlfn.MINIFS(B236:B866,M236:M866,Table2[[#This Row],[Country]]), -1) + 1</f>
        <v>44986</v>
      </c>
      <c r="E236" s="47"/>
      <c r="F236" s="32" t="str">
        <f>"Q"&amp;ROUNDUP(MONTH(B236)/3,0)&amp;"-"&amp;YEAR(B236)</f>
        <v>Q1-2024</v>
      </c>
      <c r="G236" s="32">
        <v>45324</v>
      </c>
      <c r="H236" s="32">
        <f>IF(G236&lt;B236, B236+3, G236)</f>
        <v>45324</v>
      </c>
      <c r="I236" s="33">
        <f>H236-B236</f>
        <v>22</v>
      </c>
      <c r="J236" s="33">
        <f t="shared" si="18"/>
        <v>0</v>
      </c>
      <c r="K236" s="33">
        <f t="shared" si="19"/>
        <v>0</v>
      </c>
      <c r="L236" s="34" t="s">
        <v>647</v>
      </c>
      <c r="M236" s="34" t="s">
        <v>652</v>
      </c>
      <c r="N236" s="34" t="s">
        <v>694</v>
      </c>
      <c r="O236" s="34" t="s">
        <v>705</v>
      </c>
      <c r="P236" s="34" t="s">
        <v>708</v>
      </c>
      <c r="Q236" s="34" t="s">
        <v>1438</v>
      </c>
      <c r="R236" s="34" t="s">
        <v>728</v>
      </c>
      <c r="S236" s="34" t="s">
        <v>969</v>
      </c>
      <c r="T236" s="35">
        <v>1237.68</v>
      </c>
      <c r="U236" s="35">
        <v>1432.8</v>
      </c>
      <c r="V236" s="35">
        <f t="shared" si="20"/>
        <v>6.8000000000000005E-2</v>
      </c>
      <c r="W236" s="35">
        <v>6.8000000000000005E-2</v>
      </c>
      <c r="X236" s="33">
        <f>IF(Table2[[#This Row],[DiscountPct]]&gt;0.2,1,0)</f>
        <v>0</v>
      </c>
      <c r="Y236" s="33">
        <v>13</v>
      </c>
      <c r="Z236" s="30">
        <f>Table2[[#This Row],[UnitPrice]]*Y236*(1-V236)</f>
        <v>17359.804799999998</v>
      </c>
      <c r="AA236" s="31">
        <f>T236*Y236</f>
        <v>16089.84</v>
      </c>
      <c r="AB236" s="31">
        <f t="shared" si="21"/>
        <v>1269.9647999999979</v>
      </c>
      <c r="AC236" s="31">
        <f t="shared" si="22"/>
        <v>7.315547695559331E-2</v>
      </c>
      <c r="AD236" s="31" t="e">
        <f>_xlfn.PERCENTILE.INC(S:S, 0.33)</f>
        <v>#NUM!</v>
      </c>
      <c r="AE236" s="31" t="e">
        <f>_xlfn.PERCENTILE.INC(S:S, 0.66)</f>
        <v>#NUM!</v>
      </c>
      <c r="AF236" s="30" t="e">
        <f t="shared" si="23"/>
        <v>#NUM!</v>
      </c>
    </row>
    <row r="237" spans="1:32" x14ac:dyDescent="0.3">
      <c r="A237" s="2" t="s">
        <v>250</v>
      </c>
      <c r="B237" s="4">
        <v>45548</v>
      </c>
      <c r="C237" s="46">
        <f>EOMONTH(Table2[[#This Row],[OrderDate]],-1)+1</f>
        <v>45536</v>
      </c>
      <c r="D237" s="45">
        <f>EOMONTH(_xlfn.MINIFS(B237:B867,M237:M867,Table2[[#This Row],[Country]]), -1) + 1</f>
        <v>44958</v>
      </c>
      <c r="E237" s="46"/>
      <c r="F237" s="4" t="str">
        <f>"Q"&amp;ROUNDUP(MONTH(B237)/3,0)&amp;"-"&amp;YEAR(B237)</f>
        <v>Q3-2024</v>
      </c>
      <c r="G237" s="4">
        <v>45567</v>
      </c>
      <c r="H237" s="4">
        <f>IF(G237&lt;B237, B237+3, G237)</f>
        <v>45567</v>
      </c>
      <c r="I237" s="10">
        <f>H237-B237</f>
        <v>19</v>
      </c>
      <c r="J237" s="10">
        <f t="shared" si="18"/>
        <v>0</v>
      </c>
      <c r="K237" s="10">
        <f t="shared" si="19"/>
        <v>0</v>
      </c>
      <c r="L237" s="6" t="s">
        <v>646</v>
      </c>
      <c r="M237" s="6" t="s">
        <v>650</v>
      </c>
      <c r="N237" s="6" t="s">
        <v>675</v>
      </c>
      <c r="O237" s="6" t="s">
        <v>705</v>
      </c>
      <c r="P237" s="6" t="s">
        <v>707</v>
      </c>
      <c r="Q237" s="6" t="s">
        <v>724</v>
      </c>
      <c r="R237" s="6" t="s">
        <v>730</v>
      </c>
      <c r="S237" s="6" t="s">
        <v>970</v>
      </c>
      <c r="T237" s="8">
        <v>1338.99</v>
      </c>
      <c r="U237" s="8">
        <v>1765.76</v>
      </c>
      <c r="V237" s="8">
        <f t="shared" si="20"/>
        <v>0.126</v>
      </c>
      <c r="W237" s="8">
        <v>0.126</v>
      </c>
      <c r="X237" s="10">
        <f>IF(Table2[[#This Row],[DiscountPct]]&gt;0.2,1,0)</f>
        <v>0</v>
      </c>
      <c r="Y237" s="10">
        <v>24</v>
      </c>
      <c r="Z237" s="30">
        <f>Table2[[#This Row],[UnitPrice]]*Y237*(1-V237)</f>
        <v>37038.581760000001</v>
      </c>
      <c r="AA237" s="2">
        <f>T237*Y237</f>
        <v>32135.760000000002</v>
      </c>
      <c r="AB237" s="2">
        <f t="shared" si="21"/>
        <v>4902.8217599999989</v>
      </c>
      <c r="AC237" s="2">
        <f t="shared" si="22"/>
        <v>0.1323706666677725</v>
      </c>
      <c r="AD237" s="2" t="e">
        <f>_xlfn.PERCENTILE.INC(S:S, 0.33)</f>
        <v>#NUM!</v>
      </c>
      <c r="AE237" s="2" t="e">
        <f>_xlfn.PERCENTILE.INC(S:S, 0.66)</f>
        <v>#NUM!</v>
      </c>
      <c r="AF237" s="30" t="e">
        <f t="shared" si="23"/>
        <v>#NUM!</v>
      </c>
    </row>
    <row r="238" spans="1:32" x14ac:dyDescent="0.3">
      <c r="A238" s="31" t="s">
        <v>251</v>
      </c>
      <c r="B238" s="32">
        <v>45855</v>
      </c>
      <c r="C238" s="47">
        <f>EOMONTH(Table2[[#This Row],[OrderDate]],-1)+1</f>
        <v>45839</v>
      </c>
      <c r="D238" s="45">
        <f>EOMONTH(_xlfn.MINIFS(B238:B868,M238:M868,Table2[[#This Row],[Country]]), -1) + 1</f>
        <v>44986</v>
      </c>
      <c r="E238" s="47"/>
      <c r="F238" s="32" t="str">
        <f>"Q"&amp;ROUNDUP(MONTH(B238)/3,0)&amp;"-"&amp;YEAR(B238)</f>
        <v>Q3-2025</v>
      </c>
      <c r="G238" s="32">
        <v>45861</v>
      </c>
      <c r="H238" s="32">
        <f>IF(G238&lt;B238, B238+3, G238)</f>
        <v>45861</v>
      </c>
      <c r="I238" s="33">
        <f>H238-B238</f>
        <v>6</v>
      </c>
      <c r="J238" s="33">
        <f t="shared" si="18"/>
        <v>1</v>
      </c>
      <c r="K238" s="33">
        <f t="shared" si="19"/>
        <v>1</v>
      </c>
      <c r="L238" s="34" t="s">
        <v>648</v>
      </c>
      <c r="M238" s="34" t="s">
        <v>653</v>
      </c>
      <c r="N238" s="34" t="s">
        <v>688</v>
      </c>
      <c r="O238" s="34" t="s">
        <v>704</v>
      </c>
      <c r="P238" s="34" t="s">
        <v>708</v>
      </c>
      <c r="Q238" s="34" t="s">
        <v>722</v>
      </c>
      <c r="R238" s="34" t="s">
        <v>727</v>
      </c>
      <c r="S238" s="34" t="s">
        <v>971</v>
      </c>
      <c r="T238" s="35">
        <v>1364.89</v>
      </c>
      <c r="U238" s="35">
        <v>2757.54</v>
      </c>
      <c r="V238" s="35">
        <f t="shared" si="20"/>
        <v>0.17199999999999999</v>
      </c>
      <c r="W238" s="35">
        <v>0.17199999999999999</v>
      </c>
      <c r="X238" s="33">
        <f>IF(Table2[[#This Row],[DiscountPct]]&gt;0.2,1,0)</f>
        <v>0</v>
      </c>
      <c r="Y238" s="33">
        <v>61</v>
      </c>
      <c r="Z238" s="30">
        <f>Table2[[#This Row],[UnitPrice]]*Y238*(1-V238)</f>
        <v>139277.83032000001</v>
      </c>
      <c r="AA238" s="31">
        <f>T238*Y238</f>
        <v>83258.290000000008</v>
      </c>
      <c r="AB238" s="31">
        <f t="shared" si="21"/>
        <v>56019.54032</v>
      </c>
      <c r="AC238" s="31">
        <f t="shared" si="22"/>
        <v>0.4022143379983118</v>
      </c>
      <c r="AD238" s="31" t="e">
        <f>_xlfn.PERCENTILE.INC(S:S, 0.33)</f>
        <v>#NUM!</v>
      </c>
      <c r="AE238" s="31" t="e">
        <f>_xlfn.PERCENTILE.INC(S:S, 0.66)</f>
        <v>#NUM!</v>
      </c>
      <c r="AF238" s="30" t="e">
        <f t="shared" si="23"/>
        <v>#NUM!</v>
      </c>
    </row>
    <row r="239" spans="1:32" x14ac:dyDescent="0.3">
      <c r="A239" s="2" t="s">
        <v>252</v>
      </c>
      <c r="B239" s="4">
        <v>45258</v>
      </c>
      <c r="C239" s="46">
        <f>EOMONTH(Table2[[#This Row],[OrderDate]],-1)+1</f>
        <v>45231</v>
      </c>
      <c r="D239" s="45">
        <f>EOMONTH(_xlfn.MINIFS(B239:B869,M239:M869,Table2[[#This Row],[Country]]), -1) + 1</f>
        <v>45047</v>
      </c>
      <c r="E239" s="46"/>
      <c r="F239" s="4" t="str">
        <f>"Q"&amp;ROUNDUP(MONTH(B239)/3,0)&amp;"-"&amp;YEAR(B239)</f>
        <v>Q4-2023</v>
      </c>
      <c r="G239" s="4">
        <v>45267</v>
      </c>
      <c r="H239" s="4">
        <f>IF(G239&lt;B239, B239+3, G239)</f>
        <v>45267</v>
      </c>
      <c r="I239" s="10">
        <f>H239-B239</f>
        <v>9</v>
      </c>
      <c r="J239" s="10">
        <f t="shared" si="18"/>
        <v>0</v>
      </c>
      <c r="K239" s="10">
        <f t="shared" si="19"/>
        <v>0</v>
      </c>
      <c r="L239" s="6" t="s">
        <v>647</v>
      </c>
      <c r="M239" s="6" t="s">
        <v>654</v>
      </c>
      <c r="N239" s="6" t="s">
        <v>680</v>
      </c>
      <c r="O239" s="6" t="s">
        <v>706</v>
      </c>
      <c r="P239" s="6" t="s">
        <v>709</v>
      </c>
      <c r="Q239" s="6" t="s">
        <v>716</v>
      </c>
      <c r="R239" s="6" t="s">
        <v>730</v>
      </c>
      <c r="S239" s="6" t="s">
        <v>972</v>
      </c>
      <c r="T239" s="8">
        <v>699.33</v>
      </c>
      <c r="U239" s="8">
        <v>873.75</v>
      </c>
      <c r="V239" s="8">
        <f t="shared" si="20"/>
        <v>0.23499999999999999</v>
      </c>
      <c r="W239" s="8">
        <v>0.23499999999999999</v>
      </c>
      <c r="X239" s="10">
        <f>IF(Table2[[#This Row],[DiscountPct]]&gt;0.2,1,0)</f>
        <v>1</v>
      </c>
      <c r="Y239" s="10">
        <v>10</v>
      </c>
      <c r="Z239" s="30">
        <f>Table2[[#This Row],[UnitPrice]]*Y239*(1-V239)</f>
        <v>6684.1875</v>
      </c>
      <c r="AA239" s="2">
        <f>T239*Y239</f>
        <v>6993.3</v>
      </c>
      <c r="AB239" s="2">
        <f t="shared" si="21"/>
        <v>-309.11250000000018</v>
      </c>
      <c r="AC239" s="2">
        <f t="shared" si="22"/>
        <v>-4.6245336475076469E-2</v>
      </c>
      <c r="AD239" s="2" t="e">
        <f>_xlfn.PERCENTILE.INC(S:S, 0.33)</f>
        <v>#NUM!</v>
      </c>
      <c r="AE239" s="2" t="e">
        <f>_xlfn.PERCENTILE.INC(S:S, 0.66)</f>
        <v>#NUM!</v>
      </c>
      <c r="AF239" s="30" t="e">
        <f t="shared" si="23"/>
        <v>#NUM!</v>
      </c>
    </row>
    <row r="240" spans="1:32" x14ac:dyDescent="0.3">
      <c r="A240" s="31" t="s">
        <v>253</v>
      </c>
      <c r="B240" s="32">
        <v>45381</v>
      </c>
      <c r="C240" s="47">
        <f>EOMONTH(Table2[[#This Row],[OrderDate]],-1)+1</f>
        <v>45352</v>
      </c>
      <c r="D240" s="45">
        <f>EOMONTH(_xlfn.MINIFS(B240:B870,M240:M870,Table2[[#This Row],[Country]]), -1) + 1</f>
        <v>44958</v>
      </c>
      <c r="E240" s="47"/>
      <c r="F240" s="32" t="str">
        <f>"Q"&amp;ROUNDUP(MONTH(B240)/3,0)&amp;"-"&amp;YEAR(B240)</f>
        <v>Q1-2024</v>
      </c>
      <c r="G240" s="32">
        <v>45406</v>
      </c>
      <c r="H240" s="32">
        <f>IF(G240&lt;B240, B240+3, G240)</f>
        <v>45406</v>
      </c>
      <c r="I240" s="33">
        <f>H240-B240</f>
        <v>25</v>
      </c>
      <c r="J240" s="33">
        <f t="shared" si="18"/>
        <v>0</v>
      </c>
      <c r="K240" s="33">
        <f t="shared" si="19"/>
        <v>0</v>
      </c>
      <c r="L240" s="34" t="s">
        <v>648</v>
      </c>
      <c r="M240" s="34" t="s">
        <v>660</v>
      </c>
      <c r="N240" s="34" t="s">
        <v>697</v>
      </c>
      <c r="O240" s="34" t="s">
        <v>703</v>
      </c>
      <c r="P240" s="34" t="s">
        <v>708</v>
      </c>
      <c r="Q240" s="34" t="s">
        <v>715</v>
      </c>
      <c r="R240" s="34" t="s">
        <v>731</v>
      </c>
      <c r="S240" s="34" t="s">
        <v>973</v>
      </c>
      <c r="T240" s="35">
        <v>160.82</v>
      </c>
      <c r="U240" s="35">
        <v>258.52</v>
      </c>
      <c r="V240" s="35">
        <f t="shared" si="20"/>
        <v>0.13</v>
      </c>
      <c r="W240" s="35">
        <v>0.13</v>
      </c>
      <c r="X240" s="33">
        <f>IF(Table2[[#This Row],[DiscountPct]]&gt;0.2,1,0)</f>
        <v>0</v>
      </c>
      <c r="Y240" s="33">
        <v>17</v>
      </c>
      <c r="Z240" s="30">
        <f>Table2[[#This Row],[UnitPrice]]*Y240*(1-V240)</f>
        <v>3823.5108</v>
      </c>
      <c r="AA240" s="31">
        <f>T240*Y240</f>
        <v>2733.94</v>
      </c>
      <c r="AB240" s="31">
        <f t="shared" si="21"/>
        <v>1089.5708</v>
      </c>
      <c r="AC240" s="31">
        <f t="shared" si="22"/>
        <v>0.28496605789631874</v>
      </c>
      <c r="AD240" s="31" t="e">
        <f>_xlfn.PERCENTILE.INC(S:S, 0.33)</f>
        <v>#NUM!</v>
      </c>
      <c r="AE240" s="31" t="e">
        <f>_xlfn.PERCENTILE.INC(S:S, 0.66)</f>
        <v>#NUM!</v>
      </c>
      <c r="AF240" s="30" t="e">
        <f t="shared" si="23"/>
        <v>#NUM!</v>
      </c>
    </row>
    <row r="241" spans="1:32" x14ac:dyDescent="0.3">
      <c r="A241" s="2" t="s">
        <v>254</v>
      </c>
      <c r="B241" s="4">
        <v>45188</v>
      </c>
      <c r="C241" s="46">
        <f>EOMONTH(Table2[[#This Row],[OrderDate]],-1)+1</f>
        <v>45170</v>
      </c>
      <c r="D241" s="45">
        <f>EOMONTH(_xlfn.MINIFS(B241:B871,M241:M871,Table2[[#This Row],[Country]]), -1) + 1</f>
        <v>45047</v>
      </c>
      <c r="E241" s="46"/>
      <c r="F241" s="4" t="str">
        <f>"Q"&amp;ROUNDUP(MONTH(B241)/3,0)&amp;"-"&amp;YEAR(B241)</f>
        <v>Q3-2023</v>
      </c>
      <c r="G241" s="4">
        <v>45207</v>
      </c>
      <c r="H241" s="4">
        <f>IF(G241&lt;B241, B241+3, G241)</f>
        <v>45207</v>
      </c>
      <c r="I241" s="10">
        <f>H241-B241</f>
        <v>19</v>
      </c>
      <c r="J241" s="10">
        <f t="shared" si="18"/>
        <v>0</v>
      </c>
      <c r="K241" s="10">
        <f t="shared" si="19"/>
        <v>0</v>
      </c>
      <c r="L241" s="6" t="s">
        <v>647</v>
      </c>
      <c r="M241" s="6" t="s">
        <v>654</v>
      </c>
      <c r="N241" s="6" t="s">
        <v>668</v>
      </c>
      <c r="O241" s="6" t="s">
        <v>702</v>
      </c>
      <c r="P241" s="6" t="s">
        <v>711</v>
      </c>
      <c r="Q241" s="6" t="s">
        <v>713</v>
      </c>
      <c r="R241" s="6" t="s">
        <v>728</v>
      </c>
      <c r="S241" s="6" t="s">
        <v>974</v>
      </c>
      <c r="T241" s="8">
        <v>385.32</v>
      </c>
      <c r="U241" s="8">
        <v>606.76</v>
      </c>
      <c r="V241" s="8">
        <f t="shared" si="20"/>
        <v>8.5999999999999993E-2</v>
      </c>
      <c r="W241" s="8">
        <v>8.5999999999999993E-2</v>
      </c>
      <c r="X241" s="10">
        <f>IF(Table2[[#This Row],[DiscountPct]]&gt;0.2,1,0)</f>
        <v>0</v>
      </c>
      <c r="Y241" s="10">
        <v>8</v>
      </c>
      <c r="Z241" s="30">
        <f>Table2[[#This Row],[UnitPrice]]*Y241*(1-V241)</f>
        <v>4436.6291200000005</v>
      </c>
      <c r="AA241" s="2">
        <f>T241*Y241</f>
        <v>3082.56</v>
      </c>
      <c r="AB241" s="2">
        <f t="shared" si="21"/>
        <v>1354.0691200000006</v>
      </c>
      <c r="AC241" s="2">
        <f t="shared" si="22"/>
        <v>0.30520223425842735</v>
      </c>
      <c r="AD241" s="2" t="e">
        <f>_xlfn.PERCENTILE.INC(S:S, 0.33)</f>
        <v>#NUM!</v>
      </c>
      <c r="AE241" s="2" t="e">
        <f>_xlfn.PERCENTILE.INC(S:S, 0.66)</f>
        <v>#NUM!</v>
      </c>
      <c r="AF241" s="30" t="e">
        <f t="shared" si="23"/>
        <v>#NUM!</v>
      </c>
    </row>
    <row r="242" spans="1:32" x14ac:dyDescent="0.3">
      <c r="A242" s="31" t="s">
        <v>255</v>
      </c>
      <c r="B242" s="32">
        <v>45793</v>
      </c>
      <c r="C242" s="47">
        <f>EOMONTH(Table2[[#This Row],[OrderDate]],-1)+1</f>
        <v>45778</v>
      </c>
      <c r="D242" s="45">
        <f>EOMONTH(_xlfn.MINIFS(B242:B872,M242:M872,Table2[[#This Row],[Country]]), -1) + 1</f>
        <v>44927</v>
      </c>
      <c r="E242" s="47"/>
      <c r="F242" s="32" t="str">
        <f>"Q"&amp;ROUNDUP(MONTH(B242)/3,0)&amp;"-"&amp;YEAR(B242)</f>
        <v>Q2-2025</v>
      </c>
      <c r="G242" s="32">
        <v>45804</v>
      </c>
      <c r="H242" s="32">
        <f>IF(G242&lt;B242, B242+3, G242)</f>
        <v>45804</v>
      </c>
      <c r="I242" s="33">
        <f>H242-B242</f>
        <v>11</v>
      </c>
      <c r="J242" s="33">
        <f t="shared" si="18"/>
        <v>0</v>
      </c>
      <c r="K242" s="33">
        <f t="shared" si="19"/>
        <v>0</v>
      </c>
      <c r="L242" s="34" t="s">
        <v>647</v>
      </c>
      <c r="M242" s="34" t="s">
        <v>659</v>
      </c>
      <c r="N242" s="34" t="s">
        <v>699</v>
      </c>
      <c r="O242" s="34" t="s">
        <v>706</v>
      </c>
      <c r="P242" s="34" t="s">
        <v>708</v>
      </c>
      <c r="Q242" s="34" t="s">
        <v>721</v>
      </c>
      <c r="R242" s="34" t="s">
        <v>730</v>
      </c>
      <c r="S242" s="34" t="s">
        <v>975</v>
      </c>
      <c r="T242" s="35">
        <v>918.12</v>
      </c>
      <c r="U242" s="35">
        <v>1337.69</v>
      </c>
      <c r="V242" s="35">
        <f t="shared" si="20"/>
        <v>9.5000000000000001E-2</v>
      </c>
      <c r="W242" s="35">
        <v>9.5000000000000001E-2</v>
      </c>
      <c r="X242" s="33">
        <f>IF(Table2[[#This Row],[DiscountPct]]&gt;0.2,1,0)</f>
        <v>0</v>
      </c>
      <c r="Y242" s="33">
        <v>8</v>
      </c>
      <c r="Z242" s="30">
        <f>Table2[[#This Row],[UnitPrice]]*Y242*(1-V242)</f>
        <v>9684.8756000000012</v>
      </c>
      <c r="AA242" s="31">
        <f>T242*Y242</f>
        <v>7344.96</v>
      </c>
      <c r="AB242" s="31">
        <f t="shared" si="21"/>
        <v>2339.9156000000012</v>
      </c>
      <c r="AC242" s="31">
        <f t="shared" si="22"/>
        <v>0.24160512707050164</v>
      </c>
      <c r="AD242" s="31" t="e">
        <f>_xlfn.PERCENTILE.INC(S:S, 0.33)</f>
        <v>#NUM!</v>
      </c>
      <c r="AE242" s="31" t="e">
        <f>_xlfn.PERCENTILE.INC(S:S, 0.66)</f>
        <v>#NUM!</v>
      </c>
      <c r="AF242" s="30" t="e">
        <f t="shared" si="23"/>
        <v>#NUM!</v>
      </c>
    </row>
    <row r="243" spans="1:32" x14ac:dyDescent="0.3">
      <c r="A243" s="2" t="s">
        <v>256</v>
      </c>
      <c r="B243" s="4">
        <v>45871</v>
      </c>
      <c r="C243" s="46">
        <f>EOMONTH(Table2[[#This Row],[OrderDate]],-1)+1</f>
        <v>45870</v>
      </c>
      <c r="D243" s="45">
        <f>EOMONTH(_xlfn.MINIFS(B243:B873,M243:M873,Table2[[#This Row],[Country]]), -1) + 1</f>
        <v>44986</v>
      </c>
      <c r="E243" s="46"/>
      <c r="F243" s="4" t="str">
        <f>"Q"&amp;ROUNDUP(MONTH(B243)/3,0)&amp;"-"&amp;YEAR(B243)</f>
        <v>Q3-2025</v>
      </c>
      <c r="G243" s="4">
        <v>45877</v>
      </c>
      <c r="H243" s="4">
        <f>IF(G243&lt;B243, B243+3, G243)</f>
        <v>45877</v>
      </c>
      <c r="I243" s="10">
        <f>H243-B243</f>
        <v>6</v>
      </c>
      <c r="J243" s="10">
        <f t="shared" si="18"/>
        <v>1</v>
      </c>
      <c r="K243" s="10">
        <f t="shared" si="19"/>
        <v>1</v>
      </c>
      <c r="L243" s="6" t="s">
        <v>647</v>
      </c>
      <c r="M243" s="6" t="s">
        <v>652</v>
      </c>
      <c r="N243" s="6" t="s">
        <v>666</v>
      </c>
      <c r="O243" s="6" t="s">
        <v>704</v>
      </c>
      <c r="P243" s="6" t="s">
        <v>711</v>
      </c>
      <c r="Q243" s="6" t="s">
        <v>725</v>
      </c>
      <c r="R243" s="6" t="s">
        <v>731</v>
      </c>
      <c r="S243" s="6" t="s">
        <v>976</v>
      </c>
      <c r="T243" s="8">
        <v>1225.94</v>
      </c>
      <c r="U243" s="8">
        <v>1793.08</v>
      </c>
      <c r="V243" s="8">
        <f t="shared" si="20"/>
        <v>0.13600000000000001</v>
      </c>
      <c r="W243" s="8">
        <v>0.13600000000000001</v>
      </c>
      <c r="X243" s="10">
        <f>IF(Table2[[#This Row],[DiscountPct]]&gt;0.2,1,0)</f>
        <v>0</v>
      </c>
      <c r="Y243" s="10">
        <v>22</v>
      </c>
      <c r="Z243" s="30">
        <f>Table2[[#This Row],[UnitPrice]]*Y243*(1-V243)</f>
        <v>34082.864639999993</v>
      </c>
      <c r="AA243" s="2">
        <f>T243*Y243</f>
        <v>26970.68</v>
      </c>
      <c r="AB243" s="2">
        <f t="shared" si="21"/>
        <v>7112.1846399999922</v>
      </c>
      <c r="AC243" s="2">
        <f t="shared" si="22"/>
        <v>0.20867332353434462</v>
      </c>
      <c r="AD243" s="2" t="e">
        <f>_xlfn.PERCENTILE.INC(S:S, 0.33)</f>
        <v>#NUM!</v>
      </c>
      <c r="AE243" s="2" t="e">
        <f>_xlfn.PERCENTILE.INC(S:S, 0.66)</f>
        <v>#NUM!</v>
      </c>
      <c r="AF243" s="30" t="e">
        <f t="shared" si="23"/>
        <v>#NUM!</v>
      </c>
    </row>
    <row r="244" spans="1:32" x14ac:dyDescent="0.3">
      <c r="A244" s="31" t="s">
        <v>257</v>
      </c>
      <c r="B244" s="32">
        <v>45630</v>
      </c>
      <c r="C244" s="47">
        <f>EOMONTH(Table2[[#This Row],[OrderDate]],-1)+1</f>
        <v>45627</v>
      </c>
      <c r="D244" s="45">
        <f>EOMONTH(_xlfn.MINIFS(B244:B874,M244:M874,Table2[[#This Row],[Country]]), -1) + 1</f>
        <v>44927</v>
      </c>
      <c r="E244" s="47"/>
      <c r="F244" s="32" t="str">
        <f>"Q"&amp;ROUNDUP(MONTH(B244)/3,0)&amp;"-"&amp;YEAR(B244)</f>
        <v>Q4-2024</v>
      </c>
      <c r="G244" s="32">
        <v>45638</v>
      </c>
      <c r="H244" s="32">
        <f>IF(G244&lt;B244, B244+3, G244)</f>
        <v>45638</v>
      </c>
      <c r="I244" s="33">
        <f>H244-B244</f>
        <v>8</v>
      </c>
      <c r="J244" s="33">
        <f t="shared" si="18"/>
        <v>0</v>
      </c>
      <c r="K244" s="33">
        <f t="shared" si="19"/>
        <v>0</v>
      </c>
      <c r="L244" s="34" t="s">
        <v>649</v>
      </c>
      <c r="M244" s="34" t="s">
        <v>656</v>
      </c>
      <c r="N244" s="34" t="s">
        <v>698</v>
      </c>
      <c r="O244" s="34" t="s">
        <v>706</v>
      </c>
      <c r="P244" s="34" t="s">
        <v>709</v>
      </c>
      <c r="Q244" s="34" t="s">
        <v>717</v>
      </c>
      <c r="R244" s="34" t="s">
        <v>728</v>
      </c>
      <c r="S244" s="34" t="s">
        <v>977</v>
      </c>
      <c r="T244" s="35">
        <v>72.06</v>
      </c>
      <c r="U244" s="35">
        <v>122.74</v>
      </c>
      <c r="V244" s="35">
        <f t="shared" si="20"/>
        <v>0.23799999999999999</v>
      </c>
      <c r="W244" s="35">
        <v>0.23799999999999999</v>
      </c>
      <c r="X244" s="33">
        <f>IF(Table2[[#This Row],[DiscountPct]]&gt;0.2,1,0)</f>
        <v>1</v>
      </c>
      <c r="Y244" s="33">
        <v>8</v>
      </c>
      <c r="Z244" s="30">
        <f>Table2[[#This Row],[UnitPrice]]*Y244*(1-V244)</f>
        <v>748.22303999999997</v>
      </c>
      <c r="AA244" s="31">
        <f>T244*Y244</f>
        <v>576.48</v>
      </c>
      <c r="AB244" s="31">
        <f t="shared" si="21"/>
        <v>171.74303999999995</v>
      </c>
      <c r="AC244" s="31">
        <f t="shared" si="22"/>
        <v>0.22953455162246802</v>
      </c>
      <c r="AD244" s="31" t="e">
        <f>_xlfn.PERCENTILE.INC(S:S, 0.33)</f>
        <v>#NUM!</v>
      </c>
      <c r="AE244" s="31" t="e">
        <f>_xlfn.PERCENTILE.INC(S:S, 0.66)</f>
        <v>#NUM!</v>
      </c>
      <c r="AF244" s="30" t="e">
        <f t="shared" si="23"/>
        <v>#NUM!</v>
      </c>
    </row>
    <row r="245" spans="1:32" x14ac:dyDescent="0.3">
      <c r="A245" s="2" t="s">
        <v>258</v>
      </c>
      <c r="B245" s="4">
        <v>45035</v>
      </c>
      <c r="C245" s="46">
        <f>EOMONTH(Table2[[#This Row],[OrderDate]],-1)+1</f>
        <v>45017</v>
      </c>
      <c r="D245" s="45">
        <f>EOMONTH(_xlfn.MINIFS(B245:B875,M245:M875,Table2[[#This Row],[Country]]), -1) + 1</f>
        <v>44927</v>
      </c>
      <c r="E245" s="46"/>
      <c r="F245" s="4" t="str">
        <f>"Q"&amp;ROUNDUP(MONTH(B245)/3,0)&amp;"-"&amp;YEAR(B245)</f>
        <v>Q2-2023</v>
      </c>
      <c r="G245" s="4">
        <v>45044</v>
      </c>
      <c r="H245" s="4">
        <f>IF(G245&lt;B245, B245+3, G245)</f>
        <v>45044</v>
      </c>
      <c r="I245" s="10">
        <f>H245-B245</f>
        <v>9</v>
      </c>
      <c r="J245" s="10">
        <f t="shared" si="18"/>
        <v>0</v>
      </c>
      <c r="K245" s="10">
        <f t="shared" si="19"/>
        <v>0</v>
      </c>
      <c r="L245" s="6" t="s">
        <v>648</v>
      </c>
      <c r="M245" s="6" t="s">
        <v>655</v>
      </c>
      <c r="N245" s="6" t="s">
        <v>692</v>
      </c>
      <c r="O245" s="6" t="s">
        <v>701</v>
      </c>
      <c r="P245" s="6" t="s">
        <v>710</v>
      </c>
      <c r="Q245" s="6" t="s">
        <v>724</v>
      </c>
      <c r="R245" s="6" t="s">
        <v>730</v>
      </c>
      <c r="S245" s="6" t="s">
        <v>978</v>
      </c>
      <c r="T245" s="8">
        <v>1013.54</v>
      </c>
      <c r="U245" s="8">
        <v>927.93</v>
      </c>
      <c r="V245" s="8">
        <f t="shared" si="20"/>
        <v>0.17499999999999999</v>
      </c>
      <c r="W245" s="8">
        <v>0.17499999999999999</v>
      </c>
      <c r="X245" s="10">
        <f>IF(Table2[[#This Row],[DiscountPct]]&gt;0.2,1,0)</f>
        <v>0</v>
      </c>
      <c r="Y245" s="10">
        <v>16</v>
      </c>
      <c r="Z245" s="30">
        <f>Table2[[#This Row],[UnitPrice]]*Y245*(1-V245)</f>
        <v>12248.675999999999</v>
      </c>
      <c r="AA245" s="2">
        <f>T245*Y245</f>
        <v>16216.64</v>
      </c>
      <c r="AB245" s="2">
        <f t="shared" si="21"/>
        <v>-3967.9639999999999</v>
      </c>
      <c r="AC245" s="2">
        <f t="shared" si="22"/>
        <v>-0.32395044166406234</v>
      </c>
      <c r="AD245" s="2" t="e">
        <f>_xlfn.PERCENTILE.INC(S:S, 0.33)</f>
        <v>#NUM!</v>
      </c>
      <c r="AE245" s="2" t="e">
        <f>_xlfn.PERCENTILE.INC(S:S, 0.66)</f>
        <v>#NUM!</v>
      </c>
      <c r="AF245" s="30" t="e">
        <f t="shared" si="23"/>
        <v>#NUM!</v>
      </c>
    </row>
    <row r="246" spans="1:32" x14ac:dyDescent="0.3">
      <c r="A246" s="31" t="s">
        <v>259</v>
      </c>
      <c r="B246" s="32">
        <v>45357</v>
      </c>
      <c r="C246" s="47">
        <f>EOMONTH(Table2[[#This Row],[OrderDate]],-1)+1</f>
        <v>45352</v>
      </c>
      <c r="D246" s="45">
        <f>EOMONTH(_xlfn.MINIFS(B246:B876,M246:M876,Table2[[#This Row],[Country]]), -1) + 1</f>
        <v>44958</v>
      </c>
      <c r="E246" s="47"/>
      <c r="F246" s="32" t="str">
        <f>"Q"&amp;ROUNDUP(MONTH(B246)/3,0)&amp;"-"&amp;YEAR(B246)</f>
        <v>Q1-2024</v>
      </c>
      <c r="G246" s="32">
        <v>45377</v>
      </c>
      <c r="H246" s="32">
        <f>IF(G246&lt;B246, B246+3, G246)</f>
        <v>45377</v>
      </c>
      <c r="I246" s="33">
        <f>H246-B246</f>
        <v>20</v>
      </c>
      <c r="J246" s="33">
        <f t="shared" si="18"/>
        <v>0</v>
      </c>
      <c r="K246" s="33">
        <f t="shared" si="19"/>
        <v>0</v>
      </c>
      <c r="L246" s="34" t="s">
        <v>646</v>
      </c>
      <c r="M246" s="34" t="s">
        <v>651</v>
      </c>
      <c r="N246" s="34" t="s">
        <v>663</v>
      </c>
      <c r="O246" s="34" t="s">
        <v>704</v>
      </c>
      <c r="P246" s="34" t="s">
        <v>709</v>
      </c>
      <c r="Q246" s="34" t="s">
        <v>714</v>
      </c>
      <c r="R246" s="34" t="s">
        <v>730</v>
      </c>
      <c r="S246" s="34" t="s">
        <v>979</v>
      </c>
      <c r="T246" s="35">
        <v>65.64</v>
      </c>
      <c r="U246" s="35">
        <v>151.88</v>
      </c>
      <c r="V246" s="35">
        <f t="shared" si="20"/>
        <v>0.16700000000000001</v>
      </c>
      <c r="W246" s="35">
        <v>0.16700000000000001</v>
      </c>
      <c r="X246" s="33">
        <f>IF(Table2[[#This Row],[DiscountPct]]&gt;0.2,1,0)</f>
        <v>0</v>
      </c>
      <c r="Y246" s="33">
        <v>23</v>
      </c>
      <c r="Z246" s="30">
        <f>Table2[[#This Row],[UnitPrice]]*Y246*(1-V246)</f>
        <v>2909.8689199999999</v>
      </c>
      <c r="AA246" s="31">
        <f>T246*Y246</f>
        <v>1509.72</v>
      </c>
      <c r="AB246" s="31">
        <f t="shared" si="21"/>
        <v>1400.1489199999999</v>
      </c>
      <c r="AC246" s="31">
        <f t="shared" si="22"/>
        <v>0.48117250587356353</v>
      </c>
      <c r="AD246" s="31" t="e">
        <f>_xlfn.PERCENTILE.INC(S:S, 0.33)</f>
        <v>#NUM!</v>
      </c>
      <c r="AE246" s="31" t="e">
        <f>_xlfn.PERCENTILE.INC(S:S, 0.66)</f>
        <v>#NUM!</v>
      </c>
      <c r="AF246" s="30" t="e">
        <f t="shared" si="23"/>
        <v>#NUM!</v>
      </c>
    </row>
    <row r="247" spans="1:32" x14ac:dyDescent="0.3">
      <c r="A247" s="2" t="s">
        <v>260</v>
      </c>
      <c r="B247" s="4">
        <v>45338</v>
      </c>
      <c r="C247" s="46">
        <f>EOMONTH(Table2[[#This Row],[OrderDate]],-1)+1</f>
        <v>45323</v>
      </c>
      <c r="D247" s="45">
        <f>EOMONTH(_xlfn.MINIFS(B247:B877,M247:M877,Table2[[#This Row],[Country]]), -1) + 1</f>
        <v>44986</v>
      </c>
      <c r="E247" s="46"/>
      <c r="F247" s="4" t="str">
        <f>"Q"&amp;ROUNDUP(MONTH(B247)/3,0)&amp;"-"&amp;YEAR(B247)</f>
        <v>Q1-2024</v>
      </c>
      <c r="G247" s="4">
        <v>45355</v>
      </c>
      <c r="H247" s="4">
        <f>IF(G247&lt;B247, B247+3, G247)</f>
        <v>45355</v>
      </c>
      <c r="I247" s="10">
        <f>H247-B247</f>
        <v>17</v>
      </c>
      <c r="J247" s="10">
        <f t="shared" si="18"/>
        <v>0</v>
      </c>
      <c r="K247" s="10">
        <f t="shared" si="19"/>
        <v>0</v>
      </c>
      <c r="L247" s="6" t="s">
        <v>648</v>
      </c>
      <c r="M247" s="6" t="s">
        <v>653</v>
      </c>
      <c r="N247" s="6" t="s">
        <v>681</v>
      </c>
      <c r="O247" s="6" t="s">
        <v>703</v>
      </c>
      <c r="P247" s="6" t="s">
        <v>707</v>
      </c>
      <c r="Q247" s="6" t="s">
        <v>726</v>
      </c>
      <c r="R247" s="6" t="s">
        <v>731</v>
      </c>
      <c r="S247" s="6" t="s">
        <v>980</v>
      </c>
      <c r="T247" s="8">
        <v>1350.98</v>
      </c>
      <c r="U247" s="8">
        <v>2210.4</v>
      </c>
      <c r="V247" s="8">
        <f t="shared" si="20"/>
        <v>0.26300000000000001</v>
      </c>
      <c r="W247" s="8">
        <v>0.26300000000000001</v>
      </c>
      <c r="X247" s="10">
        <f>IF(Table2[[#This Row],[DiscountPct]]&gt;0.2,1,0)</f>
        <v>1</v>
      </c>
      <c r="Y247" s="10">
        <v>6</v>
      </c>
      <c r="Z247" s="30">
        <f>Table2[[#This Row],[UnitPrice]]*Y247*(1-V247)</f>
        <v>9774.3888000000006</v>
      </c>
      <c r="AA247" s="2">
        <f>T247*Y247</f>
        <v>8105.88</v>
      </c>
      <c r="AB247" s="2">
        <f t="shared" si="21"/>
        <v>1668.5088000000005</v>
      </c>
      <c r="AC247" s="2">
        <f t="shared" si="22"/>
        <v>0.17070211080615091</v>
      </c>
      <c r="AD247" s="2" t="e">
        <f>_xlfn.PERCENTILE.INC(S:S, 0.33)</f>
        <v>#NUM!</v>
      </c>
      <c r="AE247" s="2" t="e">
        <f>_xlfn.PERCENTILE.INC(S:S, 0.66)</f>
        <v>#NUM!</v>
      </c>
      <c r="AF247" s="30" t="e">
        <f t="shared" si="23"/>
        <v>#NUM!</v>
      </c>
    </row>
    <row r="248" spans="1:32" x14ac:dyDescent="0.3">
      <c r="A248" s="31" t="s">
        <v>261</v>
      </c>
      <c r="B248" s="32">
        <v>45769</v>
      </c>
      <c r="C248" s="47">
        <f>EOMONTH(Table2[[#This Row],[OrderDate]],-1)+1</f>
        <v>45748</v>
      </c>
      <c r="D248" s="45">
        <f>EOMONTH(_xlfn.MINIFS(B248:B878,M248:M878,Table2[[#This Row],[Country]]), -1) + 1</f>
        <v>44927</v>
      </c>
      <c r="E248" s="47"/>
      <c r="F248" s="32" t="str">
        <f>"Q"&amp;ROUNDUP(MONTH(B248)/3,0)&amp;"-"&amp;YEAR(B248)</f>
        <v>Q2-2025</v>
      </c>
      <c r="G248" s="32">
        <v>45779</v>
      </c>
      <c r="H248" s="32">
        <f>IF(G248&lt;B248, B248+3, G248)</f>
        <v>45779</v>
      </c>
      <c r="I248" s="33">
        <f>H248-B248</f>
        <v>10</v>
      </c>
      <c r="J248" s="33">
        <f t="shared" si="18"/>
        <v>0</v>
      </c>
      <c r="K248" s="33">
        <f t="shared" si="19"/>
        <v>0</v>
      </c>
      <c r="L248" s="34" t="s">
        <v>649</v>
      </c>
      <c r="M248" s="34" t="s">
        <v>656</v>
      </c>
      <c r="N248" s="34" t="s">
        <v>671</v>
      </c>
      <c r="O248" s="34" t="s">
        <v>701</v>
      </c>
      <c r="P248" s="34" t="s">
        <v>709</v>
      </c>
      <c r="Q248" s="34" t="s">
        <v>712</v>
      </c>
      <c r="R248" s="34" t="s">
        <v>732</v>
      </c>
      <c r="S248" s="34" t="s">
        <v>981</v>
      </c>
      <c r="T248" s="35">
        <v>20.149999999999999</v>
      </c>
      <c r="U248" s="35">
        <v>39.74</v>
      </c>
      <c r="V248" s="35">
        <f t="shared" si="20"/>
        <v>0.151</v>
      </c>
      <c r="W248" s="35">
        <v>0.151</v>
      </c>
      <c r="X248" s="33">
        <f>IF(Table2[[#This Row],[DiscountPct]]&gt;0.2,1,0)</f>
        <v>0</v>
      </c>
      <c r="Y248" s="33">
        <v>18</v>
      </c>
      <c r="Z248" s="30">
        <f>Table2[[#This Row],[UnitPrice]]*Y248*(1-V248)</f>
        <v>607.30668000000003</v>
      </c>
      <c r="AA248" s="31">
        <f>T248*Y248</f>
        <v>362.7</v>
      </c>
      <c r="AB248" s="31">
        <f t="shared" si="21"/>
        <v>244.60668000000004</v>
      </c>
      <c r="AC248" s="31">
        <f t="shared" si="22"/>
        <v>0.4027729120318585</v>
      </c>
      <c r="AD248" s="31" t="e">
        <f>_xlfn.PERCENTILE.INC(S:S, 0.33)</f>
        <v>#NUM!</v>
      </c>
      <c r="AE248" s="31" t="e">
        <f>_xlfn.PERCENTILE.INC(S:S, 0.66)</f>
        <v>#NUM!</v>
      </c>
      <c r="AF248" s="30" t="e">
        <f t="shared" si="23"/>
        <v>#NUM!</v>
      </c>
    </row>
    <row r="249" spans="1:32" x14ac:dyDescent="0.3">
      <c r="A249" s="2" t="s">
        <v>262</v>
      </c>
      <c r="B249" s="4">
        <v>45604</v>
      </c>
      <c r="C249" s="46">
        <f>EOMONTH(Table2[[#This Row],[OrderDate]],-1)+1</f>
        <v>45597</v>
      </c>
      <c r="D249" s="45">
        <f>EOMONTH(_xlfn.MINIFS(B249:B879,M249:M879,Table2[[#This Row],[Country]]), -1) + 1</f>
        <v>44958</v>
      </c>
      <c r="E249" s="46"/>
      <c r="F249" s="4" t="str">
        <f>"Q"&amp;ROUNDUP(MONTH(B249)/3,0)&amp;"-"&amp;YEAR(B249)</f>
        <v>Q4-2024</v>
      </c>
      <c r="G249" s="4">
        <v>45604</v>
      </c>
      <c r="H249" s="4">
        <f>IF(G249&lt;B249, B249+3, G249)</f>
        <v>45604</v>
      </c>
      <c r="I249" s="10">
        <f>H249-B249</f>
        <v>0</v>
      </c>
      <c r="J249" s="10">
        <f t="shared" si="18"/>
        <v>1</v>
      </c>
      <c r="K249" s="10">
        <f t="shared" si="19"/>
        <v>1</v>
      </c>
      <c r="L249" s="6" t="s">
        <v>646</v>
      </c>
      <c r="M249" s="6" t="s">
        <v>650</v>
      </c>
      <c r="N249" s="6" t="s">
        <v>678</v>
      </c>
      <c r="O249" s="6" t="s">
        <v>706</v>
      </c>
      <c r="P249" s="6" t="s">
        <v>709</v>
      </c>
      <c r="Q249" s="6" t="s">
        <v>724</v>
      </c>
      <c r="R249" s="6" t="s">
        <v>729</v>
      </c>
      <c r="S249" s="6" t="s">
        <v>982</v>
      </c>
      <c r="T249" s="8">
        <v>803.28</v>
      </c>
      <c r="U249" s="8">
        <v>1009</v>
      </c>
      <c r="V249" s="8">
        <f t="shared" si="20"/>
        <v>0.11</v>
      </c>
      <c r="W249" s="8">
        <v>0.11</v>
      </c>
      <c r="X249" s="10">
        <f>IF(Table2[[#This Row],[DiscountPct]]&gt;0.2,1,0)</f>
        <v>0</v>
      </c>
      <c r="Y249" s="10">
        <v>4</v>
      </c>
      <c r="Z249" s="30">
        <f>Table2[[#This Row],[UnitPrice]]*Y249*(1-V249)</f>
        <v>3592.04</v>
      </c>
      <c r="AA249" s="2">
        <f>T249*Y249</f>
        <v>3213.12</v>
      </c>
      <c r="AB249" s="2">
        <f t="shared" si="21"/>
        <v>378.92000000000007</v>
      </c>
      <c r="AC249" s="2">
        <f t="shared" si="22"/>
        <v>0.10548880302001093</v>
      </c>
      <c r="AD249" s="2" t="e">
        <f>_xlfn.PERCENTILE.INC(S:S, 0.33)</f>
        <v>#NUM!</v>
      </c>
      <c r="AE249" s="2" t="e">
        <f>_xlfn.PERCENTILE.INC(S:S, 0.66)</f>
        <v>#NUM!</v>
      </c>
      <c r="AF249" s="30" t="e">
        <f t="shared" si="23"/>
        <v>#NUM!</v>
      </c>
    </row>
    <row r="250" spans="1:32" x14ac:dyDescent="0.3">
      <c r="A250" s="31" t="s">
        <v>263</v>
      </c>
      <c r="B250" s="32">
        <v>45912</v>
      </c>
      <c r="C250" s="47">
        <f>EOMONTH(Table2[[#This Row],[OrderDate]],-1)+1</f>
        <v>45901</v>
      </c>
      <c r="D250" s="45">
        <f>EOMONTH(_xlfn.MINIFS(B250:B880,M250:M880,Table2[[#This Row],[Country]]), -1) + 1</f>
        <v>44986</v>
      </c>
      <c r="E250" s="47"/>
      <c r="F250" s="32" t="str">
        <f>"Q"&amp;ROUNDUP(MONTH(B250)/3,0)&amp;"-"&amp;YEAR(B250)</f>
        <v>Q3-2025</v>
      </c>
      <c r="G250" s="32">
        <v>45930</v>
      </c>
      <c r="H250" s="32">
        <f>IF(G250&lt;B250, B250+3, G250)</f>
        <v>45930</v>
      </c>
      <c r="I250" s="33">
        <f>H250-B250</f>
        <v>18</v>
      </c>
      <c r="J250" s="33">
        <f t="shared" si="18"/>
        <v>0</v>
      </c>
      <c r="K250" s="33">
        <f t="shared" si="19"/>
        <v>0</v>
      </c>
      <c r="L250" s="34" t="s">
        <v>647</v>
      </c>
      <c r="M250" s="34" t="s">
        <v>652</v>
      </c>
      <c r="N250" s="34" t="s">
        <v>694</v>
      </c>
      <c r="O250" s="34" t="s">
        <v>703</v>
      </c>
      <c r="P250" s="34" t="s">
        <v>709</v>
      </c>
      <c r="Q250" s="34" t="s">
        <v>721</v>
      </c>
      <c r="R250" s="34" t="s">
        <v>732</v>
      </c>
      <c r="S250" s="34" t="s">
        <v>983</v>
      </c>
      <c r="T250" s="35">
        <v>1212.99</v>
      </c>
      <c r="U250" s="35">
        <v>1653.64</v>
      </c>
      <c r="V250" s="35">
        <f t="shared" si="20"/>
        <v>0.107</v>
      </c>
      <c r="W250" s="35">
        <v>0.107</v>
      </c>
      <c r="X250" s="33">
        <f>IF(Table2[[#This Row],[DiscountPct]]&gt;0.2,1,0)</f>
        <v>0</v>
      </c>
      <c r="Y250" s="33">
        <v>8</v>
      </c>
      <c r="Z250" s="30">
        <f>Table2[[#This Row],[UnitPrice]]*Y250*(1-V250)</f>
        <v>11813.604160000001</v>
      </c>
      <c r="AA250" s="31">
        <f>T250*Y250</f>
        <v>9703.92</v>
      </c>
      <c r="AB250" s="31">
        <f t="shared" si="21"/>
        <v>2109.6841600000007</v>
      </c>
      <c r="AC250" s="31">
        <f t="shared" si="22"/>
        <v>0.17858090819931455</v>
      </c>
      <c r="AD250" s="31" t="e">
        <f>_xlfn.PERCENTILE.INC(S:S, 0.33)</f>
        <v>#NUM!</v>
      </c>
      <c r="AE250" s="31" t="e">
        <f>_xlfn.PERCENTILE.INC(S:S, 0.66)</f>
        <v>#NUM!</v>
      </c>
      <c r="AF250" s="30" t="e">
        <f t="shared" si="23"/>
        <v>#NUM!</v>
      </c>
    </row>
    <row r="251" spans="1:32" x14ac:dyDescent="0.3">
      <c r="A251" s="2" t="s">
        <v>264</v>
      </c>
      <c r="B251" s="4">
        <v>45537</v>
      </c>
      <c r="C251" s="46">
        <f>EOMONTH(Table2[[#This Row],[OrderDate]],-1)+1</f>
        <v>45536</v>
      </c>
      <c r="D251" s="45">
        <f>EOMONTH(_xlfn.MINIFS(B251:B881,M251:M881,Table2[[#This Row],[Country]]), -1) + 1</f>
        <v>44958</v>
      </c>
      <c r="E251" s="46"/>
      <c r="F251" s="4" t="str">
        <f>"Q"&amp;ROUNDUP(MONTH(B251)/3,0)&amp;"-"&amp;YEAR(B251)</f>
        <v>Q3-2024</v>
      </c>
      <c r="G251" s="4">
        <v>45543</v>
      </c>
      <c r="H251" s="4">
        <f>IF(G251&lt;B251, B251+3, G251)</f>
        <v>45543</v>
      </c>
      <c r="I251" s="10">
        <f>H251-B251</f>
        <v>6</v>
      </c>
      <c r="J251" s="10">
        <f t="shared" si="18"/>
        <v>1</v>
      </c>
      <c r="K251" s="10">
        <f t="shared" si="19"/>
        <v>1</v>
      </c>
      <c r="L251" s="6" t="s">
        <v>648</v>
      </c>
      <c r="M251" s="6" t="s">
        <v>660</v>
      </c>
      <c r="N251" s="6" t="s">
        <v>697</v>
      </c>
      <c r="O251" s="6" t="s">
        <v>704</v>
      </c>
      <c r="P251" s="6" t="s">
        <v>711</v>
      </c>
      <c r="Q251" s="6" t="s">
        <v>722</v>
      </c>
      <c r="R251" s="6" t="s">
        <v>727</v>
      </c>
      <c r="S251" s="6" t="s">
        <v>984</v>
      </c>
      <c r="T251" s="8">
        <v>462.94</v>
      </c>
      <c r="U251" s="8">
        <v>1015.7</v>
      </c>
      <c r="V251" s="8">
        <f t="shared" si="20"/>
        <v>0.14299999999999999</v>
      </c>
      <c r="W251" s="8">
        <v>0.14299999999999999</v>
      </c>
      <c r="X251" s="10">
        <f>IF(Table2[[#This Row],[DiscountPct]]&gt;0.2,1,0)</f>
        <v>0</v>
      </c>
      <c r="Y251" s="10">
        <v>14</v>
      </c>
      <c r="Z251" s="30">
        <f>Table2[[#This Row],[UnitPrice]]*Y251*(1-V251)</f>
        <v>12186.368600000002</v>
      </c>
      <c r="AA251" s="2">
        <f>T251*Y251</f>
        <v>6481.16</v>
      </c>
      <c r="AB251" s="2">
        <f t="shared" si="21"/>
        <v>5705.2086000000018</v>
      </c>
      <c r="AC251" s="2">
        <f t="shared" si="22"/>
        <v>0.46816314090483041</v>
      </c>
      <c r="AD251" s="2" t="e">
        <f>_xlfn.PERCENTILE.INC(S:S, 0.33)</f>
        <v>#NUM!</v>
      </c>
      <c r="AE251" s="2" t="e">
        <f>_xlfn.PERCENTILE.INC(S:S, 0.66)</f>
        <v>#NUM!</v>
      </c>
      <c r="AF251" s="30" t="e">
        <f t="shared" si="23"/>
        <v>#NUM!</v>
      </c>
    </row>
    <row r="252" spans="1:32" x14ac:dyDescent="0.3">
      <c r="A252" s="31" t="s">
        <v>265</v>
      </c>
      <c r="B252" s="32">
        <v>44989</v>
      </c>
      <c r="C252" s="47">
        <f>EOMONTH(Table2[[#This Row],[OrderDate]],-1)+1</f>
        <v>44986</v>
      </c>
      <c r="D252" s="45">
        <f>EOMONTH(_xlfn.MINIFS(B252:B882,M252:M882,Table2[[#This Row],[Country]]), -1) + 1</f>
        <v>44986</v>
      </c>
      <c r="E252" s="47"/>
      <c r="F252" s="32" t="str">
        <f>"Q"&amp;ROUNDUP(MONTH(B252)/3,0)&amp;"-"&amp;YEAR(B252)</f>
        <v>Q1-2023</v>
      </c>
      <c r="G252" s="32">
        <v>45009</v>
      </c>
      <c r="H252" s="32">
        <f>IF(G252&lt;B252, B252+3, G252)</f>
        <v>45009</v>
      </c>
      <c r="I252" s="33">
        <f>H252-B252</f>
        <v>20</v>
      </c>
      <c r="J252" s="33">
        <f t="shared" si="18"/>
        <v>0</v>
      </c>
      <c r="K252" s="33">
        <f t="shared" si="19"/>
        <v>0</v>
      </c>
      <c r="L252" s="34" t="s">
        <v>648</v>
      </c>
      <c r="M252" s="34" t="s">
        <v>653</v>
      </c>
      <c r="N252" s="34" t="s">
        <v>681</v>
      </c>
      <c r="O252" s="34" t="s">
        <v>704</v>
      </c>
      <c r="P252" s="34" t="s">
        <v>710</v>
      </c>
      <c r="Q252" s="34" t="s">
        <v>714</v>
      </c>
      <c r="R252" s="34" t="s">
        <v>731</v>
      </c>
      <c r="S252" s="34" t="s">
        <v>985</v>
      </c>
      <c r="T252" s="35">
        <v>481.71</v>
      </c>
      <c r="U252" s="35">
        <v>912.45</v>
      </c>
      <c r="V252" s="35">
        <f t="shared" si="20"/>
        <v>0.20300000000000001</v>
      </c>
      <c r="W252" s="35">
        <v>0.20300000000000001</v>
      </c>
      <c r="X252" s="33">
        <f>IF(Table2[[#This Row],[DiscountPct]]&gt;0.2,1,0)</f>
        <v>1</v>
      </c>
      <c r="Y252" s="33">
        <v>24</v>
      </c>
      <c r="Z252" s="30">
        <f>Table2[[#This Row],[UnitPrice]]*Y252*(1-V252)</f>
        <v>17453.3436</v>
      </c>
      <c r="AA252" s="31">
        <f>T252*Y252</f>
        <v>11561.039999999999</v>
      </c>
      <c r="AB252" s="31">
        <f t="shared" si="21"/>
        <v>5892.3036000000011</v>
      </c>
      <c r="AC252" s="31">
        <f t="shared" si="22"/>
        <v>0.33760313983619739</v>
      </c>
      <c r="AD252" s="31" t="e">
        <f>_xlfn.PERCENTILE.INC(S:S, 0.33)</f>
        <v>#NUM!</v>
      </c>
      <c r="AE252" s="31" t="e">
        <f>_xlfn.PERCENTILE.INC(S:S, 0.66)</f>
        <v>#NUM!</v>
      </c>
      <c r="AF252" s="30" t="e">
        <f t="shared" si="23"/>
        <v>#NUM!</v>
      </c>
    </row>
    <row r="253" spans="1:32" x14ac:dyDescent="0.3">
      <c r="A253" s="2" t="s">
        <v>266</v>
      </c>
      <c r="B253" s="4">
        <v>45366</v>
      </c>
      <c r="C253" s="46">
        <f>EOMONTH(Table2[[#This Row],[OrderDate]],-1)+1</f>
        <v>45352</v>
      </c>
      <c r="D253" s="45">
        <f>EOMONTH(_xlfn.MINIFS(B253:B883,M253:M883,Table2[[#This Row],[Country]]), -1) + 1</f>
        <v>45017</v>
      </c>
      <c r="E253" s="46"/>
      <c r="F253" s="4" t="str">
        <f>"Q"&amp;ROUNDUP(MONTH(B253)/3,0)&amp;"-"&amp;YEAR(B253)</f>
        <v>Q1-2024</v>
      </c>
      <c r="G253" s="4">
        <v>45391</v>
      </c>
      <c r="H253" s="4">
        <f>IF(G253&lt;B253, B253+3, G253)</f>
        <v>45391</v>
      </c>
      <c r="I253" s="10">
        <f>H253-B253</f>
        <v>25</v>
      </c>
      <c r="J253" s="10">
        <f t="shared" si="18"/>
        <v>0</v>
      </c>
      <c r="K253" s="10">
        <f t="shared" si="19"/>
        <v>0</v>
      </c>
      <c r="L253" s="6" t="s">
        <v>648</v>
      </c>
      <c r="M253" s="6" t="s">
        <v>653</v>
      </c>
      <c r="N253" s="6" t="s">
        <v>688</v>
      </c>
      <c r="O253" s="6" t="s">
        <v>704</v>
      </c>
      <c r="P253" s="6" t="s">
        <v>708</v>
      </c>
      <c r="Q253" s="6" t="s">
        <v>721</v>
      </c>
      <c r="R253" s="6" t="s">
        <v>732</v>
      </c>
      <c r="S253" s="6" t="s">
        <v>986</v>
      </c>
      <c r="T253" s="8">
        <v>648.64</v>
      </c>
      <c r="U253" s="8">
        <v>815.19</v>
      </c>
      <c r="V253" s="8">
        <f t="shared" si="20"/>
        <v>0.22500000000000001</v>
      </c>
      <c r="W253" s="8">
        <v>0.22500000000000001</v>
      </c>
      <c r="X253" s="10">
        <f>IF(Table2[[#This Row],[DiscountPct]]&gt;0.2,1,0)</f>
        <v>1</v>
      </c>
      <c r="Y253" s="10">
        <v>28</v>
      </c>
      <c r="Z253" s="30">
        <f>Table2[[#This Row],[UnitPrice]]*Y253*(1-V253)</f>
        <v>17689.623</v>
      </c>
      <c r="AA253" s="2">
        <f>T253*Y253</f>
        <v>18161.919999999998</v>
      </c>
      <c r="AB253" s="2">
        <f t="shared" si="21"/>
        <v>-472.29699999999866</v>
      </c>
      <c r="AC253" s="2">
        <f t="shared" si="22"/>
        <v>-2.6699099240272032E-2</v>
      </c>
      <c r="AD253" s="2" t="e">
        <f>_xlfn.PERCENTILE.INC(S:S, 0.33)</f>
        <v>#NUM!</v>
      </c>
      <c r="AE253" s="2" t="e">
        <f>_xlfn.PERCENTILE.INC(S:S, 0.66)</f>
        <v>#NUM!</v>
      </c>
      <c r="AF253" s="30" t="e">
        <f t="shared" si="23"/>
        <v>#NUM!</v>
      </c>
    </row>
    <row r="254" spans="1:32" x14ac:dyDescent="0.3">
      <c r="A254" s="31" t="s">
        <v>267</v>
      </c>
      <c r="B254" s="32">
        <v>45502</v>
      </c>
      <c r="C254" s="47">
        <f>EOMONTH(Table2[[#This Row],[OrderDate]],-1)+1</f>
        <v>45474</v>
      </c>
      <c r="D254" s="45">
        <f>EOMONTH(_xlfn.MINIFS(B254:B884,M254:M884,Table2[[#This Row],[Country]]), -1) + 1</f>
        <v>44958</v>
      </c>
      <c r="E254" s="47"/>
      <c r="F254" s="32" t="str">
        <f>"Q"&amp;ROUNDUP(MONTH(B254)/3,0)&amp;"-"&amp;YEAR(B254)</f>
        <v>Q3-2024</v>
      </c>
      <c r="G254" s="32">
        <v>45504</v>
      </c>
      <c r="H254" s="32">
        <f>IF(G254&lt;B254, B254+3, G254)</f>
        <v>45504</v>
      </c>
      <c r="I254" s="33">
        <f>H254-B254</f>
        <v>2</v>
      </c>
      <c r="J254" s="33">
        <f t="shared" si="18"/>
        <v>1</v>
      </c>
      <c r="K254" s="33">
        <f t="shared" si="19"/>
        <v>1</v>
      </c>
      <c r="L254" s="34" t="s">
        <v>648</v>
      </c>
      <c r="M254" s="34" t="s">
        <v>660</v>
      </c>
      <c r="N254" s="34" t="s">
        <v>700</v>
      </c>
      <c r="O254" s="34" t="s">
        <v>702</v>
      </c>
      <c r="P254" s="34" t="s">
        <v>709</v>
      </c>
      <c r="Q254" s="34" t="s">
        <v>714</v>
      </c>
      <c r="R254" s="34" t="s">
        <v>728</v>
      </c>
      <c r="S254" s="34" t="s">
        <v>987</v>
      </c>
      <c r="T254" s="35">
        <v>798.97</v>
      </c>
      <c r="U254" s="35">
        <v>1814.06</v>
      </c>
      <c r="V254" s="35">
        <f t="shared" si="20"/>
        <v>0.122</v>
      </c>
      <c r="W254" s="35">
        <v>0.122</v>
      </c>
      <c r="X254" s="33">
        <f>IF(Table2[[#This Row],[DiscountPct]]&gt;0.2,1,0)</f>
        <v>0</v>
      </c>
      <c r="Y254" s="33">
        <v>16</v>
      </c>
      <c r="Z254" s="30">
        <f>Table2[[#This Row],[UnitPrice]]*Y254*(1-V254)</f>
        <v>25483.91488</v>
      </c>
      <c r="AA254" s="31">
        <f>T254*Y254</f>
        <v>12783.52</v>
      </c>
      <c r="AB254" s="31">
        <f t="shared" si="21"/>
        <v>12700.39488</v>
      </c>
      <c r="AC254" s="31">
        <f t="shared" si="22"/>
        <v>0.49836906691159061</v>
      </c>
      <c r="AD254" s="31" t="e">
        <f>_xlfn.PERCENTILE.INC(S:S, 0.33)</f>
        <v>#NUM!</v>
      </c>
      <c r="AE254" s="31" t="e">
        <f>_xlfn.PERCENTILE.INC(S:S, 0.66)</f>
        <v>#NUM!</v>
      </c>
      <c r="AF254" s="30" t="e">
        <f t="shared" si="23"/>
        <v>#NUM!</v>
      </c>
    </row>
    <row r="255" spans="1:32" x14ac:dyDescent="0.3">
      <c r="A255" s="2" t="s">
        <v>268</v>
      </c>
      <c r="B255" s="4">
        <v>45592</v>
      </c>
      <c r="C255" s="46">
        <f>EOMONTH(Table2[[#This Row],[OrderDate]],-1)+1</f>
        <v>45566</v>
      </c>
      <c r="D255" s="45">
        <f>EOMONTH(_xlfn.MINIFS(B255:B885,M255:M885,Table2[[#This Row],[Country]]), -1) + 1</f>
        <v>44986</v>
      </c>
      <c r="E255" s="46"/>
      <c r="F255" s="4" t="str">
        <f>"Q"&amp;ROUNDUP(MONTH(B255)/3,0)&amp;"-"&amp;YEAR(B255)</f>
        <v>Q4-2024</v>
      </c>
      <c r="G255" s="4">
        <v>45616</v>
      </c>
      <c r="H255" s="4">
        <f>IF(G255&lt;B255, B255+3, G255)</f>
        <v>45616</v>
      </c>
      <c r="I255" s="10">
        <f>H255-B255</f>
        <v>24</v>
      </c>
      <c r="J255" s="10">
        <f t="shared" si="18"/>
        <v>0</v>
      </c>
      <c r="K255" s="10">
        <f t="shared" si="19"/>
        <v>0</v>
      </c>
      <c r="L255" s="6" t="s">
        <v>647</v>
      </c>
      <c r="M255" s="6" t="s">
        <v>652</v>
      </c>
      <c r="N255" s="6" t="s">
        <v>694</v>
      </c>
      <c r="O255" s="6" t="s">
        <v>703</v>
      </c>
      <c r="P255" s="6" t="s">
        <v>708</v>
      </c>
      <c r="Q255" s="6" t="s">
        <v>722</v>
      </c>
      <c r="R255" s="6" t="s">
        <v>732</v>
      </c>
      <c r="S255" s="6" t="s">
        <v>988</v>
      </c>
      <c r="T255" s="8">
        <v>317.25</v>
      </c>
      <c r="U255" s="8">
        <v>758.92</v>
      </c>
      <c r="V255" s="8">
        <f t="shared" si="20"/>
        <v>5.2999999999999999E-2</v>
      </c>
      <c r="W255" s="8">
        <v>5.2999999999999999E-2</v>
      </c>
      <c r="X255" s="10">
        <f>IF(Table2[[#This Row],[DiscountPct]]&gt;0.2,1,0)</f>
        <v>0</v>
      </c>
      <c r="Y255" s="10">
        <v>9</v>
      </c>
      <c r="Z255" s="30">
        <f>Table2[[#This Row],[UnitPrice]]*Y255*(1-V255)</f>
        <v>6468.2751599999992</v>
      </c>
      <c r="AA255" s="2">
        <f>T255*Y255</f>
        <v>2855.25</v>
      </c>
      <c r="AB255" s="2">
        <f t="shared" si="21"/>
        <v>3613.0251599999992</v>
      </c>
      <c r="AC255" s="2">
        <f t="shared" si="22"/>
        <v>0.5585762928489888</v>
      </c>
      <c r="AD255" s="2" t="e">
        <f>_xlfn.PERCENTILE.INC(S:S, 0.33)</f>
        <v>#NUM!</v>
      </c>
      <c r="AE255" s="2" t="e">
        <f>_xlfn.PERCENTILE.INC(S:S, 0.66)</f>
        <v>#NUM!</v>
      </c>
      <c r="AF255" s="30" t="e">
        <f t="shared" si="23"/>
        <v>#NUM!</v>
      </c>
    </row>
    <row r="256" spans="1:32" x14ac:dyDescent="0.3">
      <c r="A256" s="31" t="s">
        <v>269</v>
      </c>
      <c r="B256" s="32">
        <v>45411</v>
      </c>
      <c r="C256" s="47">
        <f>EOMONTH(Table2[[#This Row],[OrderDate]],-1)+1</f>
        <v>45383</v>
      </c>
      <c r="D256" s="45">
        <f>EOMONTH(_xlfn.MINIFS(B256:B886,M256:M886,Table2[[#This Row],[Country]]), -1) + 1</f>
        <v>44927</v>
      </c>
      <c r="E256" s="47"/>
      <c r="F256" s="32" t="str">
        <f>"Q"&amp;ROUNDUP(MONTH(B256)/3,0)&amp;"-"&amp;YEAR(B256)</f>
        <v>Q2-2024</v>
      </c>
      <c r="G256" s="32">
        <v>45431</v>
      </c>
      <c r="H256" s="32">
        <f>IF(G256&lt;B256, B256+3, G256)</f>
        <v>45431</v>
      </c>
      <c r="I256" s="33">
        <f>H256-B256</f>
        <v>20</v>
      </c>
      <c r="J256" s="33">
        <f t="shared" si="18"/>
        <v>0</v>
      </c>
      <c r="K256" s="33">
        <f t="shared" si="19"/>
        <v>0</v>
      </c>
      <c r="L256" s="34" t="s">
        <v>649</v>
      </c>
      <c r="M256" s="34" t="s">
        <v>656</v>
      </c>
      <c r="N256" s="34" t="s">
        <v>698</v>
      </c>
      <c r="O256" s="34" t="s">
        <v>706</v>
      </c>
      <c r="P256" s="34" t="s">
        <v>709</v>
      </c>
      <c r="Q256" s="34" t="s">
        <v>712</v>
      </c>
      <c r="R256" s="34" t="s">
        <v>731</v>
      </c>
      <c r="S256" s="34" t="s">
        <v>989</v>
      </c>
      <c r="T256" s="35">
        <v>668.97</v>
      </c>
      <c r="U256" s="35">
        <v>1667.44</v>
      </c>
      <c r="V256" s="35">
        <f t="shared" si="20"/>
        <v>3.4000000000000002E-2</v>
      </c>
      <c r="W256" s="35">
        <v>3.4000000000000002E-2</v>
      </c>
      <c r="X256" s="33">
        <f>IF(Table2[[#This Row],[DiscountPct]]&gt;0.2,1,0)</f>
        <v>0</v>
      </c>
      <c r="Y256" s="33">
        <v>15</v>
      </c>
      <c r="Z256" s="30">
        <f>Table2[[#This Row],[UnitPrice]]*Y256*(1-V256)</f>
        <v>24161.205600000001</v>
      </c>
      <c r="AA256" s="31">
        <f>T256*Y256</f>
        <v>10034.550000000001</v>
      </c>
      <c r="AB256" s="31">
        <f t="shared" si="21"/>
        <v>14126.6556</v>
      </c>
      <c r="AC256" s="31">
        <f t="shared" si="22"/>
        <v>0.58468339013679016</v>
      </c>
      <c r="AD256" s="31" t="e">
        <f>_xlfn.PERCENTILE.INC(S:S, 0.33)</f>
        <v>#NUM!</v>
      </c>
      <c r="AE256" s="31" t="e">
        <f>_xlfn.PERCENTILE.INC(S:S, 0.66)</f>
        <v>#NUM!</v>
      </c>
      <c r="AF256" s="30" t="e">
        <f t="shared" si="23"/>
        <v>#NUM!</v>
      </c>
    </row>
    <row r="257" spans="1:32" x14ac:dyDescent="0.3">
      <c r="A257" s="2" t="s">
        <v>270</v>
      </c>
      <c r="B257" s="4">
        <v>45204</v>
      </c>
      <c r="C257" s="46">
        <f>EOMONTH(Table2[[#This Row],[OrderDate]],-1)+1</f>
        <v>45200</v>
      </c>
      <c r="D257" s="45">
        <f>EOMONTH(_xlfn.MINIFS(B257:B887,M257:M887,Table2[[#This Row],[Country]]), -1) + 1</f>
        <v>45047</v>
      </c>
      <c r="E257" s="46"/>
      <c r="F257" s="4" t="str">
        <f>"Q"&amp;ROUNDUP(MONTH(B257)/3,0)&amp;"-"&amp;YEAR(B257)</f>
        <v>Q4-2023</v>
      </c>
      <c r="G257" s="4">
        <v>45205</v>
      </c>
      <c r="H257" s="4">
        <f>IF(G257&lt;B257, B257+3, G257)</f>
        <v>45205</v>
      </c>
      <c r="I257" s="10">
        <f>H257-B257</f>
        <v>1</v>
      </c>
      <c r="J257" s="10">
        <f t="shared" si="18"/>
        <v>1</v>
      </c>
      <c r="K257" s="10">
        <f t="shared" si="19"/>
        <v>1</v>
      </c>
      <c r="L257" s="6" t="s">
        <v>647</v>
      </c>
      <c r="M257" s="6" t="s">
        <v>654</v>
      </c>
      <c r="N257" s="6" t="s">
        <v>668</v>
      </c>
      <c r="O257" s="6" t="s">
        <v>703</v>
      </c>
      <c r="P257" s="6" t="s">
        <v>708</v>
      </c>
      <c r="Q257" s="6" t="s">
        <v>714</v>
      </c>
      <c r="R257" s="6" t="s">
        <v>727</v>
      </c>
      <c r="S257" s="6" t="s">
        <v>990</v>
      </c>
      <c r="T257" s="8">
        <v>1470.26</v>
      </c>
      <c r="U257" s="8">
        <v>2562.5500000000002</v>
      </c>
      <c r="V257" s="8">
        <f t="shared" si="20"/>
        <v>0.17299999999999999</v>
      </c>
      <c r="W257" s="8">
        <v>0.17299999999999999</v>
      </c>
      <c r="X257" s="10">
        <f>IF(Table2[[#This Row],[DiscountPct]]&gt;0.2,1,0)</f>
        <v>0</v>
      </c>
      <c r="Y257" s="10">
        <v>9</v>
      </c>
      <c r="Z257" s="30">
        <f>Table2[[#This Row],[UnitPrice]]*Y257*(1-V257)</f>
        <v>19073.059649999999</v>
      </c>
      <c r="AA257" s="2">
        <f>T257*Y257</f>
        <v>13232.34</v>
      </c>
      <c r="AB257" s="2">
        <f t="shared" si="21"/>
        <v>5840.7196499999991</v>
      </c>
      <c r="AC257" s="2">
        <f t="shared" si="22"/>
        <v>0.30622877279157462</v>
      </c>
      <c r="AD257" s="2" t="e">
        <f>_xlfn.PERCENTILE.INC(S:S, 0.33)</f>
        <v>#NUM!</v>
      </c>
      <c r="AE257" s="2" t="e">
        <f>_xlfn.PERCENTILE.INC(S:S, 0.66)</f>
        <v>#NUM!</v>
      </c>
      <c r="AF257" s="30" t="e">
        <f t="shared" si="23"/>
        <v>#NUM!</v>
      </c>
    </row>
    <row r="258" spans="1:32" x14ac:dyDescent="0.3">
      <c r="A258" s="31" t="s">
        <v>271</v>
      </c>
      <c r="B258" s="32">
        <v>45035</v>
      </c>
      <c r="C258" s="47">
        <f>EOMONTH(Table2[[#This Row],[OrderDate]],-1)+1</f>
        <v>45017</v>
      </c>
      <c r="D258" s="45">
        <f>EOMONTH(_xlfn.MINIFS(B258:B888,M258:M888,Table2[[#This Row],[Country]]), -1) + 1</f>
        <v>44927</v>
      </c>
      <c r="E258" s="47"/>
      <c r="F258" s="32" t="str">
        <f>"Q"&amp;ROUNDUP(MONTH(B258)/3,0)&amp;"-"&amp;YEAR(B258)</f>
        <v>Q2-2023</v>
      </c>
      <c r="G258" s="32">
        <v>45053</v>
      </c>
      <c r="H258" s="32">
        <f>IF(G258&lt;B258, B258+3, G258)</f>
        <v>45053</v>
      </c>
      <c r="I258" s="33">
        <f>H258-B258</f>
        <v>18</v>
      </c>
      <c r="J258" s="33">
        <f t="shared" ref="J258:J321" si="24">IF(I258 &lt;= 7, 1, 0)</f>
        <v>0</v>
      </c>
      <c r="K258" s="33">
        <f t="shared" ref="K258:K321" si="25">IF(I258&lt;=7,1,0)</f>
        <v>0</v>
      </c>
      <c r="L258" s="34" t="s">
        <v>649</v>
      </c>
      <c r="M258" s="34" t="s">
        <v>658</v>
      </c>
      <c r="N258" s="34" t="s">
        <v>683</v>
      </c>
      <c r="O258" s="34" t="s">
        <v>703</v>
      </c>
      <c r="P258" s="34" t="s">
        <v>711</v>
      </c>
      <c r="Q258" s="34" t="s">
        <v>722</v>
      </c>
      <c r="R258" s="34" t="s">
        <v>729</v>
      </c>
      <c r="S258" s="34" t="s">
        <v>991</v>
      </c>
      <c r="T258" s="35">
        <v>516.96</v>
      </c>
      <c r="U258" s="35">
        <v>745.38</v>
      </c>
      <c r="V258" s="35">
        <f t="shared" si="20"/>
        <v>0.19700000000000001</v>
      </c>
      <c r="W258" s="35">
        <v>0.19700000000000001</v>
      </c>
      <c r="X258" s="33">
        <f>IF(Table2[[#This Row],[DiscountPct]]&gt;0.2,1,0)</f>
        <v>0</v>
      </c>
      <c r="Y258" s="33">
        <v>4</v>
      </c>
      <c r="Z258" s="30">
        <f>Table2[[#This Row],[UnitPrice]]*Y258*(1-V258)</f>
        <v>2394.1605599999998</v>
      </c>
      <c r="AA258" s="31">
        <f>T258*Y258</f>
        <v>2067.84</v>
      </c>
      <c r="AB258" s="31">
        <f t="shared" si="21"/>
        <v>326.32055999999966</v>
      </c>
      <c r="AC258" s="31">
        <f t="shared" si="22"/>
        <v>0.13629852794835101</v>
      </c>
      <c r="AD258" s="31" t="e">
        <f>_xlfn.PERCENTILE.INC(S:S, 0.33)</f>
        <v>#NUM!</v>
      </c>
      <c r="AE258" s="31" t="e">
        <f>_xlfn.PERCENTILE.INC(S:S, 0.66)</f>
        <v>#NUM!</v>
      </c>
      <c r="AF258" s="30" t="e">
        <f t="shared" si="23"/>
        <v>#NUM!</v>
      </c>
    </row>
    <row r="259" spans="1:32" x14ac:dyDescent="0.3">
      <c r="A259" s="2" t="s">
        <v>272</v>
      </c>
      <c r="B259" s="4">
        <v>45835</v>
      </c>
      <c r="C259" s="46">
        <f>EOMONTH(Table2[[#This Row],[OrderDate]],-1)+1</f>
        <v>45809</v>
      </c>
      <c r="D259" s="45">
        <f>EOMONTH(_xlfn.MINIFS(B259:B889,M259:M889,Table2[[#This Row],[Country]]), -1) + 1</f>
        <v>44927</v>
      </c>
      <c r="E259" s="46"/>
      <c r="F259" s="4" t="str">
        <f>"Q"&amp;ROUNDUP(MONTH(B259)/3,0)&amp;"-"&amp;YEAR(B259)</f>
        <v>Q2-2025</v>
      </c>
      <c r="G259" s="4">
        <v>45843</v>
      </c>
      <c r="H259" s="4">
        <f>IF(G259&lt;B259, B259+3, G259)</f>
        <v>45843</v>
      </c>
      <c r="I259" s="10">
        <f>H259-B259</f>
        <v>8</v>
      </c>
      <c r="J259" s="10">
        <f t="shared" si="24"/>
        <v>0</v>
      </c>
      <c r="K259" s="10">
        <f t="shared" si="25"/>
        <v>0</v>
      </c>
      <c r="L259" s="6" t="s">
        <v>649</v>
      </c>
      <c r="M259" s="6" t="s">
        <v>656</v>
      </c>
      <c r="N259" s="6" t="s">
        <v>684</v>
      </c>
      <c r="O259" s="6" t="s">
        <v>705</v>
      </c>
      <c r="P259" s="6" t="s">
        <v>711</v>
      </c>
      <c r="Q259" s="6" t="s">
        <v>715</v>
      </c>
      <c r="R259" s="6" t="s">
        <v>732</v>
      </c>
      <c r="S259" s="6" t="s">
        <v>992</v>
      </c>
      <c r="T259" s="8">
        <v>314.93</v>
      </c>
      <c r="U259" s="8">
        <v>687.95</v>
      </c>
      <c r="V259" s="8">
        <f t="shared" ref="V259:V322" si="26">IF(W259&gt;0.3,0.3,W259)</f>
        <v>0.20499999999999999</v>
      </c>
      <c r="W259" s="8">
        <v>0.20499999999999999</v>
      </c>
      <c r="X259" s="10">
        <f>IF(Table2[[#This Row],[DiscountPct]]&gt;0.2,1,0)</f>
        <v>1</v>
      </c>
      <c r="Y259" s="10">
        <v>8</v>
      </c>
      <c r="Z259" s="30">
        <f>Table2[[#This Row],[UnitPrice]]*Y259*(1-V259)</f>
        <v>4375.3620000000001</v>
      </c>
      <c r="AA259" s="2">
        <f>T259*Y259</f>
        <v>2519.44</v>
      </c>
      <c r="AB259" s="2">
        <f t="shared" ref="AB259:AB322" si="27">Z259-AA259</f>
        <v>1855.922</v>
      </c>
      <c r="AC259" s="2">
        <f t="shared" ref="AC259:AC322" si="28">IF(Z259=0,0,AB259/Z259)</f>
        <v>0.424175645352316</v>
      </c>
      <c r="AD259" s="2" t="e">
        <f>_xlfn.PERCENTILE.INC(S:S, 0.33)</f>
        <v>#NUM!</v>
      </c>
      <c r="AE259" s="2" t="e">
        <f>_xlfn.PERCENTILE.INC(S:S, 0.66)</f>
        <v>#NUM!</v>
      </c>
      <c r="AF259" s="30" t="e">
        <f t="shared" ref="AF259:AF322" si="29">IF(Z259="","",
   IF(Z259&lt;=AD259,"Low",
      IF(Z259&lt;=AE259,"Medium","High")
   )
)</f>
        <v>#NUM!</v>
      </c>
    </row>
    <row r="260" spans="1:32" x14ac:dyDescent="0.3">
      <c r="A260" s="31" t="s">
        <v>273</v>
      </c>
      <c r="B260" s="32">
        <v>45210</v>
      </c>
      <c r="C260" s="47">
        <f>EOMONTH(Table2[[#This Row],[OrderDate]],-1)+1</f>
        <v>45200</v>
      </c>
      <c r="D260" s="45">
        <f>EOMONTH(_xlfn.MINIFS(B260:B890,M260:M890,Table2[[#This Row],[Country]]), -1) + 1</f>
        <v>44927</v>
      </c>
      <c r="E260" s="47"/>
      <c r="F260" s="32" t="str">
        <f>"Q"&amp;ROUNDUP(MONTH(B260)/3,0)&amp;"-"&amp;YEAR(B260)</f>
        <v>Q4-2023</v>
      </c>
      <c r="G260" s="32">
        <v>45212</v>
      </c>
      <c r="H260" s="32">
        <f>IF(G260&lt;B260, B260+3, G260)</f>
        <v>45212</v>
      </c>
      <c r="I260" s="33">
        <f>H260-B260</f>
        <v>2</v>
      </c>
      <c r="J260" s="33">
        <f t="shared" si="24"/>
        <v>1</v>
      </c>
      <c r="K260" s="33">
        <f t="shared" si="25"/>
        <v>1</v>
      </c>
      <c r="L260" s="34" t="s">
        <v>648</v>
      </c>
      <c r="M260" s="34" t="s">
        <v>655</v>
      </c>
      <c r="N260" s="34" t="s">
        <v>672</v>
      </c>
      <c r="O260" s="34" t="s">
        <v>704</v>
      </c>
      <c r="P260" s="34" t="s">
        <v>710</v>
      </c>
      <c r="Q260" s="34" t="s">
        <v>1438</v>
      </c>
      <c r="R260" s="34" t="s">
        <v>733</v>
      </c>
      <c r="S260" s="34" t="s">
        <v>993</v>
      </c>
      <c r="T260" s="35">
        <v>715.94</v>
      </c>
      <c r="U260" s="35">
        <v>550.07000000000005</v>
      </c>
      <c r="V260" s="35">
        <f t="shared" si="26"/>
        <v>0.14000000000000001</v>
      </c>
      <c r="W260" s="35">
        <v>0.14000000000000001</v>
      </c>
      <c r="X260" s="33">
        <f>IF(Table2[[#This Row],[DiscountPct]]&gt;0.2,1,0)</f>
        <v>0</v>
      </c>
      <c r="Y260" s="33">
        <v>16</v>
      </c>
      <c r="Z260" s="30">
        <f>Table2[[#This Row],[UnitPrice]]*Y260*(1-V260)</f>
        <v>7568.9632000000001</v>
      </c>
      <c r="AA260" s="31">
        <f>T260*Y260</f>
        <v>11455.04</v>
      </c>
      <c r="AB260" s="31">
        <f t="shared" si="27"/>
        <v>-3886.0768000000007</v>
      </c>
      <c r="AC260" s="31">
        <f t="shared" si="28"/>
        <v>-0.51342260456491595</v>
      </c>
      <c r="AD260" s="31" t="e">
        <f>_xlfn.PERCENTILE.INC(S:S, 0.33)</f>
        <v>#NUM!</v>
      </c>
      <c r="AE260" s="31" t="e">
        <f>_xlfn.PERCENTILE.INC(S:S, 0.66)</f>
        <v>#NUM!</v>
      </c>
      <c r="AF260" s="30" t="e">
        <f t="shared" si="29"/>
        <v>#NUM!</v>
      </c>
    </row>
    <row r="261" spans="1:32" x14ac:dyDescent="0.3">
      <c r="A261" s="2" t="s">
        <v>274</v>
      </c>
      <c r="B261" s="4">
        <v>45066</v>
      </c>
      <c r="C261" s="46">
        <f>EOMONTH(Table2[[#This Row],[OrderDate]],-1)+1</f>
        <v>45047</v>
      </c>
      <c r="D261" s="45">
        <f>EOMONTH(_xlfn.MINIFS(B261:B891,M261:M891,Table2[[#This Row],[Country]]), -1) + 1</f>
        <v>44958</v>
      </c>
      <c r="E261" s="46"/>
      <c r="F261" s="4" t="str">
        <f>"Q"&amp;ROUNDUP(MONTH(B261)/3,0)&amp;"-"&amp;YEAR(B261)</f>
        <v>Q2-2023</v>
      </c>
      <c r="G261" s="4">
        <v>45084</v>
      </c>
      <c r="H261" s="4">
        <f>IF(G261&lt;B261, B261+3, G261)</f>
        <v>45084</v>
      </c>
      <c r="I261" s="10">
        <f>H261-B261</f>
        <v>18</v>
      </c>
      <c r="J261" s="10">
        <f t="shared" si="24"/>
        <v>0</v>
      </c>
      <c r="K261" s="10">
        <f t="shared" si="25"/>
        <v>0</v>
      </c>
      <c r="L261" s="6" t="s">
        <v>646</v>
      </c>
      <c r="M261" s="6" t="s">
        <v>651</v>
      </c>
      <c r="N261" s="6" t="s">
        <v>663</v>
      </c>
      <c r="O261" s="6" t="s">
        <v>706</v>
      </c>
      <c r="P261" s="6" t="s">
        <v>710</v>
      </c>
      <c r="Q261" s="6" t="s">
        <v>718</v>
      </c>
      <c r="R261" s="6" t="s">
        <v>727</v>
      </c>
      <c r="S261" s="6" t="s">
        <v>994</v>
      </c>
      <c r="T261" s="8">
        <v>1120.06</v>
      </c>
      <c r="U261" s="8">
        <v>2068.21</v>
      </c>
      <c r="V261" s="8">
        <f t="shared" si="26"/>
        <v>7.8E-2</v>
      </c>
      <c r="W261" s="8">
        <v>7.8E-2</v>
      </c>
      <c r="X261" s="10">
        <f>IF(Table2[[#This Row],[DiscountPct]]&gt;0.2,1,0)</f>
        <v>0</v>
      </c>
      <c r="Y261" s="10">
        <v>12</v>
      </c>
      <c r="Z261" s="30">
        <f>Table2[[#This Row],[UnitPrice]]*Y261*(1-V261)</f>
        <v>22882.675440000003</v>
      </c>
      <c r="AA261" s="2">
        <f>T261*Y261</f>
        <v>13440.72</v>
      </c>
      <c r="AB261" s="2">
        <f t="shared" si="27"/>
        <v>9441.9554400000034</v>
      </c>
      <c r="AC261" s="2">
        <f t="shared" si="28"/>
        <v>0.41262462795303284</v>
      </c>
      <c r="AD261" s="2" t="e">
        <f>_xlfn.PERCENTILE.INC(S:S, 0.33)</f>
        <v>#NUM!</v>
      </c>
      <c r="AE261" s="2" t="e">
        <f>_xlfn.PERCENTILE.INC(S:S, 0.66)</f>
        <v>#NUM!</v>
      </c>
      <c r="AF261" s="30" t="e">
        <f t="shared" si="29"/>
        <v>#NUM!</v>
      </c>
    </row>
    <row r="262" spans="1:32" x14ac:dyDescent="0.3">
      <c r="A262" s="31" t="s">
        <v>275</v>
      </c>
      <c r="B262" s="32">
        <v>45073</v>
      </c>
      <c r="C262" s="47">
        <f>EOMONTH(Table2[[#This Row],[OrderDate]],-1)+1</f>
        <v>45047</v>
      </c>
      <c r="D262" s="45">
        <f>EOMONTH(_xlfn.MINIFS(B262:B892,M262:M892,Table2[[#This Row],[Country]]), -1) + 1</f>
        <v>44927</v>
      </c>
      <c r="E262" s="47"/>
      <c r="F262" s="32" t="str">
        <f>"Q"&amp;ROUNDUP(MONTH(B262)/3,0)&amp;"-"&amp;YEAR(B262)</f>
        <v>Q2-2023</v>
      </c>
      <c r="G262" s="32">
        <v>45096</v>
      </c>
      <c r="H262" s="32">
        <f>IF(G262&lt;B262, B262+3, G262)</f>
        <v>45096</v>
      </c>
      <c r="I262" s="33">
        <f>H262-B262</f>
        <v>23</v>
      </c>
      <c r="J262" s="33">
        <f t="shared" si="24"/>
        <v>0</v>
      </c>
      <c r="K262" s="33">
        <f t="shared" si="25"/>
        <v>0</v>
      </c>
      <c r="L262" s="34" t="s">
        <v>649</v>
      </c>
      <c r="M262" s="34" t="s">
        <v>656</v>
      </c>
      <c r="N262" s="34" t="s">
        <v>671</v>
      </c>
      <c r="O262" s="34" t="s">
        <v>702</v>
      </c>
      <c r="P262" s="34" t="s">
        <v>707</v>
      </c>
      <c r="Q262" s="34" t="s">
        <v>719</v>
      </c>
      <c r="R262" s="34" t="s">
        <v>733</v>
      </c>
      <c r="S262" s="34" t="s">
        <v>995</v>
      </c>
      <c r="T262" s="35">
        <v>1471.58</v>
      </c>
      <c r="U262" s="35">
        <v>2576.65</v>
      </c>
      <c r="V262" s="35">
        <f t="shared" si="26"/>
        <v>4.0000000000000001E-3</v>
      </c>
      <c r="W262" s="35">
        <v>4.0000000000000001E-3</v>
      </c>
      <c r="X262" s="33">
        <f>IF(Table2[[#This Row],[DiscountPct]]&gt;0.2,1,0)</f>
        <v>0</v>
      </c>
      <c r="Y262" s="33">
        <v>7</v>
      </c>
      <c r="Z262" s="30">
        <f>Table2[[#This Row],[UnitPrice]]*Y262*(1-V262)</f>
        <v>17964.4038</v>
      </c>
      <c r="AA262" s="31">
        <f>T262*Y262</f>
        <v>10301.06</v>
      </c>
      <c r="AB262" s="31">
        <f t="shared" si="27"/>
        <v>7663.3438000000006</v>
      </c>
      <c r="AC262" s="31">
        <f t="shared" si="28"/>
        <v>0.4265849223451546</v>
      </c>
      <c r="AD262" s="31" t="e">
        <f>_xlfn.PERCENTILE.INC(S:S, 0.33)</f>
        <v>#NUM!</v>
      </c>
      <c r="AE262" s="31" t="e">
        <f>_xlfn.PERCENTILE.INC(S:S, 0.66)</f>
        <v>#NUM!</v>
      </c>
      <c r="AF262" s="30" t="e">
        <f t="shared" si="29"/>
        <v>#NUM!</v>
      </c>
    </row>
    <row r="263" spans="1:32" x14ac:dyDescent="0.3">
      <c r="A263" s="2" t="s">
        <v>276</v>
      </c>
      <c r="B263" s="4">
        <v>45142</v>
      </c>
      <c r="C263" s="46">
        <f>EOMONTH(Table2[[#This Row],[OrderDate]],-1)+1</f>
        <v>45139</v>
      </c>
      <c r="D263" s="45">
        <f>EOMONTH(_xlfn.MINIFS(B263:B893,M263:M893,Table2[[#This Row],[Country]]), -1) + 1</f>
        <v>44927</v>
      </c>
      <c r="E263" s="46"/>
      <c r="F263" s="4" t="str">
        <f>"Q"&amp;ROUNDUP(MONTH(B263)/3,0)&amp;"-"&amp;YEAR(B263)</f>
        <v>Q3-2023</v>
      </c>
      <c r="G263" s="4">
        <v>45162</v>
      </c>
      <c r="H263" s="4">
        <f>IF(G263&lt;B263, B263+3, G263)</f>
        <v>45162</v>
      </c>
      <c r="I263" s="10">
        <f>H263-B263</f>
        <v>20</v>
      </c>
      <c r="J263" s="10">
        <f t="shared" si="24"/>
        <v>0</v>
      </c>
      <c r="K263" s="10">
        <f t="shared" si="25"/>
        <v>0</v>
      </c>
      <c r="L263" s="6" t="s">
        <v>648</v>
      </c>
      <c r="M263" s="6" t="s">
        <v>655</v>
      </c>
      <c r="N263" s="6" t="s">
        <v>672</v>
      </c>
      <c r="O263" s="6" t="s">
        <v>703</v>
      </c>
      <c r="P263" s="6" t="s">
        <v>711</v>
      </c>
      <c r="Q263" s="6" t="s">
        <v>1438</v>
      </c>
      <c r="R263" s="6" t="s">
        <v>729</v>
      </c>
      <c r="S263" s="6" t="s">
        <v>996</v>
      </c>
      <c r="T263" s="8">
        <v>582.88</v>
      </c>
      <c r="U263" s="8">
        <v>1044.1400000000001</v>
      </c>
      <c r="V263" s="8">
        <f t="shared" si="26"/>
        <v>0.216</v>
      </c>
      <c r="W263" s="8">
        <v>0.216</v>
      </c>
      <c r="X263" s="10">
        <f>IF(Table2[[#This Row],[DiscountPct]]&gt;0.2,1,0)</f>
        <v>1</v>
      </c>
      <c r="Y263" s="10">
        <v>10</v>
      </c>
      <c r="Z263" s="30">
        <f>Table2[[#This Row],[UnitPrice]]*Y263*(1-V263)</f>
        <v>8186.057600000001</v>
      </c>
      <c r="AA263" s="2">
        <f>T263*Y263</f>
        <v>5828.8</v>
      </c>
      <c r="AB263" s="2">
        <f t="shared" si="27"/>
        <v>2357.2576000000008</v>
      </c>
      <c r="AC263" s="2">
        <f t="shared" si="28"/>
        <v>0.28796005539956138</v>
      </c>
      <c r="AD263" s="2" t="e">
        <f>_xlfn.PERCENTILE.INC(S:S, 0.33)</f>
        <v>#NUM!</v>
      </c>
      <c r="AE263" s="2" t="e">
        <f>_xlfn.PERCENTILE.INC(S:S, 0.66)</f>
        <v>#NUM!</v>
      </c>
      <c r="AF263" s="30" t="e">
        <f t="shared" si="29"/>
        <v>#NUM!</v>
      </c>
    </row>
    <row r="264" spans="1:32" x14ac:dyDescent="0.3">
      <c r="A264" s="31" t="s">
        <v>277</v>
      </c>
      <c r="B264" s="32">
        <v>45829</v>
      </c>
      <c r="C264" s="47">
        <f>EOMONTH(Table2[[#This Row],[OrderDate]],-1)+1</f>
        <v>45809</v>
      </c>
      <c r="D264" s="45">
        <f>EOMONTH(_xlfn.MINIFS(B264:B894,M264:M894,Table2[[#This Row],[Country]]), -1) + 1</f>
        <v>44927</v>
      </c>
      <c r="E264" s="47"/>
      <c r="F264" s="32" t="str">
        <f>"Q"&amp;ROUNDUP(MONTH(B264)/3,0)&amp;"-"&amp;YEAR(B264)</f>
        <v>Q2-2025</v>
      </c>
      <c r="G264" s="32">
        <v>45835</v>
      </c>
      <c r="H264" s="32">
        <f>IF(G264&lt;B264, B264+3, G264)</f>
        <v>45835</v>
      </c>
      <c r="I264" s="33">
        <f>H264-B264</f>
        <v>6</v>
      </c>
      <c r="J264" s="33">
        <f t="shared" si="24"/>
        <v>1</v>
      </c>
      <c r="K264" s="33">
        <f t="shared" si="25"/>
        <v>1</v>
      </c>
      <c r="L264" s="34" t="s">
        <v>646</v>
      </c>
      <c r="M264" s="34" t="s">
        <v>661</v>
      </c>
      <c r="N264" s="34" t="s">
        <v>687</v>
      </c>
      <c r="O264" s="34" t="s">
        <v>706</v>
      </c>
      <c r="P264" s="34" t="s">
        <v>710</v>
      </c>
      <c r="Q264" s="34" t="s">
        <v>725</v>
      </c>
      <c r="R264" s="34" t="s">
        <v>730</v>
      </c>
      <c r="S264" s="34" t="s">
        <v>997</v>
      </c>
      <c r="T264" s="35">
        <v>93.91</v>
      </c>
      <c r="U264" s="35">
        <v>99.04</v>
      </c>
      <c r="V264" s="35">
        <f t="shared" si="26"/>
        <v>5.7000000000000002E-2</v>
      </c>
      <c r="W264" s="35">
        <v>5.7000000000000002E-2</v>
      </c>
      <c r="X264" s="33">
        <f>IF(Table2[[#This Row],[DiscountPct]]&gt;0.2,1,0)</f>
        <v>0</v>
      </c>
      <c r="Y264" s="33">
        <v>6</v>
      </c>
      <c r="Z264" s="30">
        <f>Table2[[#This Row],[UnitPrice]]*Y264*(1-V264)</f>
        <v>560.36831999999993</v>
      </c>
      <c r="AA264" s="31">
        <f>T264*Y264</f>
        <v>563.46</v>
      </c>
      <c r="AB264" s="31">
        <f t="shared" si="27"/>
        <v>-3.0916800000001103</v>
      </c>
      <c r="AC264" s="31">
        <f t="shared" si="28"/>
        <v>-5.5172283829323376E-3</v>
      </c>
      <c r="AD264" s="31" t="e">
        <f>_xlfn.PERCENTILE.INC(S:S, 0.33)</f>
        <v>#NUM!</v>
      </c>
      <c r="AE264" s="31" t="e">
        <f>_xlfn.PERCENTILE.INC(S:S, 0.66)</f>
        <v>#NUM!</v>
      </c>
      <c r="AF264" s="30" t="e">
        <f t="shared" si="29"/>
        <v>#NUM!</v>
      </c>
    </row>
    <row r="265" spans="1:32" x14ac:dyDescent="0.3">
      <c r="A265" s="2" t="s">
        <v>278</v>
      </c>
      <c r="B265" s="4">
        <v>45763</v>
      </c>
      <c r="C265" s="46">
        <f>EOMONTH(Table2[[#This Row],[OrderDate]],-1)+1</f>
        <v>45748</v>
      </c>
      <c r="D265" s="45">
        <f>EOMONTH(_xlfn.MINIFS(B265:B895,M265:M895,Table2[[#This Row],[Country]]), -1) + 1</f>
        <v>44958</v>
      </c>
      <c r="E265" s="46"/>
      <c r="F265" s="4" t="str">
        <f>"Q"&amp;ROUNDUP(MONTH(B265)/3,0)&amp;"-"&amp;YEAR(B265)</f>
        <v>Q2-2025</v>
      </c>
      <c r="G265" s="4">
        <v>45773</v>
      </c>
      <c r="H265" s="4">
        <f>IF(G265&lt;B265, B265+3, G265)</f>
        <v>45773</v>
      </c>
      <c r="I265" s="10">
        <f>H265-B265</f>
        <v>10</v>
      </c>
      <c r="J265" s="10">
        <f t="shared" si="24"/>
        <v>0</v>
      </c>
      <c r="K265" s="10">
        <f t="shared" si="25"/>
        <v>0</v>
      </c>
      <c r="L265" s="6" t="s">
        <v>646</v>
      </c>
      <c r="M265" s="6" t="s">
        <v>651</v>
      </c>
      <c r="N265" s="6" t="s">
        <v>663</v>
      </c>
      <c r="O265" s="6" t="s">
        <v>706</v>
      </c>
      <c r="P265" s="6" t="s">
        <v>709</v>
      </c>
      <c r="Q265" s="6" t="s">
        <v>721</v>
      </c>
      <c r="R265" s="6" t="s">
        <v>731</v>
      </c>
      <c r="S265" s="6" t="s">
        <v>998</v>
      </c>
      <c r="T265" s="8">
        <v>1457.44</v>
      </c>
      <c r="U265" s="8">
        <v>1996.81</v>
      </c>
      <c r="V265" s="8">
        <f t="shared" si="26"/>
        <v>0.126</v>
      </c>
      <c r="W265" s="8">
        <v>0.126</v>
      </c>
      <c r="X265" s="10">
        <f>IF(Table2[[#This Row],[DiscountPct]]&gt;0.2,1,0)</f>
        <v>0</v>
      </c>
      <c r="Y265" s="10">
        <v>23</v>
      </c>
      <c r="Z265" s="30">
        <f>Table2[[#This Row],[UnitPrice]]*Y265*(1-V265)</f>
        <v>40139.874619999995</v>
      </c>
      <c r="AA265" s="2">
        <f>T265*Y265</f>
        <v>33521.120000000003</v>
      </c>
      <c r="AB265" s="2">
        <f t="shared" si="27"/>
        <v>6618.7546199999924</v>
      </c>
      <c r="AC265" s="2">
        <f t="shared" si="28"/>
        <v>0.16489225944672353</v>
      </c>
      <c r="AD265" s="2" t="e">
        <f>_xlfn.PERCENTILE.INC(S:S, 0.33)</f>
        <v>#NUM!</v>
      </c>
      <c r="AE265" s="2" t="e">
        <f>_xlfn.PERCENTILE.INC(S:S, 0.66)</f>
        <v>#NUM!</v>
      </c>
      <c r="AF265" s="30" t="e">
        <f t="shared" si="29"/>
        <v>#NUM!</v>
      </c>
    </row>
    <row r="266" spans="1:32" x14ac:dyDescent="0.3">
      <c r="A266" s="31" t="s">
        <v>279</v>
      </c>
      <c r="B266" s="32">
        <v>45902</v>
      </c>
      <c r="C266" s="47">
        <f>EOMONTH(Table2[[#This Row],[OrderDate]],-1)+1</f>
        <v>45901</v>
      </c>
      <c r="D266" s="45">
        <f>EOMONTH(_xlfn.MINIFS(B266:B896,M266:M896,Table2[[#This Row],[Country]]), -1) + 1</f>
        <v>45017</v>
      </c>
      <c r="E266" s="47"/>
      <c r="F266" s="32" t="str">
        <f>"Q"&amp;ROUNDUP(MONTH(B266)/3,0)&amp;"-"&amp;YEAR(B266)</f>
        <v>Q3-2025</v>
      </c>
      <c r="G266" s="32">
        <v>45911</v>
      </c>
      <c r="H266" s="32">
        <f>IF(G266&lt;B266, B266+3, G266)</f>
        <v>45911</v>
      </c>
      <c r="I266" s="33">
        <f>H266-B266</f>
        <v>9</v>
      </c>
      <c r="J266" s="33">
        <f t="shared" si="24"/>
        <v>0</v>
      </c>
      <c r="K266" s="33">
        <f t="shared" si="25"/>
        <v>0</v>
      </c>
      <c r="L266" s="34" t="s">
        <v>648</v>
      </c>
      <c r="M266" s="34" t="s">
        <v>653</v>
      </c>
      <c r="N266" s="34" t="s">
        <v>667</v>
      </c>
      <c r="O266" s="34" t="s">
        <v>701</v>
      </c>
      <c r="P266" s="34" t="s">
        <v>710</v>
      </c>
      <c r="Q266" s="34" t="s">
        <v>724</v>
      </c>
      <c r="R266" s="34" t="s">
        <v>728</v>
      </c>
      <c r="S266" s="34" t="s">
        <v>999</v>
      </c>
      <c r="T266" s="35">
        <v>1207.6300000000001</v>
      </c>
      <c r="U266" s="35">
        <v>921.68</v>
      </c>
      <c r="V266" s="35">
        <f t="shared" si="26"/>
        <v>0.19600000000000001</v>
      </c>
      <c r="W266" s="35">
        <v>0.19600000000000001</v>
      </c>
      <c r="X266" s="33">
        <f>IF(Table2[[#This Row],[DiscountPct]]&gt;0.2,1,0)</f>
        <v>0</v>
      </c>
      <c r="Y266" s="33">
        <v>17</v>
      </c>
      <c r="Z266" s="30">
        <f>Table2[[#This Row],[UnitPrice]]*Y266*(1-V266)</f>
        <v>12597.52224</v>
      </c>
      <c r="AA266" s="31">
        <f>T266*Y266</f>
        <v>20529.710000000003</v>
      </c>
      <c r="AB266" s="31">
        <f t="shared" si="27"/>
        <v>-7932.1877600000025</v>
      </c>
      <c r="AC266" s="31">
        <f t="shared" si="28"/>
        <v>-0.62966253274897988</v>
      </c>
      <c r="AD266" s="31" t="e">
        <f>_xlfn.PERCENTILE.INC(S:S, 0.33)</f>
        <v>#NUM!</v>
      </c>
      <c r="AE266" s="31" t="e">
        <f>_xlfn.PERCENTILE.INC(S:S, 0.66)</f>
        <v>#NUM!</v>
      </c>
      <c r="AF266" s="30" t="e">
        <f t="shared" si="29"/>
        <v>#NUM!</v>
      </c>
    </row>
    <row r="267" spans="1:32" x14ac:dyDescent="0.3">
      <c r="A267" s="2" t="s">
        <v>280</v>
      </c>
      <c r="B267" s="4">
        <v>45573</v>
      </c>
      <c r="C267" s="46">
        <f>EOMONTH(Table2[[#This Row],[OrderDate]],-1)+1</f>
        <v>45566</v>
      </c>
      <c r="D267" s="45">
        <f>EOMONTH(_xlfn.MINIFS(B267:B897,M267:M897,Table2[[#This Row],[Country]]), -1) + 1</f>
        <v>44927</v>
      </c>
      <c r="E267" s="46"/>
      <c r="F267" s="4" t="str">
        <f>"Q"&amp;ROUNDUP(MONTH(B267)/3,0)&amp;"-"&amp;YEAR(B267)</f>
        <v>Q4-2024</v>
      </c>
      <c r="G267" s="4">
        <v>45573</v>
      </c>
      <c r="H267" s="4">
        <f>IF(G267&lt;B267, B267+3, G267)</f>
        <v>45573</v>
      </c>
      <c r="I267" s="10">
        <f>H267-B267</f>
        <v>0</v>
      </c>
      <c r="J267" s="10">
        <f t="shared" si="24"/>
        <v>1</v>
      </c>
      <c r="K267" s="10">
        <f t="shared" si="25"/>
        <v>1</v>
      </c>
      <c r="L267" s="6" t="s">
        <v>649</v>
      </c>
      <c r="M267" s="6" t="s">
        <v>658</v>
      </c>
      <c r="N267" s="6" t="s">
        <v>683</v>
      </c>
      <c r="O267" s="6" t="s">
        <v>701</v>
      </c>
      <c r="P267" s="6" t="s">
        <v>708</v>
      </c>
      <c r="Q267" s="6" t="s">
        <v>718</v>
      </c>
      <c r="R267" s="6" t="s">
        <v>732</v>
      </c>
      <c r="S267" s="6" t="s">
        <v>1000</v>
      </c>
      <c r="T267" s="8">
        <v>1108.1099999999999</v>
      </c>
      <c r="U267" s="8">
        <v>2503.79</v>
      </c>
      <c r="V267" s="8">
        <f t="shared" si="26"/>
        <v>0.184</v>
      </c>
      <c r="W267" s="8">
        <v>0.184</v>
      </c>
      <c r="X267" s="10">
        <f>IF(Table2[[#This Row],[DiscountPct]]&gt;0.2,1,0)</f>
        <v>0</v>
      </c>
      <c r="Y267" s="10">
        <v>19</v>
      </c>
      <c r="Z267" s="30">
        <f>Table2[[#This Row],[UnitPrice]]*Y267*(1-V267)</f>
        <v>38818.760160000005</v>
      </c>
      <c r="AA267" s="2">
        <f>T267*Y267</f>
        <v>21054.089999999997</v>
      </c>
      <c r="AB267" s="2">
        <f t="shared" si="27"/>
        <v>17764.670160000009</v>
      </c>
      <c r="AC267" s="2">
        <f t="shared" si="28"/>
        <v>0.45763105485025896</v>
      </c>
      <c r="AD267" s="2" t="e">
        <f>_xlfn.PERCENTILE.INC(S:S, 0.33)</f>
        <v>#NUM!</v>
      </c>
      <c r="AE267" s="2" t="e">
        <f>_xlfn.PERCENTILE.INC(S:S, 0.66)</f>
        <v>#NUM!</v>
      </c>
      <c r="AF267" s="30" t="e">
        <f t="shared" si="29"/>
        <v>#NUM!</v>
      </c>
    </row>
    <row r="268" spans="1:32" x14ac:dyDescent="0.3">
      <c r="A268" s="31" t="s">
        <v>281</v>
      </c>
      <c r="B268" s="32">
        <v>45053</v>
      </c>
      <c r="C268" s="47">
        <f>EOMONTH(Table2[[#This Row],[OrderDate]],-1)+1</f>
        <v>45047</v>
      </c>
      <c r="D268" s="45">
        <f>EOMONTH(_xlfn.MINIFS(B268:B898,M268:M898,Table2[[#This Row],[Country]]), -1) + 1</f>
        <v>44958</v>
      </c>
      <c r="E268" s="47"/>
      <c r="F268" s="32" t="str">
        <f>"Q"&amp;ROUNDUP(MONTH(B268)/3,0)&amp;"-"&amp;YEAR(B268)</f>
        <v>Q2-2023</v>
      </c>
      <c r="G268" s="32">
        <v>45051</v>
      </c>
      <c r="H268" s="32">
        <f>IF(G268&lt;B268, B268+3, G268)</f>
        <v>45056</v>
      </c>
      <c r="I268" s="33">
        <f>H268-B268</f>
        <v>3</v>
      </c>
      <c r="J268" s="33">
        <f t="shared" si="24"/>
        <v>1</v>
      </c>
      <c r="K268" s="33">
        <f t="shared" si="25"/>
        <v>1</v>
      </c>
      <c r="L268" s="34" t="s">
        <v>646</v>
      </c>
      <c r="M268" s="34" t="s">
        <v>651</v>
      </c>
      <c r="N268" s="34" t="s">
        <v>663</v>
      </c>
      <c r="O268" s="34" t="s">
        <v>703</v>
      </c>
      <c r="P268" s="34" t="s">
        <v>709</v>
      </c>
      <c r="Q268" s="34" t="s">
        <v>720</v>
      </c>
      <c r="R268" s="34" t="s">
        <v>727</v>
      </c>
      <c r="S268" s="34" t="s">
        <v>1001</v>
      </c>
      <c r="T268" s="35">
        <v>1269.6500000000001</v>
      </c>
      <c r="U268" s="35">
        <v>2462.77</v>
      </c>
      <c r="V268" s="35">
        <f t="shared" si="26"/>
        <v>0.107</v>
      </c>
      <c r="W268" s="35">
        <v>0.107</v>
      </c>
      <c r="X268" s="33">
        <f>IF(Table2[[#This Row],[DiscountPct]]&gt;0.2,1,0)</f>
        <v>0</v>
      </c>
      <c r="Y268" s="33">
        <v>8</v>
      </c>
      <c r="Z268" s="30">
        <f>Table2[[#This Row],[UnitPrice]]*Y268*(1-V268)</f>
        <v>17594.028880000002</v>
      </c>
      <c r="AA268" s="31">
        <f>T268*Y268</f>
        <v>10157.200000000001</v>
      </c>
      <c r="AB268" s="31">
        <f t="shared" si="27"/>
        <v>7436.8288800000009</v>
      </c>
      <c r="AC268" s="31">
        <f t="shared" si="28"/>
        <v>0.42269050089225502</v>
      </c>
      <c r="AD268" s="31" t="e">
        <f>_xlfn.PERCENTILE.INC(S:S, 0.33)</f>
        <v>#NUM!</v>
      </c>
      <c r="AE268" s="31" t="e">
        <f>_xlfn.PERCENTILE.INC(S:S, 0.66)</f>
        <v>#NUM!</v>
      </c>
      <c r="AF268" s="30" t="e">
        <f t="shared" si="29"/>
        <v>#NUM!</v>
      </c>
    </row>
    <row r="269" spans="1:32" x14ac:dyDescent="0.3">
      <c r="A269" s="2" t="s">
        <v>282</v>
      </c>
      <c r="B269" s="4">
        <v>45284</v>
      </c>
      <c r="C269" s="46">
        <f>EOMONTH(Table2[[#This Row],[OrderDate]],-1)+1</f>
        <v>45261</v>
      </c>
      <c r="D269" s="45">
        <f>EOMONTH(_xlfn.MINIFS(B269:B899,M269:M899,Table2[[#This Row],[Country]]), -1) + 1</f>
        <v>44927</v>
      </c>
      <c r="E269" s="46"/>
      <c r="F269" s="4" t="str">
        <f>"Q"&amp;ROUNDUP(MONTH(B269)/3,0)&amp;"-"&amp;YEAR(B269)</f>
        <v>Q4-2023</v>
      </c>
      <c r="G269" s="4">
        <v>45292</v>
      </c>
      <c r="H269" s="4">
        <f>IF(G269&lt;B269, B269+3, G269)</f>
        <v>45292</v>
      </c>
      <c r="I269" s="10">
        <f>H269-B269</f>
        <v>8</v>
      </c>
      <c r="J269" s="10">
        <f t="shared" si="24"/>
        <v>0</v>
      </c>
      <c r="K269" s="10">
        <f t="shared" si="25"/>
        <v>0</v>
      </c>
      <c r="L269" s="6" t="s">
        <v>648</v>
      </c>
      <c r="M269" s="6" t="s">
        <v>655</v>
      </c>
      <c r="N269" s="6" t="s">
        <v>670</v>
      </c>
      <c r="O269" s="6" t="s">
        <v>702</v>
      </c>
      <c r="P269" s="6" t="s">
        <v>711</v>
      </c>
      <c r="Q269" s="6" t="s">
        <v>712</v>
      </c>
      <c r="R269" s="6" t="s">
        <v>730</v>
      </c>
      <c r="S269" s="6" t="s">
        <v>1002</v>
      </c>
      <c r="T269" s="8">
        <v>526.49</v>
      </c>
      <c r="U269" s="8">
        <v>496.2</v>
      </c>
      <c r="V269" s="8">
        <f t="shared" si="26"/>
        <v>0</v>
      </c>
      <c r="W269" s="8">
        <v>0</v>
      </c>
      <c r="X269" s="10">
        <f>IF(Table2[[#This Row],[DiscountPct]]&gt;0.2,1,0)</f>
        <v>0</v>
      </c>
      <c r="Y269" s="10">
        <v>14</v>
      </c>
      <c r="Z269" s="30">
        <f>Table2[[#This Row],[UnitPrice]]*Y269*(1-V269)</f>
        <v>6946.8</v>
      </c>
      <c r="AA269" s="2">
        <f>T269*Y269</f>
        <v>7370.8600000000006</v>
      </c>
      <c r="AB269" s="2">
        <f t="shared" si="27"/>
        <v>-424.0600000000004</v>
      </c>
      <c r="AC269" s="2">
        <f t="shared" si="28"/>
        <v>-6.1043933897621985E-2</v>
      </c>
      <c r="AD269" s="2" t="e">
        <f>_xlfn.PERCENTILE.INC(S:S, 0.33)</f>
        <v>#NUM!</v>
      </c>
      <c r="AE269" s="2" t="e">
        <f>_xlfn.PERCENTILE.INC(S:S, 0.66)</f>
        <v>#NUM!</v>
      </c>
      <c r="AF269" s="30" t="e">
        <f t="shared" si="29"/>
        <v>#NUM!</v>
      </c>
    </row>
    <row r="270" spans="1:32" x14ac:dyDescent="0.3">
      <c r="A270" s="31" t="s">
        <v>283</v>
      </c>
      <c r="B270" s="32">
        <v>45301</v>
      </c>
      <c r="C270" s="47">
        <f>EOMONTH(Table2[[#This Row],[OrderDate]],-1)+1</f>
        <v>45292</v>
      </c>
      <c r="D270" s="45">
        <f>EOMONTH(_xlfn.MINIFS(B270:B900,M270:M900,Table2[[#This Row],[Country]]), -1) + 1</f>
        <v>44927</v>
      </c>
      <c r="E270" s="47"/>
      <c r="F270" s="32" t="str">
        <f>"Q"&amp;ROUNDUP(MONTH(B270)/3,0)&amp;"-"&amp;YEAR(B270)</f>
        <v>Q1-2024</v>
      </c>
      <c r="G270" s="32">
        <v>45314</v>
      </c>
      <c r="H270" s="32">
        <f>IF(G270&lt;B270, B270+3, G270)</f>
        <v>45314</v>
      </c>
      <c r="I270" s="33">
        <f>H270-B270</f>
        <v>13</v>
      </c>
      <c r="J270" s="33">
        <f t="shared" si="24"/>
        <v>0</v>
      </c>
      <c r="K270" s="33">
        <f t="shared" si="25"/>
        <v>0</v>
      </c>
      <c r="L270" s="34" t="s">
        <v>649</v>
      </c>
      <c r="M270" s="34" t="s">
        <v>657</v>
      </c>
      <c r="N270" s="34" t="s">
        <v>673</v>
      </c>
      <c r="O270" s="34" t="s">
        <v>701</v>
      </c>
      <c r="P270" s="34" t="s">
        <v>711</v>
      </c>
      <c r="Q270" s="34" t="s">
        <v>720</v>
      </c>
      <c r="R270" s="34" t="s">
        <v>728</v>
      </c>
      <c r="S270" s="34" t="s">
        <v>1003</v>
      </c>
      <c r="T270" s="35">
        <v>720</v>
      </c>
      <c r="U270" s="35">
        <v>907.59</v>
      </c>
      <c r="V270" s="35">
        <f t="shared" si="26"/>
        <v>0.154</v>
      </c>
      <c r="W270" s="35">
        <v>0.154</v>
      </c>
      <c r="X270" s="33">
        <f>IF(Table2[[#This Row],[DiscountPct]]&gt;0.2,1,0)</f>
        <v>0</v>
      </c>
      <c r="Y270" s="33">
        <v>10</v>
      </c>
      <c r="Z270" s="30">
        <f>Table2[[#This Row],[UnitPrice]]*Y270*(1-V270)</f>
        <v>7678.2113999999992</v>
      </c>
      <c r="AA270" s="31">
        <f>T270*Y270</f>
        <v>7200</v>
      </c>
      <c r="AB270" s="31">
        <f t="shared" si="27"/>
        <v>478.21139999999923</v>
      </c>
      <c r="AC270" s="31">
        <f t="shared" si="28"/>
        <v>6.2281614179052078E-2</v>
      </c>
      <c r="AD270" s="31" t="e">
        <f>_xlfn.PERCENTILE.INC(S:S, 0.33)</f>
        <v>#NUM!</v>
      </c>
      <c r="AE270" s="31" t="e">
        <f>_xlfn.PERCENTILE.INC(S:S, 0.66)</f>
        <v>#NUM!</v>
      </c>
      <c r="AF270" s="30" t="e">
        <f t="shared" si="29"/>
        <v>#NUM!</v>
      </c>
    </row>
    <row r="271" spans="1:32" x14ac:dyDescent="0.3">
      <c r="A271" s="2" t="s">
        <v>284</v>
      </c>
      <c r="B271" s="4">
        <v>45141</v>
      </c>
      <c r="C271" s="46">
        <f>EOMONTH(Table2[[#This Row],[OrderDate]],-1)+1</f>
        <v>45139</v>
      </c>
      <c r="D271" s="45">
        <f>EOMONTH(_xlfn.MINIFS(B271:B901,M271:M901,Table2[[#This Row],[Country]]), -1) + 1</f>
        <v>44927</v>
      </c>
      <c r="E271" s="46"/>
      <c r="F271" s="4" t="str">
        <f>"Q"&amp;ROUNDUP(MONTH(B271)/3,0)&amp;"-"&amp;YEAR(B271)</f>
        <v>Q3-2023</v>
      </c>
      <c r="G271" s="4">
        <v>45152</v>
      </c>
      <c r="H271" s="4">
        <f>IF(G271&lt;B271, B271+3, G271)</f>
        <v>45152</v>
      </c>
      <c r="I271" s="10">
        <f>H271-B271</f>
        <v>11</v>
      </c>
      <c r="J271" s="10">
        <f t="shared" si="24"/>
        <v>0</v>
      </c>
      <c r="K271" s="10">
        <f t="shared" si="25"/>
        <v>0</v>
      </c>
      <c r="L271" s="6" t="s">
        <v>648</v>
      </c>
      <c r="M271" s="6" t="s">
        <v>655</v>
      </c>
      <c r="N271" s="6" t="s">
        <v>672</v>
      </c>
      <c r="O271" s="6" t="s">
        <v>701</v>
      </c>
      <c r="P271" s="6" t="s">
        <v>711</v>
      </c>
      <c r="Q271" s="6" t="s">
        <v>713</v>
      </c>
      <c r="R271" s="6" t="s">
        <v>733</v>
      </c>
      <c r="S271" s="6" t="s">
        <v>1004</v>
      </c>
      <c r="T271" s="8">
        <v>232.73</v>
      </c>
      <c r="U271" s="8">
        <v>334.19</v>
      </c>
      <c r="V271" s="8">
        <f t="shared" si="26"/>
        <v>0.13400000000000001</v>
      </c>
      <c r="W271" s="8">
        <v>0.13400000000000001</v>
      </c>
      <c r="X271" s="10">
        <f>IF(Table2[[#This Row],[DiscountPct]]&gt;0.2,1,0)</f>
        <v>0</v>
      </c>
      <c r="Y271" s="10">
        <v>25</v>
      </c>
      <c r="Z271" s="30">
        <f>Table2[[#This Row],[UnitPrice]]*Y271*(1-V271)</f>
        <v>7235.2134999999998</v>
      </c>
      <c r="AA271" s="2">
        <f>T271*Y271</f>
        <v>5818.25</v>
      </c>
      <c r="AB271" s="2">
        <f t="shared" si="27"/>
        <v>1416.9634999999998</v>
      </c>
      <c r="AC271" s="2">
        <f t="shared" si="28"/>
        <v>0.1958426658729559</v>
      </c>
      <c r="AD271" s="2" t="e">
        <f>_xlfn.PERCENTILE.INC(S:S, 0.33)</f>
        <v>#NUM!</v>
      </c>
      <c r="AE271" s="2" t="e">
        <f>_xlfn.PERCENTILE.INC(S:S, 0.66)</f>
        <v>#NUM!</v>
      </c>
      <c r="AF271" s="30" t="e">
        <f t="shared" si="29"/>
        <v>#NUM!</v>
      </c>
    </row>
    <row r="272" spans="1:32" x14ac:dyDescent="0.3">
      <c r="A272" s="31" t="s">
        <v>285</v>
      </c>
      <c r="B272" s="32">
        <v>45707</v>
      </c>
      <c r="C272" s="47">
        <f>EOMONTH(Table2[[#This Row],[OrderDate]],-1)+1</f>
        <v>45689</v>
      </c>
      <c r="D272" s="45">
        <f>EOMONTH(_xlfn.MINIFS(B272:B902,M272:M902,Table2[[#This Row],[Country]]), -1) + 1</f>
        <v>45047</v>
      </c>
      <c r="E272" s="47"/>
      <c r="F272" s="32" t="str">
        <f>"Q"&amp;ROUNDUP(MONTH(B272)/3,0)&amp;"-"&amp;YEAR(B272)</f>
        <v>Q1-2025</v>
      </c>
      <c r="G272" s="32">
        <v>45725</v>
      </c>
      <c r="H272" s="32">
        <f>IF(G272&lt;B272, B272+3, G272)</f>
        <v>45725</v>
      </c>
      <c r="I272" s="33">
        <f>H272-B272</f>
        <v>18</v>
      </c>
      <c r="J272" s="33">
        <f t="shared" si="24"/>
        <v>0</v>
      </c>
      <c r="K272" s="33">
        <f t="shared" si="25"/>
        <v>0</v>
      </c>
      <c r="L272" s="34" t="s">
        <v>647</v>
      </c>
      <c r="M272" s="34" t="s">
        <v>654</v>
      </c>
      <c r="N272" s="34" t="s">
        <v>680</v>
      </c>
      <c r="O272" s="34" t="s">
        <v>705</v>
      </c>
      <c r="P272" s="34" t="s">
        <v>711</v>
      </c>
      <c r="Q272" s="34" t="s">
        <v>719</v>
      </c>
      <c r="R272" s="34" t="s">
        <v>732</v>
      </c>
      <c r="S272" s="34" t="s">
        <v>1005</v>
      </c>
      <c r="T272" s="35">
        <v>325.87</v>
      </c>
      <c r="U272" s="35">
        <v>538.79</v>
      </c>
      <c r="V272" s="35">
        <f t="shared" si="26"/>
        <v>0.17399999999999999</v>
      </c>
      <c r="W272" s="35">
        <v>0.17399999999999999</v>
      </c>
      <c r="X272" s="33">
        <f>IF(Table2[[#This Row],[DiscountPct]]&gt;0.2,1,0)</f>
        <v>0</v>
      </c>
      <c r="Y272" s="33">
        <v>16</v>
      </c>
      <c r="Z272" s="30">
        <f>Table2[[#This Row],[UnitPrice]]*Y272*(1-V272)</f>
        <v>7120.6486400000003</v>
      </c>
      <c r="AA272" s="31">
        <f>T272*Y272</f>
        <v>5213.92</v>
      </c>
      <c r="AB272" s="31">
        <f t="shared" si="27"/>
        <v>1906.7286400000003</v>
      </c>
      <c r="AC272" s="31">
        <f t="shared" si="28"/>
        <v>0.26777457172778013</v>
      </c>
      <c r="AD272" s="31" t="e">
        <f>_xlfn.PERCENTILE.INC(S:S, 0.33)</f>
        <v>#NUM!</v>
      </c>
      <c r="AE272" s="31" t="e">
        <f>_xlfn.PERCENTILE.INC(S:S, 0.66)</f>
        <v>#NUM!</v>
      </c>
      <c r="AF272" s="30" t="e">
        <f t="shared" si="29"/>
        <v>#NUM!</v>
      </c>
    </row>
    <row r="273" spans="1:32" x14ac:dyDescent="0.3">
      <c r="A273" s="2" t="s">
        <v>286</v>
      </c>
      <c r="B273" s="4">
        <v>45382</v>
      </c>
      <c r="C273" s="46">
        <f>EOMONTH(Table2[[#This Row],[OrderDate]],-1)+1</f>
        <v>45352</v>
      </c>
      <c r="D273" s="45">
        <f>EOMONTH(_xlfn.MINIFS(B273:B903,M273:M903,Table2[[#This Row],[Country]]), -1) + 1</f>
        <v>44927</v>
      </c>
      <c r="E273" s="46"/>
      <c r="F273" s="4" t="str">
        <f>"Q"&amp;ROUNDUP(MONTH(B273)/3,0)&amp;"-"&amp;YEAR(B273)</f>
        <v>Q1-2024</v>
      </c>
      <c r="G273" s="4">
        <v>45399</v>
      </c>
      <c r="H273" s="4">
        <f>IF(G273&lt;B273, B273+3, G273)</f>
        <v>45399</v>
      </c>
      <c r="I273" s="10">
        <f>H273-B273</f>
        <v>17</v>
      </c>
      <c r="J273" s="10">
        <f t="shared" si="24"/>
        <v>0</v>
      </c>
      <c r="K273" s="10">
        <f t="shared" si="25"/>
        <v>0</v>
      </c>
      <c r="L273" s="6" t="s">
        <v>649</v>
      </c>
      <c r="M273" s="6" t="s">
        <v>656</v>
      </c>
      <c r="N273" s="6" t="s">
        <v>698</v>
      </c>
      <c r="O273" s="6" t="s">
        <v>702</v>
      </c>
      <c r="P273" s="6" t="s">
        <v>711</v>
      </c>
      <c r="Q273" s="6" t="s">
        <v>722</v>
      </c>
      <c r="R273" s="6" t="s">
        <v>732</v>
      </c>
      <c r="S273" s="6" t="s">
        <v>1006</v>
      </c>
      <c r="T273" s="8">
        <v>1025.51</v>
      </c>
      <c r="U273" s="8">
        <v>1436.54</v>
      </c>
      <c r="V273" s="8">
        <f t="shared" si="26"/>
        <v>0.13900000000000001</v>
      </c>
      <c r="W273" s="8">
        <v>0.13900000000000001</v>
      </c>
      <c r="X273" s="10">
        <f>IF(Table2[[#This Row],[DiscountPct]]&gt;0.2,1,0)</f>
        <v>0</v>
      </c>
      <c r="Y273" s="10">
        <v>28</v>
      </c>
      <c r="Z273" s="30">
        <f>Table2[[#This Row],[UnitPrice]]*Y273*(1-V273)</f>
        <v>34632.106319999999</v>
      </c>
      <c r="AA273" s="2">
        <f>T273*Y273</f>
        <v>28714.28</v>
      </c>
      <c r="AB273" s="2">
        <f t="shared" si="27"/>
        <v>5917.8263200000001</v>
      </c>
      <c r="AC273" s="2">
        <f t="shared" si="28"/>
        <v>0.17087688127656453</v>
      </c>
      <c r="AD273" s="2" t="e">
        <f>_xlfn.PERCENTILE.INC(S:S, 0.33)</f>
        <v>#NUM!</v>
      </c>
      <c r="AE273" s="2" t="e">
        <f>_xlfn.PERCENTILE.INC(S:S, 0.66)</f>
        <v>#NUM!</v>
      </c>
      <c r="AF273" s="30" t="e">
        <f t="shared" si="29"/>
        <v>#NUM!</v>
      </c>
    </row>
    <row r="274" spans="1:32" x14ac:dyDescent="0.3">
      <c r="A274" s="31" t="s">
        <v>287</v>
      </c>
      <c r="B274" s="32">
        <v>45131</v>
      </c>
      <c r="C274" s="47">
        <f>EOMONTH(Table2[[#This Row],[OrderDate]],-1)+1</f>
        <v>45108</v>
      </c>
      <c r="D274" s="45">
        <f>EOMONTH(_xlfn.MINIFS(B274:B904,M274:M904,Table2[[#This Row],[Country]]), -1) + 1</f>
        <v>45017</v>
      </c>
      <c r="E274" s="47"/>
      <c r="F274" s="32" t="str">
        <f>"Q"&amp;ROUNDUP(MONTH(B274)/3,0)&amp;"-"&amp;YEAR(B274)</f>
        <v>Q3-2023</v>
      </c>
      <c r="G274" s="32">
        <v>45151</v>
      </c>
      <c r="H274" s="32">
        <f>IF(G274&lt;B274, B274+3, G274)</f>
        <v>45151</v>
      </c>
      <c r="I274" s="33">
        <f>H274-B274</f>
        <v>20</v>
      </c>
      <c r="J274" s="33">
        <f t="shared" si="24"/>
        <v>0</v>
      </c>
      <c r="K274" s="33">
        <f t="shared" si="25"/>
        <v>0</v>
      </c>
      <c r="L274" s="34" t="s">
        <v>648</v>
      </c>
      <c r="M274" s="34" t="s">
        <v>653</v>
      </c>
      <c r="N274" s="34" t="s">
        <v>681</v>
      </c>
      <c r="O274" s="34" t="s">
        <v>702</v>
      </c>
      <c r="P274" s="34" t="s">
        <v>711</v>
      </c>
      <c r="Q274" s="34" t="s">
        <v>712</v>
      </c>
      <c r="R274" s="34" t="s">
        <v>732</v>
      </c>
      <c r="S274" s="34" t="s">
        <v>1007</v>
      </c>
      <c r="T274" s="35">
        <v>1082.3800000000001</v>
      </c>
      <c r="U274" s="35">
        <v>1766.55</v>
      </c>
      <c r="V274" s="35">
        <f t="shared" si="26"/>
        <v>0.16400000000000001</v>
      </c>
      <c r="W274" s="35">
        <v>0.16400000000000001</v>
      </c>
      <c r="X274" s="33">
        <f>IF(Table2[[#This Row],[DiscountPct]]&gt;0.2,1,0)</f>
        <v>0</v>
      </c>
      <c r="Y274" s="33">
        <v>20</v>
      </c>
      <c r="Z274" s="30">
        <f>Table2[[#This Row],[UnitPrice]]*Y274*(1-V274)</f>
        <v>29536.716</v>
      </c>
      <c r="AA274" s="31">
        <f>T274*Y274</f>
        <v>21647.600000000002</v>
      </c>
      <c r="AB274" s="31">
        <f t="shared" si="27"/>
        <v>7889.1159999999982</v>
      </c>
      <c r="AC274" s="31">
        <f t="shared" si="28"/>
        <v>0.26709523157550752</v>
      </c>
      <c r="AD274" s="31" t="e">
        <f>_xlfn.PERCENTILE.INC(S:S, 0.33)</f>
        <v>#NUM!</v>
      </c>
      <c r="AE274" s="31" t="e">
        <f>_xlfn.PERCENTILE.INC(S:S, 0.66)</f>
        <v>#NUM!</v>
      </c>
      <c r="AF274" s="30" t="e">
        <f t="shared" si="29"/>
        <v>#NUM!</v>
      </c>
    </row>
    <row r="275" spans="1:32" x14ac:dyDescent="0.3">
      <c r="A275" s="2" t="s">
        <v>288</v>
      </c>
      <c r="B275" s="4">
        <v>45367</v>
      </c>
      <c r="C275" s="46">
        <f>EOMONTH(Table2[[#This Row],[OrderDate]],-1)+1</f>
        <v>45352</v>
      </c>
      <c r="D275" s="45">
        <f>EOMONTH(_xlfn.MINIFS(B275:B905,M275:M905,Table2[[#This Row],[Country]]), -1) + 1</f>
        <v>44927</v>
      </c>
      <c r="E275" s="46"/>
      <c r="F275" s="4" t="str">
        <f>"Q"&amp;ROUNDUP(MONTH(B275)/3,0)&amp;"-"&amp;YEAR(B275)</f>
        <v>Q1-2024</v>
      </c>
      <c r="G275" s="4">
        <v>45395</v>
      </c>
      <c r="H275" s="4">
        <f>IF(G275&lt;B275, B275+3, G275)</f>
        <v>45395</v>
      </c>
      <c r="I275" s="10">
        <f>H275-B275</f>
        <v>28</v>
      </c>
      <c r="J275" s="10">
        <f t="shared" si="24"/>
        <v>0</v>
      </c>
      <c r="K275" s="10">
        <f t="shared" si="25"/>
        <v>0</v>
      </c>
      <c r="L275" s="6" t="s">
        <v>649</v>
      </c>
      <c r="M275" s="6" t="s">
        <v>657</v>
      </c>
      <c r="N275" s="6" t="s">
        <v>690</v>
      </c>
      <c r="O275" s="6" t="s">
        <v>705</v>
      </c>
      <c r="P275" s="6" t="s">
        <v>708</v>
      </c>
      <c r="Q275" s="6" t="s">
        <v>723</v>
      </c>
      <c r="R275" s="6" t="s">
        <v>728</v>
      </c>
      <c r="S275" s="6" t="s">
        <v>1008</v>
      </c>
      <c r="T275" s="8">
        <v>287.61</v>
      </c>
      <c r="U275" s="8">
        <v>628.54</v>
      </c>
      <c r="V275" s="8">
        <f t="shared" si="26"/>
        <v>0.13500000000000001</v>
      </c>
      <c r="W275" s="8">
        <v>0.13500000000000001</v>
      </c>
      <c r="X275" s="10">
        <f>IF(Table2[[#This Row],[DiscountPct]]&gt;0.2,1,0)</f>
        <v>0</v>
      </c>
      <c r="Y275" s="10">
        <v>21</v>
      </c>
      <c r="Z275" s="30">
        <f>Table2[[#This Row],[UnitPrice]]*Y275*(1-V275)</f>
        <v>11417.429099999999</v>
      </c>
      <c r="AA275" s="2">
        <f>T275*Y275</f>
        <v>6039.81</v>
      </c>
      <c r="AB275" s="2">
        <f t="shared" si="27"/>
        <v>5377.619099999999</v>
      </c>
      <c r="AC275" s="2">
        <f t="shared" si="28"/>
        <v>0.47100087531964613</v>
      </c>
      <c r="AD275" s="2" t="e">
        <f>_xlfn.PERCENTILE.INC(S:S, 0.33)</f>
        <v>#NUM!</v>
      </c>
      <c r="AE275" s="2" t="e">
        <f>_xlfn.PERCENTILE.INC(S:S, 0.66)</f>
        <v>#NUM!</v>
      </c>
      <c r="AF275" s="30" t="e">
        <f t="shared" si="29"/>
        <v>#NUM!</v>
      </c>
    </row>
    <row r="276" spans="1:32" x14ac:dyDescent="0.3">
      <c r="A276" s="31" t="s">
        <v>289</v>
      </c>
      <c r="B276" s="32">
        <v>45316</v>
      </c>
      <c r="C276" s="47">
        <f>EOMONTH(Table2[[#This Row],[OrderDate]],-1)+1</f>
        <v>45292</v>
      </c>
      <c r="D276" s="45">
        <f>EOMONTH(_xlfn.MINIFS(B276:B906,M276:M906,Table2[[#This Row],[Country]]), -1) + 1</f>
        <v>44927</v>
      </c>
      <c r="E276" s="47"/>
      <c r="F276" s="32" t="str">
        <f>"Q"&amp;ROUNDUP(MONTH(B276)/3,0)&amp;"-"&amp;YEAR(B276)</f>
        <v>Q1-2024</v>
      </c>
      <c r="G276" s="32">
        <v>45318</v>
      </c>
      <c r="H276" s="32">
        <f>IF(G276&lt;B276, B276+3, G276)</f>
        <v>45318</v>
      </c>
      <c r="I276" s="33">
        <f>H276-B276</f>
        <v>2</v>
      </c>
      <c r="J276" s="33">
        <f t="shared" si="24"/>
        <v>1</v>
      </c>
      <c r="K276" s="33">
        <f t="shared" si="25"/>
        <v>1</v>
      </c>
      <c r="L276" s="34" t="s">
        <v>648</v>
      </c>
      <c r="M276" s="34" t="s">
        <v>655</v>
      </c>
      <c r="N276" s="34" t="s">
        <v>670</v>
      </c>
      <c r="O276" s="34" t="s">
        <v>703</v>
      </c>
      <c r="P276" s="34" t="s">
        <v>709</v>
      </c>
      <c r="Q276" s="34" t="s">
        <v>725</v>
      </c>
      <c r="R276" s="34" t="s">
        <v>731</v>
      </c>
      <c r="S276" s="34" t="s">
        <v>1009</v>
      </c>
      <c r="T276" s="35">
        <v>1410.97</v>
      </c>
      <c r="U276" s="35">
        <v>1650.75</v>
      </c>
      <c r="V276" s="35">
        <f t="shared" si="26"/>
        <v>0.13500000000000001</v>
      </c>
      <c r="W276" s="35">
        <v>0.13500000000000001</v>
      </c>
      <c r="X276" s="33">
        <f>IF(Table2[[#This Row],[DiscountPct]]&gt;0.2,1,0)</f>
        <v>0</v>
      </c>
      <c r="Y276" s="33">
        <v>6</v>
      </c>
      <c r="Z276" s="30">
        <f>Table2[[#This Row],[UnitPrice]]*Y276*(1-V276)</f>
        <v>8567.3924999999999</v>
      </c>
      <c r="AA276" s="31">
        <f>T276*Y276</f>
        <v>8465.82</v>
      </c>
      <c r="AB276" s="31">
        <f t="shared" si="27"/>
        <v>101.57250000000022</v>
      </c>
      <c r="AC276" s="31">
        <f t="shared" si="28"/>
        <v>1.1855707556295596E-2</v>
      </c>
      <c r="AD276" s="31" t="e">
        <f>_xlfn.PERCENTILE.INC(S:S, 0.33)</f>
        <v>#NUM!</v>
      </c>
      <c r="AE276" s="31" t="e">
        <f>_xlfn.PERCENTILE.INC(S:S, 0.66)</f>
        <v>#NUM!</v>
      </c>
      <c r="AF276" s="30" t="e">
        <f t="shared" si="29"/>
        <v>#NUM!</v>
      </c>
    </row>
    <row r="277" spans="1:32" x14ac:dyDescent="0.3">
      <c r="A277" s="2" t="s">
        <v>290</v>
      </c>
      <c r="B277" s="4">
        <v>45378</v>
      </c>
      <c r="C277" s="46">
        <f>EOMONTH(Table2[[#This Row],[OrderDate]],-1)+1</f>
        <v>45352</v>
      </c>
      <c r="D277" s="45">
        <f>EOMONTH(_xlfn.MINIFS(B277:B907,M277:M907,Table2[[#This Row],[Country]]), -1) + 1</f>
        <v>44958</v>
      </c>
      <c r="E277" s="46"/>
      <c r="F277" s="4" t="str">
        <f>"Q"&amp;ROUNDUP(MONTH(B277)/3,0)&amp;"-"&amp;YEAR(B277)</f>
        <v>Q1-2024</v>
      </c>
      <c r="G277" s="4">
        <v>45393</v>
      </c>
      <c r="H277" s="4">
        <f>IF(G277&lt;B277, B277+3, G277)</f>
        <v>45393</v>
      </c>
      <c r="I277" s="10">
        <f>H277-B277</f>
        <v>15</v>
      </c>
      <c r="J277" s="10">
        <f t="shared" si="24"/>
        <v>0</v>
      </c>
      <c r="K277" s="10">
        <f t="shared" si="25"/>
        <v>0</v>
      </c>
      <c r="L277" s="6" t="s">
        <v>648</v>
      </c>
      <c r="M277" s="6" t="s">
        <v>660</v>
      </c>
      <c r="N277" s="6" t="s">
        <v>686</v>
      </c>
      <c r="O277" s="6" t="s">
        <v>705</v>
      </c>
      <c r="P277" s="6" t="s">
        <v>711</v>
      </c>
      <c r="Q277" s="6" t="s">
        <v>719</v>
      </c>
      <c r="R277" s="6" t="s">
        <v>729</v>
      </c>
      <c r="S277" s="6" t="s">
        <v>1010</v>
      </c>
      <c r="T277" s="8">
        <v>1338.35</v>
      </c>
      <c r="U277" s="8">
        <v>2247.14</v>
      </c>
      <c r="V277" s="8">
        <f t="shared" si="26"/>
        <v>0.115</v>
      </c>
      <c r="W277" s="8">
        <v>0.115</v>
      </c>
      <c r="X277" s="10">
        <f>IF(Table2[[#This Row],[DiscountPct]]&gt;0.2,1,0)</f>
        <v>0</v>
      </c>
      <c r="Y277" s="10">
        <v>40</v>
      </c>
      <c r="Z277" s="30">
        <f>Table2[[#This Row],[UnitPrice]]*Y277*(1-V277)</f>
        <v>79548.755999999994</v>
      </c>
      <c r="AA277" s="2">
        <f>T277*Y277</f>
        <v>53534</v>
      </c>
      <c r="AB277" s="2">
        <f t="shared" si="27"/>
        <v>26014.755999999994</v>
      </c>
      <c r="AC277" s="2">
        <f t="shared" si="28"/>
        <v>0.32702907384246205</v>
      </c>
      <c r="AD277" s="2" t="e">
        <f>_xlfn.PERCENTILE.INC(S:S, 0.33)</f>
        <v>#NUM!</v>
      </c>
      <c r="AE277" s="2" t="e">
        <f>_xlfn.PERCENTILE.INC(S:S, 0.66)</f>
        <v>#NUM!</v>
      </c>
      <c r="AF277" s="30" t="e">
        <f t="shared" si="29"/>
        <v>#NUM!</v>
      </c>
    </row>
    <row r="278" spans="1:32" x14ac:dyDescent="0.3">
      <c r="A278" s="31" t="s">
        <v>291</v>
      </c>
      <c r="B278" s="32">
        <v>45832</v>
      </c>
      <c r="C278" s="47">
        <f>EOMONTH(Table2[[#This Row],[OrderDate]],-1)+1</f>
        <v>45809</v>
      </c>
      <c r="D278" s="45">
        <f>EOMONTH(_xlfn.MINIFS(B278:B908,M278:M908,Table2[[#This Row],[Country]]), -1) + 1</f>
        <v>44927</v>
      </c>
      <c r="E278" s="47"/>
      <c r="F278" s="32" t="str">
        <f>"Q"&amp;ROUNDUP(MONTH(B278)/3,0)&amp;"-"&amp;YEAR(B278)</f>
        <v>Q2-2025</v>
      </c>
      <c r="G278" s="32">
        <v>45852</v>
      </c>
      <c r="H278" s="32">
        <f>IF(G278&lt;B278, B278+3, G278)</f>
        <v>45852</v>
      </c>
      <c r="I278" s="33">
        <f>H278-B278</f>
        <v>20</v>
      </c>
      <c r="J278" s="33">
        <f t="shared" si="24"/>
        <v>0</v>
      </c>
      <c r="K278" s="33">
        <f t="shared" si="25"/>
        <v>0</v>
      </c>
      <c r="L278" s="34" t="s">
        <v>649</v>
      </c>
      <c r="M278" s="34" t="s">
        <v>656</v>
      </c>
      <c r="N278" s="34" t="s">
        <v>671</v>
      </c>
      <c r="O278" s="34" t="s">
        <v>701</v>
      </c>
      <c r="P278" s="34" t="s">
        <v>711</v>
      </c>
      <c r="Q278" s="34" t="s">
        <v>719</v>
      </c>
      <c r="R278" s="34" t="s">
        <v>733</v>
      </c>
      <c r="S278" s="34" t="s">
        <v>1011</v>
      </c>
      <c r="T278" s="35">
        <v>385.08</v>
      </c>
      <c r="U278" s="35">
        <v>893.19</v>
      </c>
      <c r="V278" s="35">
        <f t="shared" si="26"/>
        <v>0.151</v>
      </c>
      <c r="W278" s="35">
        <v>0.151</v>
      </c>
      <c r="X278" s="33">
        <f>IF(Table2[[#This Row],[DiscountPct]]&gt;0.2,1,0)</f>
        <v>0</v>
      </c>
      <c r="Y278" s="33">
        <v>8</v>
      </c>
      <c r="Z278" s="30">
        <f>Table2[[#This Row],[UnitPrice]]*Y278*(1-V278)</f>
        <v>6066.54648</v>
      </c>
      <c r="AA278" s="31">
        <f>T278*Y278</f>
        <v>3080.64</v>
      </c>
      <c r="AB278" s="31">
        <f t="shared" si="27"/>
        <v>2985.9064800000001</v>
      </c>
      <c r="AC278" s="31">
        <f t="shared" si="28"/>
        <v>0.49219213762621666</v>
      </c>
      <c r="AD278" s="31" t="e">
        <f>_xlfn.PERCENTILE.INC(S:S, 0.33)</f>
        <v>#NUM!</v>
      </c>
      <c r="AE278" s="31" t="e">
        <f>_xlfn.PERCENTILE.INC(S:S, 0.66)</f>
        <v>#NUM!</v>
      </c>
      <c r="AF278" s="30" t="e">
        <f t="shared" si="29"/>
        <v>#NUM!</v>
      </c>
    </row>
    <row r="279" spans="1:32" x14ac:dyDescent="0.3">
      <c r="A279" s="2" t="s">
        <v>292</v>
      </c>
      <c r="B279" s="4">
        <v>45459</v>
      </c>
      <c r="C279" s="46">
        <f>EOMONTH(Table2[[#This Row],[OrderDate]],-1)+1</f>
        <v>45444</v>
      </c>
      <c r="D279" s="45">
        <f>EOMONTH(_xlfn.MINIFS(B279:B909,M279:M909,Table2[[#This Row],[Country]]), -1) + 1</f>
        <v>44927</v>
      </c>
      <c r="E279" s="46"/>
      <c r="F279" s="4" t="str">
        <f>"Q"&amp;ROUNDUP(MONTH(B279)/3,0)&amp;"-"&amp;YEAR(B279)</f>
        <v>Q2-2024</v>
      </c>
      <c r="G279" s="4">
        <v>45476</v>
      </c>
      <c r="H279" s="4">
        <f>IF(G279&lt;B279, B279+3, G279)</f>
        <v>45476</v>
      </c>
      <c r="I279" s="10">
        <f>H279-B279</f>
        <v>17</v>
      </c>
      <c r="J279" s="10">
        <f t="shared" si="24"/>
        <v>0</v>
      </c>
      <c r="K279" s="10">
        <f t="shared" si="25"/>
        <v>0</v>
      </c>
      <c r="L279" s="6" t="s">
        <v>646</v>
      </c>
      <c r="M279" s="6" t="s">
        <v>661</v>
      </c>
      <c r="N279" s="6" t="s">
        <v>682</v>
      </c>
      <c r="O279" s="6" t="s">
        <v>706</v>
      </c>
      <c r="P279" s="6" t="s">
        <v>709</v>
      </c>
      <c r="Q279" s="6" t="s">
        <v>721</v>
      </c>
      <c r="R279" s="6" t="s">
        <v>730</v>
      </c>
      <c r="S279" s="6" t="s">
        <v>1012</v>
      </c>
      <c r="T279" s="8">
        <v>1173.83</v>
      </c>
      <c r="U279" s="8">
        <v>2328.9</v>
      </c>
      <c r="V279" s="8">
        <f t="shared" si="26"/>
        <v>0.12</v>
      </c>
      <c r="W279" s="8">
        <v>0.12</v>
      </c>
      <c r="X279" s="10">
        <f>IF(Table2[[#This Row],[DiscountPct]]&gt;0.2,1,0)</f>
        <v>0</v>
      </c>
      <c r="Y279" s="10">
        <v>17</v>
      </c>
      <c r="Z279" s="30">
        <f>Table2[[#This Row],[UnitPrice]]*Y279*(1-V279)</f>
        <v>34840.344000000005</v>
      </c>
      <c r="AA279" s="2">
        <f>T279*Y279</f>
        <v>19955.11</v>
      </c>
      <c r="AB279" s="2">
        <f t="shared" si="27"/>
        <v>14885.234000000004</v>
      </c>
      <c r="AC279" s="2">
        <f t="shared" si="28"/>
        <v>0.42724130393201637</v>
      </c>
      <c r="AD279" s="2" t="e">
        <f>_xlfn.PERCENTILE.INC(S:S, 0.33)</f>
        <v>#NUM!</v>
      </c>
      <c r="AE279" s="2" t="e">
        <f>_xlfn.PERCENTILE.INC(S:S, 0.66)</f>
        <v>#NUM!</v>
      </c>
      <c r="AF279" s="30" t="e">
        <f t="shared" si="29"/>
        <v>#NUM!</v>
      </c>
    </row>
    <row r="280" spans="1:32" x14ac:dyDescent="0.3">
      <c r="A280" s="31" t="s">
        <v>293</v>
      </c>
      <c r="B280" s="32">
        <v>45229</v>
      </c>
      <c r="C280" s="47">
        <f>EOMONTH(Table2[[#This Row],[OrderDate]],-1)+1</f>
        <v>45200</v>
      </c>
      <c r="D280" s="45">
        <f>EOMONTH(_xlfn.MINIFS(B280:B910,M280:M910,Table2[[#This Row],[Country]]), -1) + 1</f>
        <v>45047</v>
      </c>
      <c r="E280" s="47"/>
      <c r="F280" s="32" t="str">
        <f>"Q"&amp;ROUNDUP(MONTH(B280)/3,0)&amp;"-"&amp;YEAR(B280)</f>
        <v>Q4-2023</v>
      </c>
      <c r="G280" s="32">
        <v>45244</v>
      </c>
      <c r="H280" s="32">
        <f>IF(G280&lt;B280, B280+3, G280)</f>
        <v>45244</v>
      </c>
      <c r="I280" s="33">
        <f>H280-B280</f>
        <v>15</v>
      </c>
      <c r="J280" s="33">
        <f t="shared" si="24"/>
        <v>0</v>
      </c>
      <c r="K280" s="33">
        <f t="shared" si="25"/>
        <v>0</v>
      </c>
      <c r="L280" s="34" t="s">
        <v>647</v>
      </c>
      <c r="M280" s="34" t="s">
        <v>654</v>
      </c>
      <c r="N280" s="34" t="s">
        <v>668</v>
      </c>
      <c r="O280" s="34" t="s">
        <v>701</v>
      </c>
      <c r="P280" s="34" t="s">
        <v>708</v>
      </c>
      <c r="Q280" s="34" t="s">
        <v>721</v>
      </c>
      <c r="R280" s="34" t="s">
        <v>731</v>
      </c>
      <c r="S280" s="34" t="s">
        <v>1013</v>
      </c>
      <c r="T280" s="35">
        <v>953.46</v>
      </c>
      <c r="U280" s="35">
        <v>2066.75</v>
      </c>
      <c r="V280" s="35">
        <f t="shared" si="26"/>
        <v>0.13800000000000001</v>
      </c>
      <c r="W280" s="35">
        <v>0.13800000000000001</v>
      </c>
      <c r="X280" s="33">
        <f>IF(Table2[[#This Row],[DiscountPct]]&gt;0.2,1,0)</f>
        <v>0</v>
      </c>
      <c r="Y280" s="33">
        <v>5</v>
      </c>
      <c r="Z280" s="30">
        <f>Table2[[#This Row],[UnitPrice]]*Y280*(1-V280)</f>
        <v>8907.6924999999992</v>
      </c>
      <c r="AA280" s="31">
        <f>T280*Y280</f>
        <v>4767.3</v>
      </c>
      <c r="AB280" s="31">
        <f t="shared" si="27"/>
        <v>4140.392499999999</v>
      </c>
      <c r="AC280" s="31">
        <f t="shared" si="28"/>
        <v>0.46481089238318446</v>
      </c>
      <c r="AD280" s="31" t="e">
        <f>_xlfn.PERCENTILE.INC(S:S, 0.33)</f>
        <v>#NUM!</v>
      </c>
      <c r="AE280" s="31" t="e">
        <f>_xlfn.PERCENTILE.INC(S:S, 0.66)</f>
        <v>#NUM!</v>
      </c>
      <c r="AF280" s="30" t="e">
        <f t="shared" si="29"/>
        <v>#NUM!</v>
      </c>
    </row>
    <row r="281" spans="1:32" x14ac:dyDescent="0.3">
      <c r="A281" s="2" t="s">
        <v>294</v>
      </c>
      <c r="B281" s="4">
        <v>45092</v>
      </c>
      <c r="C281" s="46">
        <f>EOMONTH(Table2[[#This Row],[OrderDate]],-1)+1</f>
        <v>45078</v>
      </c>
      <c r="D281" s="45">
        <f>EOMONTH(_xlfn.MINIFS(B281:B911,M281:M911,Table2[[#This Row],[Country]]), -1) + 1</f>
        <v>44958</v>
      </c>
      <c r="E281" s="46"/>
      <c r="F281" s="4" t="str">
        <f>"Q"&amp;ROUNDUP(MONTH(B281)/3,0)&amp;"-"&amp;YEAR(B281)</f>
        <v>Q2-2023</v>
      </c>
      <c r="G281" s="4">
        <v>45100</v>
      </c>
      <c r="H281" s="4">
        <f>IF(G281&lt;B281, B281+3, G281)</f>
        <v>45100</v>
      </c>
      <c r="I281" s="10">
        <f>H281-B281</f>
        <v>8</v>
      </c>
      <c r="J281" s="10">
        <f t="shared" si="24"/>
        <v>0</v>
      </c>
      <c r="K281" s="10">
        <f t="shared" si="25"/>
        <v>0</v>
      </c>
      <c r="L281" s="6" t="s">
        <v>648</v>
      </c>
      <c r="M281" s="6" t="s">
        <v>660</v>
      </c>
      <c r="N281" s="6" t="s">
        <v>686</v>
      </c>
      <c r="O281" s="6" t="s">
        <v>704</v>
      </c>
      <c r="P281" s="6" t="s">
        <v>710</v>
      </c>
      <c r="Q281" s="6" t="s">
        <v>719</v>
      </c>
      <c r="R281" s="6" t="s">
        <v>732</v>
      </c>
      <c r="S281" s="6" t="s">
        <v>1014</v>
      </c>
      <c r="T281" s="8">
        <v>1097.0899999999999</v>
      </c>
      <c r="U281" s="8">
        <v>2182.31</v>
      </c>
      <c r="V281" s="8">
        <f t="shared" si="26"/>
        <v>0.112</v>
      </c>
      <c r="W281" s="8">
        <v>0.112</v>
      </c>
      <c r="X281" s="10">
        <f>IF(Table2[[#This Row],[DiscountPct]]&gt;0.2,1,0)</f>
        <v>0</v>
      </c>
      <c r="Y281" s="10">
        <v>9</v>
      </c>
      <c r="Z281" s="30">
        <f>Table2[[#This Row],[UnitPrice]]*Y281*(1-V281)</f>
        <v>17441.021520000002</v>
      </c>
      <c r="AA281" s="2">
        <f>T281*Y281</f>
        <v>9873.81</v>
      </c>
      <c r="AB281" s="2">
        <f t="shared" si="27"/>
        <v>7567.2115200000026</v>
      </c>
      <c r="AC281" s="2">
        <f t="shared" si="28"/>
        <v>0.43387432962699546</v>
      </c>
      <c r="AD281" s="2" t="e">
        <f>_xlfn.PERCENTILE.INC(S:S, 0.33)</f>
        <v>#NUM!</v>
      </c>
      <c r="AE281" s="2" t="e">
        <f>_xlfn.PERCENTILE.INC(S:S, 0.66)</f>
        <v>#NUM!</v>
      </c>
      <c r="AF281" s="30" t="e">
        <f t="shared" si="29"/>
        <v>#NUM!</v>
      </c>
    </row>
    <row r="282" spans="1:32" x14ac:dyDescent="0.3">
      <c r="A282" s="31" t="s">
        <v>295</v>
      </c>
      <c r="B282" s="32">
        <v>45730</v>
      </c>
      <c r="C282" s="47">
        <f>EOMONTH(Table2[[#This Row],[OrderDate]],-1)+1</f>
        <v>45717</v>
      </c>
      <c r="D282" s="45">
        <f>EOMONTH(_xlfn.MINIFS(B282:B912,M282:M912,Table2[[#This Row],[Country]]), -1) + 1</f>
        <v>44986</v>
      </c>
      <c r="E282" s="47"/>
      <c r="F282" s="32" t="str">
        <f>"Q"&amp;ROUNDUP(MONTH(B282)/3,0)&amp;"-"&amp;YEAR(B282)</f>
        <v>Q1-2025</v>
      </c>
      <c r="G282" s="32">
        <v>45745</v>
      </c>
      <c r="H282" s="32">
        <f>IF(G282&lt;B282, B282+3, G282)</f>
        <v>45745</v>
      </c>
      <c r="I282" s="33">
        <f>H282-B282</f>
        <v>15</v>
      </c>
      <c r="J282" s="33">
        <f t="shared" si="24"/>
        <v>0</v>
      </c>
      <c r="K282" s="33">
        <f t="shared" si="25"/>
        <v>0</v>
      </c>
      <c r="L282" s="34" t="s">
        <v>647</v>
      </c>
      <c r="M282" s="34" t="s">
        <v>652</v>
      </c>
      <c r="N282" s="34" t="s">
        <v>689</v>
      </c>
      <c r="O282" s="34" t="s">
        <v>703</v>
      </c>
      <c r="P282" s="34" t="s">
        <v>711</v>
      </c>
      <c r="Q282" s="34" t="s">
        <v>722</v>
      </c>
      <c r="R282" s="34" t="s">
        <v>729</v>
      </c>
      <c r="S282" s="34" t="s">
        <v>1015</v>
      </c>
      <c r="T282" s="35">
        <v>1106.96</v>
      </c>
      <c r="U282" s="35">
        <v>2726.62</v>
      </c>
      <c r="V282" s="35">
        <f t="shared" si="26"/>
        <v>0.3</v>
      </c>
      <c r="W282" s="35">
        <v>0.317</v>
      </c>
      <c r="X282" s="33">
        <f>IF(Table2[[#This Row],[DiscountPct]]&gt;0.2,1,0)</f>
        <v>1</v>
      </c>
      <c r="Y282" s="33">
        <v>7</v>
      </c>
      <c r="Z282" s="30">
        <f>Table2[[#This Row],[UnitPrice]]*Y282*(1-V282)</f>
        <v>13360.438</v>
      </c>
      <c r="AA282" s="31">
        <f>T282*Y282</f>
        <v>7748.72</v>
      </c>
      <c r="AB282" s="31">
        <f t="shared" si="27"/>
        <v>5611.7179999999998</v>
      </c>
      <c r="AC282" s="31">
        <f t="shared" si="28"/>
        <v>0.42002500217432992</v>
      </c>
      <c r="AD282" s="31" t="e">
        <f>_xlfn.PERCENTILE.INC(S:S, 0.33)</f>
        <v>#NUM!</v>
      </c>
      <c r="AE282" s="31" t="e">
        <f>_xlfn.PERCENTILE.INC(S:S, 0.66)</f>
        <v>#NUM!</v>
      </c>
      <c r="AF282" s="30" t="e">
        <f t="shared" si="29"/>
        <v>#NUM!</v>
      </c>
    </row>
    <row r="283" spans="1:32" x14ac:dyDescent="0.3">
      <c r="A283" s="2" t="s">
        <v>296</v>
      </c>
      <c r="B283" s="4">
        <v>45153</v>
      </c>
      <c r="C283" s="46">
        <f>EOMONTH(Table2[[#This Row],[OrderDate]],-1)+1</f>
        <v>45139</v>
      </c>
      <c r="D283" s="45">
        <f>EOMONTH(_xlfn.MINIFS(B283:B913,M283:M913,Table2[[#This Row],[Country]]), -1) + 1</f>
        <v>44958</v>
      </c>
      <c r="E283" s="46"/>
      <c r="F283" s="4" t="str">
        <f>"Q"&amp;ROUNDUP(MONTH(B283)/3,0)&amp;"-"&amp;YEAR(B283)</f>
        <v>Q3-2023</v>
      </c>
      <c r="G283" s="4">
        <v>45163</v>
      </c>
      <c r="H283" s="4">
        <f>IF(G283&lt;B283, B283+3, G283)</f>
        <v>45163</v>
      </c>
      <c r="I283" s="10">
        <f>H283-B283</f>
        <v>10</v>
      </c>
      <c r="J283" s="10">
        <f t="shared" si="24"/>
        <v>0</v>
      </c>
      <c r="K283" s="10">
        <f t="shared" si="25"/>
        <v>0</v>
      </c>
      <c r="L283" s="6" t="s">
        <v>646</v>
      </c>
      <c r="M283" s="6" t="s">
        <v>650</v>
      </c>
      <c r="N283" s="6" t="s">
        <v>664</v>
      </c>
      <c r="O283" s="6" t="s">
        <v>705</v>
      </c>
      <c r="P283" s="6" t="s">
        <v>707</v>
      </c>
      <c r="Q283" s="6" t="s">
        <v>725</v>
      </c>
      <c r="R283" s="6" t="s">
        <v>730</v>
      </c>
      <c r="S283" s="6" t="s">
        <v>1016</v>
      </c>
      <c r="T283" s="8">
        <v>91.85</v>
      </c>
      <c r="U283" s="8">
        <v>111.29</v>
      </c>
      <c r="V283" s="8">
        <f t="shared" si="26"/>
        <v>0</v>
      </c>
      <c r="W283" s="8">
        <v>0</v>
      </c>
      <c r="X283" s="10">
        <f>IF(Table2[[#This Row],[DiscountPct]]&gt;0.2,1,0)</f>
        <v>0</v>
      </c>
      <c r="Y283" s="10">
        <v>6</v>
      </c>
      <c r="Z283" s="30">
        <f>Table2[[#This Row],[UnitPrice]]*Y283*(1-V283)</f>
        <v>667.74</v>
      </c>
      <c r="AA283" s="2">
        <f>T283*Y283</f>
        <v>551.09999999999991</v>
      </c>
      <c r="AB283" s="2">
        <f t="shared" si="27"/>
        <v>116.6400000000001</v>
      </c>
      <c r="AC283" s="2">
        <f t="shared" si="28"/>
        <v>0.17467876718483258</v>
      </c>
      <c r="AD283" s="2" t="e">
        <f>_xlfn.PERCENTILE.INC(S:S, 0.33)</f>
        <v>#NUM!</v>
      </c>
      <c r="AE283" s="2" t="e">
        <f>_xlfn.PERCENTILE.INC(S:S, 0.66)</f>
        <v>#NUM!</v>
      </c>
      <c r="AF283" s="30" t="e">
        <f t="shared" si="29"/>
        <v>#NUM!</v>
      </c>
    </row>
    <row r="284" spans="1:32" x14ac:dyDescent="0.3">
      <c r="A284" s="31" t="s">
        <v>297</v>
      </c>
      <c r="B284" s="32">
        <v>45794</v>
      </c>
      <c r="C284" s="47">
        <f>EOMONTH(Table2[[#This Row],[OrderDate]],-1)+1</f>
        <v>45778</v>
      </c>
      <c r="D284" s="45">
        <f>EOMONTH(_xlfn.MINIFS(B284:B914,M284:M914,Table2[[#This Row],[Country]]), -1) + 1</f>
        <v>45047</v>
      </c>
      <c r="E284" s="47"/>
      <c r="F284" s="32" t="str">
        <f>"Q"&amp;ROUNDUP(MONTH(B284)/3,0)&amp;"-"&amp;YEAR(B284)</f>
        <v>Q2-2025</v>
      </c>
      <c r="G284" s="32">
        <v>45805</v>
      </c>
      <c r="H284" s="32">
        <f>IF(G284&lt;B284, B284+3, G284)</f>
        <v>45805</v>
      </c>
      <c r="I284" s="33">
        <f>H284-B284</f>
        <v>11</v>
      </c>
      <c r="J284" s="33">
        <f t="shared" si="24"/>
        <v>0</v>
      </c>
      <c r="K284" s="33">
        <f t="shared" si="25"/>
        <v>0</v>
      </c>
      <c r="L284" s="34" t="s">
        <v>647</v>
      </c>
      <c r="M284" s="34" t="s">
        <v>654</v>
      </c>
      <c r="N284" s="34" t="s">
        <v>668</v>
      </c>
      <c r="O284" s="34" t="s">
        <v>701</v>
      </c>
      <c r="P284" s="34" t="s">
        <v>710</v>
      </c>
      <c r="Q284" s="34" t="s">
        <v>717</v>
      </c>
      <c r="R284" s="34" t="s">
        <v>731</v>
      </c>
      <c r="S284" s="34" t="s">
        <v>1017</v>
      </c>
      <c r="T284" s="35">
        <v>623.4</v>
      </c>
      <c r="U284" s="35">
        <v>1100.0899999999999</v>
      </c>
      <c r="V284" s="35">
        <f t="shared" si="26"/>
        <v>0.114</v>
      </c>
      <c r="W284" s="35">
        <v>0.114</v>
      </c>
      <c r="X284" s="33">
        <f>IF(Table2[[#This Row],[DiscountPct]]&gt;0.2,1,0)</f>
        <v>0</v>
      </c>
      <c r="Y284" s="33">
        <v>12</v>
      </c>
      <c r="Z284" s="30">
        <f>Table2[[#This Row],[UnitPrice]]*Y284*(1-V284)</f>
        <v>11696.156879999999</v>
      </c>
      <c r="AA284" s="31">
        <f>T284*Y284</f>
        <v>7480.7999999999993</v>
      </c>
      <c r="AB284" s="31">
        <f t="shared" si="27"/>
        <v>4215.3568799999994</v>
      </c>
      <c r="AC284" s="31">
        <f t="shared" si="28"/>
        <v>0.36040529579490388</v>
      </c>
      <c r="AD284" s="31" t="e">
        <f>_xlfn.PERCENTILE.INC(S:S, 0.33)</f>
        <v>#NUM!</v>
      </c>
      <c r="AE284" s="31" t="e">
        <f>_xlfn.PERCENTILE.INC(S:S, 0.66)</f>
        <v>#NUM!</v>
      </c>
      <c r="AF284" s="30" t="e">
        <f t="shared" si="29"/>
        <v>#NUM!</v>
      </c>
    </row>
    <row r="285" spans="1:32" x14ac:dyDescent="0.3">
      <c r="A285" s="2" t="s">
        <v>298</v>
      </c>
      <c r="B285" s="4">
        <v>45304</v>
      </c>
      <c r="C285" s="46">
        <f>EOMONTH(Table2[[#This Row],[OrderDate]],-1)+1</f>
        <v>45292</v>
      </c>
      <c r="D285" s="45">
        <f>EOMONTH(_xlfn.MINIFS(B285:B915,M285:M915,Table2[[#This Row],[Country]]), -1) + 1</f>
        <v>44927</v>
      </c>
      <c r="E285" s="46"/>
      <c r="F285" s="4" t="str">
        <f>"Q"&amp;ROUNDUP(MONTH(B285)/3,0)&amp;"-"&amp;YEAR(B285)</f>
        <v>Q1-2024</v>
      </c>
      <c r="G285" s="4">
        <v>45327</v>
      </c>
      <c r="H285" s="4">
        <f>IF(G285&lt;B285, B285+3, G285)</f>
        <v>45327</v>
      </c>
      <c r="I285" s="10">
        <f>H285-B285</f>
        <v>23</v>
      </c>
      <c r="J285" s="10">
        <f t="shared" si="24"/>
        <v>0</v>
      </c>
      <c r="K285" s="10">
        <f t="shared" si="25"/>
        <v>0</v>
      </c>
      <c r="L285" s="6" t="s">
        <v>649</v>
      </c>
      <c r="M285" s="6" t="s">
        <v>656</v>
      </c>
      <c r="N285" s="6" t="s">
        <v>698</v>
      </c>
      <c r="O285" s="6" t="s">
        <v>702</v>
      </c>
      <c r="P285" s="6" t="s">
        <v>711</v>
      </c>
      <c r="Q285" s="6" t="s">
        <v>717</v>
      </c>
      <c r="R285" s="6" t="s">
        <v>731</v>
      </c>
      <c r="S285" s="6" t="s">
        <v>1018</v>
      </c>
      <c r="T285" s="8">
        <v>1017.93</v>
      </c>
      <c r="U285" s="8">
        <v>1529.14</v>
      </c>
      <c r="V285" s="8">
        <f t="shared" si="26"/>
        <v>0.155</v>
      </c>
      <c r="W285" s="8">
        <v>0.155</v>
      </c>
      <c r="X285" s="10">
        <f>IF(Table2[[#This Row],[DiscountPct]]&gt;0.2,1,0)</f>
        <v>0</v>
      </c>
      <c r="Y285" s="10">
        <v>12</v>
      </c>
      <c r="Z285" s="30">
        <f>Table2[[#This Row],[UnitPrice]]*Y285*(1-V285)</f>
        <v>15505.479600000001</v>
      </c>
      <c r="AA285" s="2">
        <f>T285*Y285</f>
        <v>12215.16</v>
      </c>
      <c r="AB285" s="2">
        <f t="shared" si="27"/>
        <v>3290.3196000000007</v>
      </c>
      <c r="AC285" s="2">
        <f t="shared" si="28"/>
        <v>0.21220366508366503</v>
      </c>
      <c r="AD285" s="2" t="e">
        <f>_xlfn.PERCENTILE.INC(S:S, 0.33)</f>
        <v>#NUM!</v>
      </c>
      <c r="AE285" s="2" t="e">
        <f>_xlfn.PERCENTILE.INC(S:S, 0.66)</f>
        <v>#NUM!</v>
      </c>
      <c r="AF285" s="30" t="e">
        <f t="shared" si="29"/>
        <v>#NUM!</v>
      </c>
    </row>
    <row r="286" spans="1:32" x14ac:dyDescent="0.3">
      <c r="A286" s="31" t="s">
        <v>299</v>
      </c>
      <c r="B286" s="32">
        <v>45101</v>
      </c>
      <c r="C286" s="47">
        <f>EOMONTH(Table2[[#This Row],[OrderDate]],-1)+1</f>
        <v>45078</v>
      </c>
      <c r="D286" s="45">
        <f>EOMONTH(_xlfn.MINIFS(B286:B916,M286:M916,Table2[[#This Row],[Country]]), -1) + 1</f>
        <v>44986</v>
      </c>
      <c r="E286" s="47"/>
      <c r="F286" s="32" t="str">
        <f>"Q"&amp;ROUNDUP(MONTH(B286)/3,0)&amp;"-"&amp;YEAR(B286)</f>
        <v>Q2-2023</v>
      </c>
      <c r="G286" s="32">
        <v>45128</v>
      </c>
      <c r="H286" s="32">
        <f>IF(G286&lt;B286, B286+3, G286)</f>
        <v>45128</v>
      </c>
      <c r="I286" s="33">
        <f>H286-B286</f>
        <v>27</v>
      </c>
      <c r="J286" s="33">
        <f t="shared" si="24"/>
        <v>0</v>
      </c>
      <c r="K286" s="33">
        <f t="shared" si="25"/>
        <v>0</v>
      </c>
      <c r="L286" s="34" t="s">
        <v>647</v>
      </c>
      <c r="M286" s="34" t="s">
        <v>652</v>
      </c>
      <c r="N286" s="34" t="s">
        <v>694</v>
      </c>
      <c r="O286" s="34" t="s">
        <v>704</v>
      </c>
      <c r="P286" s="34" t="s">
        <v>709</v>
      </c>
      <c r="Q286" s="34" t="s">
        <v>713</v>
      </c>
      <c r="R286" s="34" t="s">
        <v>730</v>
      </c>
      <c r="S286" s="34" t="s">
        <v>1019</v>
      </c>
      <c r="T286" s="35">
        <v>554.76</v>
      </c>
      <c r="U286" s="35">
        <v>728.69</v>
      </c>
      <c r="V286" s="35">
        <f t="shared" si="26"/>
        <v>0.22</v>
      </c>
      <c r="W286" s="35">
        <v>0.22</v>
      </c>
      <c r="X286" s="33">
        <f>IF(Table2[[#This Row],[DiscountPct]]&gt;0.2,1,0)</f>
        <v>1</v>
      </c>
      <c r="Y286" s="33">
        <v>7</v>
      </c>
      <c r="Z286" s="30">
        <f>Table2[[#This Row],[UnitPrice]]*Y286*(1-V286)</f>
        <v>3978.6474000000003</v>
      </c>
      <c r="AA286" s="31">
        <f>T286*Y286</f>
        <v>3883.3199999999997</v>
      </c>
      <c r="AB286" s="31">
        <f t="shared" si="27"/>
        <v>95.32740000000058</v>
      </c>
      <c r="AC286" s="31">
        <f t="shared" si="28"/>
        <v>2.395975074343119E-2</v>
      </c>
      <c r="AD286" s="31" t="e">
        <f>_xlfn.PERCENTILE.INC(S:S, 0.33)</f>
        <v>#NUM!</v>
      </c>
      <c r="AE286" s="31" t="e">
        <f>_xlfn.PERCENTILE.INC(S:S, 0.66)</f>
        <v>#NUM!</v>
      </c>
      <c r="AF286" s="30" t="e">
        <f t="shared" si="29"/>
        <v>#NUM!</v>
      </c>
    </row>
    <row r="287" spans="1:32" x14ac:dyDescent="0.3">
      <c r="A287" s="2" t="s">
        <v>300</v>
      </c>
      <c r="B287" s="4">
        <v>45751</v>
      </c>
      <c r="C287" s="46">
        <f>EOMONTH(Table2[[#This Row],[OrderDate]],-1)+1</f>
        <v>45748</v>
      </c>
      <c r="D287" s="45">
        <f>EOMONTH(_xlfn.MINIFS(B287:B917,M287:M917,Table2[[#This Row],[Country]]), -1) + 1</f>
        <v>44927</v>
      </c>
      <c r="E287" s="46"/>
      <c r="F287" s="4" t="str">
        <f>"Q"&amp;ROUNDUP(MONTH(B287)/3,0)&amp;"-"&amp;YEAR(B287)</f>
        <v>Q2-2025</v>
      </c>
      <c r="G287" s="4">
        <v>45760</v>
      </c>
      <c r="H287" s="4">
        <f>IF(G287&lt;B287, B287+3, G287)</f>
        <v>45760</v>
      </c>
      <c r="I287" s="10">
        <f>H287-B287</f>
        <v>9</v>
      </c>
      <c r="J287" s="10">
        <f t="shared" si="24"/>
        <v>0</v>
      </c>
      <c r="K287" s="10">
        <f t="shared" si="25"/>
        <v>0</v>
      </c>
      <c r="L287" s="6" t="s">
        <v>649</v>
      </c>
      <c r="M287" s="6" t="s">
        <v>656</v>
      </c>
      <c r="N287" s="6" t="s">
        <v>684</v>
      </c>
      <c r="O287" s="6" t="s">
        <v>704</v>
      </c>
      <c r="P287" s="6" t="s">
        <v>709</v>
      </c>
      <c r="Q287" s="6" t="s">
        <v>721</v>
      </c>
      <c r="R287" s="6" t="s">
        <v>730</v>
      </c>
      <c r="S287" s="6" t="s">
        <v>1020</v>
      </c>
      <c r="T287" s="8">
        <v>7.02</v>
      </c>
      <c r="U287" s="8">
        <v>6.28</v>
      </c>
      <c r="V287" s="8">
        <f t="shared" si="26"/>
        <v>0.13400000000000001</v>
      </c>
      <c r="W287" s="8">
        <v>0.13400000000000001</v>
      </c>
      <c r="X287" s="10">
        <f>IF(Table2[[#This Row],[DiscountPct]]&gt;0.2,1,0)</f>
        <v>0</v>
      </c>
      <c r="Y287" s="10">
        <v>14</v>
      </c>
      <c r="Z287" s="30">
        <f>Table2[[#This Row],[UnitPrice]]*Y287*(1-V287)</f>
        <v>76.138720000000006</v>
      </c>
      <c r="AA287" s="2">
        <f>T287*Y287</f>
        <v>98.28</v>
      </c>
      <c r="AB287" s="2">
        <f t="shared" si="27"/>
        <v>-22.141279999999995</v>
      </c>
      <c r="AC287" s="2">
        <f t="shared" si="28"/>
        <v>-0.29080184169106066</v>
      </c>
      <c r="AD287" s="2" t="e">
        <f>_xlfn.PERCENTILE.INC(S:S, 0.33)</f>
        <v>#NUM!</v>
      </c>
      <c r="AE287" s="2" t="e">
        <f>_xlfn.PERCENTILE.INC(S:S, 0.66)</f>
        <v>#NUM!</v>
      </c>
      <c r="AF287" s="30" t="e">
        <f t="shared" si="29"/>
        <v>#NUM!</v>
      </c>
    </row>
    <row r="288" spans="1:32" x14ac:dyDescent="0.3">
      <c r="A288" s="31" t="s">
        <v>301</v>
      </c>
      <c r="B288" s="32">
        <v>45542</v>
      </c>
      <c r="C288" s="47">
        <f>EOMONTH(Table2[[#This Row],[OrderDate]],-1)+1</f>
        <v>45536</v>
      </c>
      <c r="D288" s="45">
        <f>EOMONTH(_xlfn.MINIFS(B288:B918,M288:M918,Table2[[#This Row],[Country]]), -1) + 1</f>
        <v>45047</v>
      </c>
      <c r="E288" s="47"/>
      <c r="F288" s="32" t="str">
        <f>"Q"&amp;ROUNDUP(MONTH(B288)/3,0)&amp;"-"&amp;YEAR(B288)</f>
        <v>Q3-2024</v>
      </c>
      <c r="G288" s="32">
        <v>45542</v>
      </c>
      <c r="H288" s="32">
        <f>IF(G288&lt;B288, B288+3, G288)</f>
        <v>45542</v>
      </c>
      <c r="I288" s="33">
        <f>H288-B288</f>
        <v>0</v>
      </c>
      <c r="J288" s="33">
        <f t="shared" si="24"/>
        <v>1</v>
      </c>
      <c r="K288" s="33">
        <f t="shared" si="25"/>
        <v>1</v>
      </c>
      <c r="L288" s="34" t="s">
        <v>647</v>
      </c>
      <c r="M288" s="34" t="s">
        <v>654</v>
      </c>
      <c r="N288" s="34" t="s">
        <v>691</v>
      </c>
      <c r="O288" s="34" t="s">
        <v>702</v>
      </c>
      <c r="P288" s="34" t="s">
        <v>710</v>
      </c>
      <c r="Q288" s="34" t="s">
        <v>717</v>
      </c>
      <c r="R288" s="34" t="s">
        <v>729</v>
      </c>
      <c r="S288" s="34" t="s">
        <v>1021</v>
      </c>
      <c r="T288" s="35">
        <v>1066.6500000000001</v>
      </c>
      <c r="U288" s="35">
        <v>2569.77</v>
      </c>
      <c r="V288" s="35">
        <f t="shared" si="26"/>
        <v>0.13400000000000001</v>
      </c>
      <c r="W288" s="35">
        <v>0.13400000000000001</v>
      </c>
      <c r="X288" s="33">
        <f>IF(Table2[[#This Row],[DiscountPct]]&gt;0.2,1,0)</f>
        <v>0</v>
      </c>
      <c r="Y288" s="33">
        <v>9</v>
      </c>
      <c r="Z288" s="30">
        <f>Table2[[#This Row],[UnitPrice]]*Y288*(1-V288)</f>
        <v>20028.787380000002</v>
      </c>
      <c r="AA288" s="31">
        <f>T288*Y288</f>
        <v>9599.85</v>
      </c>
      <c r="AB288" s="31">
        <f t="shared" si="27"/>
        <v>10428.937380000001</v>
      </c>
      <c r="AC288" s="31">
        <f t="shared" si="28"/>
        <v>0.52069739331368348</v>
      </c>
      <c r="AD288" s="31" t="e">
        <f>_xlfn.PERCENTILE.INC(S:S, 0.33)</f>
        <v>#NUM!</v>
      </c>
      <c r="AE288" s="31" t="e">
        <f>_xlfn.PERCENTILE.INC(S:S, 0.66)</f>
        <v>#NUM!</v>
      </c>
      <c r="AF288" s="30" t="e">
        <f t="shared" si="29"/>
        <v>#NUM!</v>
      </c>
    </row>
    <row r="289" spans="1:32" x14ac:dyDescent="0.3">
      <c r="A289" s="2" t="s">
        <v>302</v>
      </c>
      <c r="B289" s="4">
        <v>45319</v>
      </c>
      <c r="C289" s="46">
        <f>EOMONTH(Table2[[#This Row],[OrderDate]],-1)+1</f>
        <v>45292</v>
      </c>
      <c r="D289" s="45">
        <f>EOMONTH(_xlfn.MINIFS(B289:B919,M289:M919,Table2[[#This Row],[Country]]), -1) + 1</f>
        <v>44927</v>
      </c>
      <c r="E289" s="46"/>
      <c r="F289" s="4" t="str">
        <f>"Q"&amp;ROUNDUP(MONTH(B289)/3,0)&amp;"-"&amp;YEAR(B289)</f>
        <v>Q1-2024</v>
      </c>
      <c r="G289" s="4">
        <v>45321</v>
      </c>
      <c r="H289" s="4">
        <f>IF(G289&lt;B289, B289+3, G289)</f>
        <v>45321</v>
      </c>
      <c r="I289" s="10">
        <f>H289-B289</f>
        <v>2</v>
      </c>
      <c r="J289" s="10">
        <f t="shared" si="24"/>
        <v>1</v>
      </c>
      <c r="K289" s="10">
        <f t="shared" si="25"/>
        <v>1</v>
      </c>
      <c r="L289" s="6" t="s">
        <v>646</v>
      </c>
      <c r="M289" s="6" t="s">
        <v>661</v>
      </c>
      <c r="N289" s="6" t="s">
        <v>695</v>
      </c>
      <c r="O289" s="6" t="s">
        <v>704</v>
      </c>
      <c r="P289" s="6" t="s">
        <v>711</v>
      </c>
      <c r="Q289" s="6" t="s">
        <v>721</v>
      </c>
      <c r="R289" s="6" t="s">
        <v>733</v>
      </c>
      <c r="S289" s="6" t="s">
        <v>1022</v>
      </c>
      <c r="T289" s="8">
        <v>798.45</v>
      </c>
      <c r="U289" s="8">
        <v>1592.02</v>
      </c>
      <c r="V289" s="8">
        <f t="shared" si="26"/>
        <v>6.6000000000000003E-2</v>
      </c>
      <c r="W289" s="8">
        <v>6.6000000000000003E-2</v>
      </c>
      <c r="X289" s="10">
        <f>IF(Table2[[#This Row],[DiscountPct]]&gt;0.2,1,0)</f>
        <v>0</v>
      </c>
      <c r="Y289" s="10">
        <v>18</v>
      </c>
      <c r="Z289" s="30">
        <f>Table2[[#This Row],[UnitPrice]]*Y289*(1-V289)</f>
        <v>26765.040239999998</v>
      </c>
      <c r="AA289" s="2">
        <f>T289*Y289</f>
        <v>14372.1</v>
      </c>
      <c r="AB289" s="2">
        <f t="shared" si="27"/>
        <v>12392.940239999998</v>
      </c>
      <c r="AC289" s="2">
        <f t="shared" si="28"/>
        <v>0.46302714768494585</v>
      </c>
      <c r="AD289" s="2" t="e">
        <f>_xlfn.PERCENTILE.INC(S:S, 0.33)</f>
        <v>#NUM!</v>
      </c>
      <c r="AE289" s="2" t="e">
        <f>_xlfn.PERCENTILE.INC(S:S, 0.66)</f>
        <v>#NUM!</v>
      </c>
      <c r="AF289" s="30" t="e">
        <f t="shared" si="29"/>
        <v>#NUM!</v>
      </c>
    </row>
    <row r="290" spans="1:32" x14ac:dyDescent="0.3">
      <c r="A290" s="31" t="s">
        <v>303</v>
      </c>
      <c r="B290" s="32">
        <v>45125</v>
      </c>
      <c r="C290" s="47">
        <f>EOMONTH(Table2[[#This Row],[OrderDate]],-1)+1</f>
        <v>45108</v>
      </c>
      <c r="D290" s="45">
        <f>EOMONTH(_xlfn.MINIFS(B290:B920,M290:M920,Table2[[#This Row],[Country]]), -1) + 1</f>
        <v>44927</v>
      </c>
      <c r="E290" s="47"/>
      <c r="F290" s="32" t="str">
        <f>"Q"&amp;ROUNDUP(MONTH(B290)/3,0)&amp;"-"&amp;YEAR(B290)</f>
        <v>Q3-2023</v>
      </c>
      <c r="G290" s="32">
        <v>45148</v>
      </c>
      <c r="H290" s="32">
        <f>IF(G290&lt;B290, B290+3, G290)</f>
        <v>45148</v>
      </c>
      <c r="I290" s="33">
        <f>H290-B290</f>
        <v>23</v>
      </c>
      <c r="J290" s="33">
        <f t="shared" si="24"/>
        <v>0</v>
      </c>
      <c r="K290" s="33">
        <f t="shared" si="25"/>
        <v>0</v>
      </c>
      <c r="L290" s="34" t="s">
        <v>646</v>
      </c>
      <c r="M290" s="34" t="s">
        <v>661</v>
      </c>
      <c r="N290" s="34" t="s">
        <v>682</v>
      </c>
      <c r="O290" s="34" t="s">
        <v>705</v>
      </c>
      <c r="P290" s="34" t="s">
        <v>707</v>
      </c>
      <c r="Q290" s="34" t="s">
        <v>716</v>
      </c>
      <c r="R290" s="34" t="s">
        <v>727</v>
      </c>
      <c r="S290" s="34" t="s">
        <v>1023</v>
      </c>
      <c r="T290" s="35">
        <v>1271.56</v>
      </c>
      <c r="U290" s="35">
        <v>995.47</v>
      </c>
      <c r="V290" s="35">
        <f t="shared" si="26"/>
        <v>0.192</v>
      </c>
      <c r="W290" s="35">
        <v>0.192</v>
      </c>
      <c r="X290" s="33">
        <f>IF(Table2[[#This Row],[DiscountPct]]&gt;0.2,1,0)</f>
        <v>0</v>
      </c>
      <c r="Y290" s="33">
        <v>13</v>
      </c>
      <c r="Z290" s="30">
        <f>Table2[[#This Row],[UnitPrice]]*Y290*(1-V290)</f>
        <v>10456.416880000001</v>
      </c>
      <c r="AA290" s="31">
        <f>T290*Y290</f>
        <v>16530.28</v>
      </c>
      <c r="AB290" s="31">
        <f t="shared" si="27"/>
        <v>-6073.8631199999982</v>
      </c>
      <c r="AC290" s="31">
        <f t="shared" si="28"/>
        <v>-0.58087423155607754</v>
      </c>
      <c r="AD290" s="31" t="e">
        <f>_xlfn.PERCENTILE.INC(S:S, 0.33)</f>
        <v>#NUM!</v>
      </c>
      <c r="AE290" s="31" t="e">
        <f>_xlfn.PERCENTILE.INC(S:S, 0.66)</f>
        <v>#NUM!</v>
      </c>
      <c r="AF290" s="30" t="e">
        <f t="shared" si="29"/>
        <v>#NUM!</v>
      </c>
    </row>
    <row r="291" spans="1:32" x14ac:dyDescent="0.3">
      <c r="A291" s="2" t="s">
        <v>304</v>
      </c>
      <c r="B291" s="4">
        <v>45897</v>
      </c>
      <c r="C291" s="46">
        <f>EOMONTH(Table2[[#This Row],[OrderDate]],-1)+1</f>
        <v>45870</v>
      </c>
      <c r="D291" s="45">
        <f>EOMONTH(_xlfn.MINIFS(B291:B921,M291:M921,Table2[[#This Row],[Country]]), -1) + 1</f>
        <v>44958</v>
      </c>
      <c r="E291" s="46"/>
      <c r="F291" s="4" t="str">
        <f>"Q"&amp;ROUNDUP(MONTH(B291)/3,0)&amp;"-"&amp;YEAR(B291)</f>
        <v>Q3-2025</v>
      </c>
      <c r="G291" s="4">
        <v>45895</v>
      </c>
      <c r="H291" s="4">
        <f>IF(G291&lt;B291, B291+3, G291)</f>
        <v>45900</v>
      </c>
      <c r="I291" s="10">
        <f>H291-B291</f>
        <v>3</v>
      </c>
      <c r="J291" s="10">
        <f t="shared" si="24"/>
        <v>1</v>
      </c>
      <c r="K291" s="10">
        <f t="shared" si="25"/>
        <v>1</v>
      </c>
      <c r="L291" s="6" t="s">
        <v>646</v>
      </c>
      <c r="M291" s="6" t="s">
        <v>651</v>
      </c>
      <c r="N291" s="6" t="s">
        <v>663</v>
      </c>
      <c r="O291" s="6" t="s">
        <v>705</v>
      </c>
      <c r="P291" s="6" t="s">
        <v>707</v>
      </c>
      <c r="Q291" s="6" t="s">
        <v>720</v>
      </c>
      <c r="R291" s="6" t="s">
        <v>733</v>
      </c>
      <c r="S291" s="6" t="s">
        <v>1024</v>
      </c>
      <c r="T291" s="8">
        <v>521.05999999999995</v>
      </c>
      <c r="U291" s="8">
        <v>1240.31</v>
      </c>
      <c r="V291" s="8">
        <f t="shared" si="26"/>
        <v>0.14599999999999999</v>
      </c>
      <c r="W291" s="8">
        <v>0.14599999999999999</v>
      </c>
      <c r="X291" s="10">
        <f>IF(Table2[[#This Row],[DiscountPct]]&gt;0.2,1,0)</f>
        <v>0</v>
      </c>
      <c r="Y291" s="10">
        <v>18</v>
      </c>
      <c r="Z291" s="30">
        <f>Table2[[#This Row],[UnitPrice]]*Y291*(1-V291)</f>
        <v>19066.045319999997</v>
      </c>
      <c r="AA291" s="2">
        <f>T291*Y291</f>
        <v>9379.0799999999981</v>
      </c>
      <c r="AB291" s="2">
        <f t="shared" si="27"/>
        <v>9686.9653199999993</v>
      </c>
      <c r="AC291" s="2">
        <f t="shared" si="28"/>
        <v>0.50807417885650974</v>
      </c>
      <c r="AD291" s="2" t="e">
        <f>_xlfn.PERCENTILE.INC(S:S, 0.33)</f>
        <v>#NUM!</v>
      </c>
      <c r="AE291" s="2" t="e">
        <f>_xlfn.PERCENTILE.INC(S:S, 0.66)</f>
        <v>#NUM!</v>
      </c>
      <c r="AF291" s="30" t="e">
        <f t="shared" si="29"/>
        <v>#NUM!</v>
      </c>
    </row>
    <row r="292" spans="1:32" x14ac:dyDescent="0.3">
      <c r="A292" s="31" t="s">
        <v>305</v>
      </c>
      <c r="B292" s="32">
        <v>45746</v>
      </c>
      <c r="C292" s="47">
        <f>EOMONTH(Table2[[#This Row],[OrderDate]],-1)+1</f>
        <v>45717</v>
      </c>
      <c r="D292" s="45">
        <f>EOMONTH(_xlfn.MINIFS(B292:B922,M292:M922,Table2[[#This Row],[Country]]), -1) + 1</f>
        <v>44927</v>
      </c>
      <c r="E292" s="47"/>
      <c r="F292" s="32" t="str">
        <f>"Q"&amp;ROUNDUP(MONTH(B292)/3,0)&amp;"-"&amp;YEAR(B292)</f>
        <v>Q1-2025</v>
      </c>
      <c r="G292" s="32">
        <v>45754</v>
      </c>
      <c r="H292" s="32">
        <f>IF(G292&lt;B292, B292+3, G292)</f>
        <v>45754</v>
      </c>
      <c r="I292" s="33">
        <f>H292-B292</f>
        <v>8</v>
      </c>
      <c r="J292" s="33">
        <f t="shared" si="24"/>
        <v>0</v>
      </c>
      <c r="K292" s="33">
        <f t="shared" si="25"/>
        <v>0</v>
      </c>
      <c r="L292" s="34" t="s">
        <v>648</v>
      </c>
      <c r="M292" s="34" t="s">
        <v>655</v>
      </c>
      <c r="N292" s="34" t="s">
        <v>670</v>
      </c>
      <c r="O292" s="34" t="s">
        <v>703</v>
      </c>
      <c r="P292" s="34" t="s">
        <v>711</v>
      </c>
      <c r="Q292" s="34" t="s">
        <v>716</v>
      </c>
      <c r="R292" s="34" t="s">
        <v>728</v>
      </c>
      <c r="S292" s="34" t="s">
        <v>1025</v>
      </c>
      <c r="T292" s="35">
        <v>71.62</v>
      </c>
      <c r="U292" s="35">
        <v>118.37</v>
      </c>
      <c r="V292" s="35">
        <f t="shared" si="26"/>
        <v>0.156</v>
      </c>
      <c r="W292" s="35">
        <v>0.156</v>
      </c>
      <c r="X292" s="33">
        <f>IF(Table2[[#This Row],[DiscountPct]]&gt;0.2,1,0)</f>
        <v>0</v>
      </c>
      <c r="Y292" s="33">
        <v>11</v>
      </c>
      <c r="Z292" s="30">
        <f>Table2[[#This Row],[UnitPrice]]*Y292*(1-V292)</f>
        <v>1098.9470800000001</v>
      </c>
      <c r="AA292" s="31">
        <f>T292*Y292</f>
        <v>787.82</v>
      </c>
      <c r="AB292" s="31">
        <f t="shared" si="27"/>
        <v>311.12708000000009</v>
      </c>
      <c r="AC292" s="31">
        <f t="shared" si="28"/>
        <v>0.28311379652603474</v>
      </c>
      <c r="AD292" s="31" t="e">
        <f>_xlfn.PERCENTILE.INC(S:S, 0.33)</f>
        <v>#NUM!</v>
      </c>
      <c r="AE292" s="31" t="e">
        <f>_xlfn.PERCENTILE.INC(S:S, 0.66)</f>
        <v>#NUM!</v>
      </c>
      <c r="AF292" s="30" t="e">
        <f t="shared" si="29"/>
        <v>#NUM!</v>
      </c>
    </row>
    <row r="293" spans="1:32" x14ac:dyDescent="0.3">
      <c r="A293" s="2" t="s">
        <v>306</v>
      </c>
      <c r="B293" s="4">
        <v>45220</v>
      </c>
      <c r="C293" s="46">
        <f>EOMONTH(Table2[[#This Row],[OrderDate]],-1)+1</f>
        <v>45200</v>
      </c>
      <c r="D293" s="45">
        <f>EOMONTH(_xlfn.MINIFS(B293:B923,M293:M923,Table2[[#This Row],[Country]]), -1) + 1</f>
        <v>44927</v>
      </c>
      <c r="E293" s="46"/>
      <c r="F293" s="4" t="str">
        <f>"Q"&amp;ROUNDUP(MONTH(B293)/3,0)&amp;"-"&amp;YEAR(B293)</f>
        <v>Q4-2023</v>
      </c>
      <c r="G293" s="4">
        <v>45239</v>
      </c>
      <c r="H293" s="4">
        <f>IF(G293&lt;B293, B293+3, G293)</f>
        <v>45239</v>
      </c>
      <c r="I293" s="10">
        <f>H293-B293</f>
        <v>19</v>
      </c>
      <c r="J293" s="10">
        <f t="shared" si="24"/>
        <v>0</v>
      </c>
      <c r="K293" s="10">
        <f t="shared" si="25"/>
        <v>0</v>
      </c>
      <c r="L293" s="6" t="s">
        <v>649</v>
      </c>
      <c r="M293" s="6" t="s">
        <v>658</v>
      </c>
      <c r="N293" s="6" t="s">
        <v>683</v>
      </c>
      <c r="O293" s="6" t="s">
        <v>703</v>
      </c>
      <c r="P293" s="6" t="s">
        <v>711</v>
      </c>
      <c r="Q293" s="6" t="s">
        <v>720</v>
      </c>
      <c r="R293" s="6" t="s">
        <v>733</v>
      </c>
      <c r="S293" s="6" t="s">
        <v>1026</v>
      </c>
      <c r="T293" s="8">
        <v>1142.48</v>
      </c>
      <c r="U293" s="8">
        <v>2105.5300000000002</v>
      </c>
      <c r="V293" s="8">
        <f t="shared" si="26"/>
        <v>0.20699999999999999</v>
      </c>
      <c r="W293" s="8">
        <v>0.20699999999999999</v>
      </c>
      <c r="X293" s="10">
        <f>IF(Table2[[#This Row],[DiscountPct]]&gt;0.2,1,0)</f>
        <v>1</v>
      </c>
      <c r="Y293" s="10">
        <v>14</v>
      </c>
      <c r="Z293" s="30">
        <f>Table2[[#This Row],[UnitPrice]]*Y293*(1-V293)</f>
        <v>23375.594060000003</v>
      </c>
      <c r="AA293" s="2">
        <f>T293*Y293</f>
        <v>15994.720000000001</v>
      </c>
      <c r="AB293" s="2">
        <f t="shared" si="27"/>
        <v>7380.8740600000019</v>
      </c>
      <c r="AC293" s="2">
        <f t="shared" si="28"/>
        <v>0.31575129346680658</v>
      </c>
      <c r="AD293" s="2" t="e">
        <f>_xlfn.PERCENTILE.INC(S:S, 0.33)</f>
        <v>#NUM!</v>
      </c>
      <c r="AE293" s="2" t="e">
        <f>_xlfn.PERCENTILE.INC(S:S, 0.66)</f>
        <v>#NUM!</v>
      </c>
      <c r="AF293" s="30" t="e">
        <f t="shared" si="29"/>
        <v>#NUM!</v>
      </c>
    </row>
    <row r="294" spans="1:32" x14ac:dyDescent="0.3">
      <c r="A294" s="31" t="s">
        <v>307</v>
      </c>
      <c r="B294" s="32">
        <v>45161</v>
      </c>
      <c r="C294" s="47">
        <f>EOMONTH(Table2[[#This Row],[OrderDate]],-1)+1</f>
        <v>45139</v>
      </c>
      <c r="D294" s="45">
        <f>EOMONTH(_xlfn.MINIFS(B294:B924,M294:M924,Table2[[#This Row],[Country]]), -1) + 1</f>
        <v>44927</v>
      </c>
      <c r="E294" s="47"/>
      <c r="F294" s="32" t="str">
        <f>"Q"&amp;ROUNDUP(MONTH(B294)/3,0)&amp;"-"&amp;YEAR(B294)</f>
        <v>Q3-2023</v>
      </c>
      <c r="G294" s="32">
        <v>45191</v>
      </c>
      <c r="H294" s="32">
        <f>IF(G294&lt;B294, B294+3, G294)</f>
        <v>45191</v>
      </c>
      <c r="I294" s="33">
        <f>H294-B294</f>
        <v>30</v>
      </c>
      <c r="J294" s="33">
        <f t="shared" si="24"/>
        <v>0</v>
      </c>
      <c r="K294" s="33">
        <f t="shared" si="25"/>
        <v>0</v>
      </c>
      <c r="L294" s="34" t="s">
        <v>649</v>
      </c>
      <c r="M294" s="34" t="s">
        <v>658</v>
      </c>
      <c r="N294" s="34" t="s">
        <v>683</v>
      </c>
      <c r="O294" s="34" t="s">
        <v>704</v>
      </c>
      <c r="P294" s="34" t="s">
        <v>710</v>
      </c>
      <c r="Q294" s="34" t="s">
        <v>719</v>
      </c>
      <c r="R294" s="34" t="s">
        <v>733</v>
      </c>
      <c r="S294" s="34" t="s">
        <v>1027</v>
      </c>
      <c r="T294" s="35">
        <v>209.81</v>
      </c>
      <c r="U294" s="35">
        <v>523</v>
      </c>
      <c r="V294" s="35">
        <f t="shared" si="26"/>
        <v>5.8999999999999997E-2</v>
      </c>
      <c r="W294" s="35">
        <v>5.8999999999999997E-2</v>
      </c>
      <c r="X294" s="33">
        <f>IF(Table2[[#This Row],[DiscountPct]]&gt;0.2,1,0)</f>
        <v>0</v>
      </c>
      <c r="Y294" s="33">
        <v>15</v>
      </c>
      <c r="Z294" s="30">
        <f>Table2[[#This Row],[UnitPrice]]*Y294*(1-V294)</f>
        <v>7382.1450000000004</v>
      </c>
      <c r="AA294" s="31">
        <f>T294*Y294</f>
        <v>3147.15</v>
      </c>
      <c r="AB294" s="31">
        <f t="shared" si="27"/>
        <v>4234.9950000000008</v>
      </c>
      <c r="AC294" s="31">
        <f t="shared" si="28"/>
        <v>0.57368082041195356</v>
      </c>
      <c r="AD294" s="31" t="e">
        <f>_xlfn.PERCENTILE.INC(S:S, 0.33)</f>
        <v>#NUM!</v>
      </c>
      <c r="AE294" s="31" t="e">
        <f>_xlfn.PERCENTILE.INC(S:S, 0.66)</f>
        <v>#NUM!</v>
      </c>
      <c r="AF294" s="30" t="e">
        <f t="shared" si="29"/>
        <v>#NUM!</v>
      </c>
    </row>
    <row r="295" spans="1:32" x14ac:dyDescent="0.3">
      <c r="A295" s="2" t="s">
        <v>308</v>
      </c>
      <c r="B295" s="4">
        <v>45758</v>
      </c>
      <c r="C295" s="46">
        <f>EOMONTH(Table2[[#This Row],[OrderDate]],-1)+1</f>
        <v>45748</v>
      </c>
      <c r="D295" s="45">
        <f>EOMONTH(_xlfn.MINIFS(B295:B925,M295:M925,Table2[[#This Row],[Country]]), -1) + 1</f>
        <v>44986</v>
      </c>
      <c r="E295" s="46"/>
      <c r="F295" s="4" t="str">
        <f>"Q"&amp;ROUNDUP(MONTH(B295)/3,0)&amp;"-"&amp;YEAR(B295)</f>
        <v>Q2-2025</v>
      </c>
      <c r="G295" s="4">
        <v>45781</v>
      </c>
      <c r="H295" s="4">
        <f>IF(G295&lt;B295, B295+3, G295)</f>
        <v>45781</v>
      </c>
      <c r="I295" s="10">
        <f>H295-B295</f>
        <v>23</v>
      </c>
      <c r="J295" s="10">
        <f t="shared" si="24"/>
        <v>0</v>
      </c>
      <c r="K295" s="10">
        <f t="shared" si="25"/>
        <v>0</v>
      </c>
      <c r="L295" s="6" t="s">
        <v>647</v>
      </c>
      <c r="M295" s="6" t="s">
        <v>652</v>
      </c>
      <c r="N295" s="6" t="s">
        <v>666</v>
      </c>
      <c r="O295" s="6" t="s">
        <v>705</v>
      </c>
      <c r="P295" s="6" t="s">
        <v>708</v>
      </c>
      <c r="Q295" s="6" t="s">
        <v>724</v>
      </c>
      <c r="R295" s="6" t="s">
        <v>727</v>
      </c>
      <c r="S295" s="6" t="s">
        <v>1028</v>
      </c>
      <c r="T295" s="8">
        <v>786.2</v>
      </c>
      <c r="U295" s="8">
        <v>1075.3</v>
      </c>
      <c r="V295" s="8">
        <f t="shared" si="26"/>
        <v>0.08</v>
      </c>
      <c r="W295" s="8">
        <v>0.08</v>
      </c>
      <c r="X295" s="10">
        <f>IF(Table2[[#This Row],[DiscountPct]]&gt;0.2,1,0)</f>
        <v>0</v>
      </c>
      <c r="Y295" s="10">
        <v>9</v>
      </c>
      <c r="Z295" s="30">
        <f>Table2[[#This Row],[UnitPrice]]*Y295*(1-V295)</f>
        <v>8903.4839999999986</v>
      </c>
      <c r="AA295" s="2">
        <f>T295*Y295</f>
        <v>7075.8</v>
      </c>
      <c r="AB295" s="2">
        <f t="shared" si="27"/>
        <v>1827.6839999999984</v>
      </c>
      <c r="AC295" s="2">
        <f t="shared" si="28"/>
        <v>0.20527739478163815</v>
      </c>
      <c r="AD295" s="2" t="e">
        <f>_xlfn.PERCENTILE.INC(S:S, 0.33)</f>
        <v>#NUM!</v>
      </c>
      <c r="AE295" s="2" t="e">
        <f>_xlfn.PERCENTILE.INC(S:S, 0.66)</f>
        <v>#NUM!</v>
      </c>
      <c r="AF295" s="30" t="e">
        <f t="shared" si="29"/>
        <v>#NUM!</v>
      </c>
    </row>
    <row r="296" spans="1:32" x14ac:dyDescent="0.3">
      <c r="A296" s="31" t="s">
        <v>309</v>
      </c>
      <c r="B296" s="32">
        <v>45809</v>
      </c>
      <c r="C296" s="47">
        <f>EOMONTH(Table2[[#This Row],[OrderDate]],-1)+1</f>
        <v>45809</v>
      </c>
      <c r="D296" s="45">
        <f>EOMONTH(_xlfn.MINIFS(B296:B926,M296:M926,Table2[[#This Row],[Country]]), -1) + 1</f>
        <v>44927</v>
      </c>
      <c r="E296" s="47"/>
      <c r="F296" s="32" t="str">
        <f>"Q"&amp;ROUNDUP(MONTH(B296)/3,0)&amp;"-"&amp;YEAR(B296)</f>
        <v>Q2-2025</v>
      </c>
      <c r="G296" s="32">
        <v>45835</v>
      </c>
      <c r="H296" s="32">
        <f>IF(G296&lt;B296, B296+3, G296)</f>
        <v>45835</v>
      </c>
      <c r="I296" s="33">
        <f>H296-B296</f>
        <v>26</v>
      </c>
      <c r="J296" s="33">
        <f t="shared" si="24"/>
        <v>0</v>
      </c>
      <c r="K296" s="33">
        <f t="shared" si="25"/>
        <v>0</v>
      </c>
      <c r="L296" s="34" t="s">
        <v>649</v>
      </c>
      <c r="M296" s="34" t="s">
        <v>656</v>
      </c>
      <c r="N296" s="34" t="s">
        <v>684</v>
      </c>
      <c r="O296" s="34" t="s">
        <v>704</v>
      </c>
      <c r="P296" s="34" t="s">
        <v>710</v>
      </c>
      <c r="Q296" s="34" t="s">
        <v>718</v>
      </c>
      <c r="R296" s="34" t="s">
        <v>731</v>
      </c>
      <c r="S296" s="34" t="s">
        <v>1029</v>
      </c>
      <c r="T296" s="35">
        <v>1362.31</v>
      </c>
      <c r="U296" s="35">
        <v>3294.57</v>
      </c>
      <c r="V296" s="35">
        <f t="shared" si="26"/>
        <v>0.113</v>
      </c>
      <c r="W296" s="35">
        <v>0.113</v>
      </c>
      <c r="X296" s="33">
        <f>IF(Table2[[#This Row],[DiscountPct]]&gt;0.2,1,0)</f>
        <v>0</v>
      </c>
      <c r="Y296" s="33">
        <v>7</v>
      </c>
      <c r="Z296" s="30">
        <f>Table2[[#This Row],[UnitPrice]]*Y296*(1-V296)</f>
        <v>20455.985130000001</v>
      </c>
      <c r="AA296" s="31">
        <f>T296*Y296</f>
        <v>9536.17</v>
      </c>
      <c r="AB296" s="31">
        <f t="shared" si="27"/>
        <v>10919.815130000001</v>
      </c>
      <c r="AC296" s="31">
        <f t="shared" si="28"/>
        <v>0.5338200561157721</v>
      </c>
      <c r="AD296" s="31" t="e">
        <f>_xlfn.PERCENTILE.INC(S:S, 0.33)</f>
        <v>#NUM!</v>
      </c>
      <c r="AE296" s="31" t="e">
        <f>_xlfn.PERCENTILE.INC(S:S, 0.66)</f>
        <v>#NUM!</v>
      </c>
      <c r="AF296" s="30" t="e">
        <f t="shared" si="29"/>
        <v>#NUM!</v>
      </c>
    </row>
    <row r="297" spans="1:32" x14ac:dyDescent="0.3">
      <c r="A297" s="2" t="s">
        <v>310</v>
      </c>
      <c r="B297" s="4">
        <v>45353</v>
      </c>
      <c r="C297" s="46">
        <f>EOMONTH(Table2[[#This Row],[OrderDate]],-1)+1</f>
        <v>45352</v>
      </c>
      <c r="D297" s="45">
        <f>EOMONTH(_xlfn.MINIFS(B297:B927,M297:M927,Table2[[#This Row],[Country]]), -1) + 1</f>
        <v>45017</v>
      </c>
      <c r="E297" s="46"/>
      <c r="F297" s="4" t="str">
        <f>"Q"&amp;ROUNDUP(MONTH(B297)/3,0)&amp;"-"&amp;YEAR(B297)</f>
        <v>Q1-2024</v>
      </c>
      <c r="G297" s="4">
        <v>45367</v>
      </c>
      <c r="H297" s="4">
        <f>IF(G297&lt;B297, B297+3, G297)</f>
        <v>45367</v>
      </c>
      <c r="I297" s="10">
        <f>H297-B297</f>
        <v>14</v>
      </c>
      <c r="J297" s="10">
        <f t="shared" si="24"/>
        <v>0</v>
      </c>
      <c r="K297" s="10">
        <f t="shared" si="25"/>
        <v>0</v>
      </c>
      <c r="L297" s="6" t="s">
        <v>648</v>
      </c>
      <c r="M297" s="6" t="s">
        <v>653</v>
      </c>
      <c r="N297" s="6" t="s">
        <v>688</v>
      </c>
      <c r="O297" s="6" t="s">
        <v>703</v>
      </c>
      <c r="P297" s="6" t="s">
        <v>711</v>
      </c>
      <c r="Q297" s="6" t="s">
        <v>719</v>
      </c>
      <c r="R297" s="6" t="s">
        <v>728</v>
      </c>
      <c r="S297" s="6" t="s">
        <v>1030</v>
      </c>
      <c r="T297" s="8">
        <v>248.24</v>
      </c>
      <c r="U297" s="8">
        <v>464.05</v>
      </c>
      <c r="V297" s="8">
        <f t="shared" si="26"/>
        <v>0.16900000000000001</v>
      </c>
      <c r="W297" s="8">
        <v>0.16900000000000001</v>
      </c>
      <c r="X297" s="10">
        <f>IF(Table2[[#This Row],[DiscountPct]]&gt;0.2,1,0)</f>
        <v>0</v>
      </c>
      <c r="Y297" s="10">
        <v>11</v>
      </c>
      <c r="Z297" s="30">
        <f>Table2[[#This Row],[UnitPrice]]*Y297*(1-V297)</f>
        <v>4241.88105</v>
      </c>
      <c r="AA297" s="2">
        <f>T297*Y297</f>
        <v>2730.6400000000003</v>
      </c>
      <c r="AB297" s="2">
        <f t="shared" si="27"/>
        <v>1511.2410499999996</v>
      </c>
      <c r="AC297" s="2">
        <f t="shared" si="28"/>
        <v>0.3562667203975462</v>
      </c>
      <c r="AD297" s="2" t="e">
        <f>_xlfn.PERCENTILE.INC(S:S, 0.33)</f>
        <v>#NUM!</v>
      </c>
      <c r="AE297" s="2" t="e">
        <f>_xlfn.PERCENTILE.INC(S:S, 0.66)</f>
        <v>#NUM!</v>
      </c>
      <c r="AF297" s="30" t="e">
        <f t="shared" si="29"/>
        <v>#NUM!</v>
      </c>
    </row>
    <row r="298" spans="1:32" x14ac:dyDescent="0.3">
      <c r="A298" s="31" t="s">
        <v>311</v>
      </c>
      <c r="B298" s="32">
        <v>45097</v>
      </c>
      <c r="C298" s="47">
        <f>EOMONTH(Table2[[#This Row],[OrderDate]],-1)+1</f>
        <v>45078</v>
      </c>
      <c r="D298" s="45">
        <f>EOMONTH(_xlfn.MINIFS(B298:B928,M298:M928,Table2[[#This Row],[Country]]), -1) + 1</f>
        <v>44958</v>
      </c>
      <c r="E298" s="47"/>
      <c r="F298" s="32" t="str">
        <f>"Q"&amp;ROUNDUP(MONTH(B298)/3,0)&amp;"-"&amp;YEAR(B298)</f>
        <v>Q2-2023</v>
      </c>
      <c r="G298" s="32">
        <v>45115</v>
      </c>
      <c r="H298" s="32">
        <f>IF(G298&lt;B298, B298+3, G298)</f>
        <v>45115</v>
      </c>
      <c r="I298" s="33">
        <f>H298-B298</f>
        <v>18</v>
      </c>
      <c r="J298" s="33">
        <f t="shared" si="24"/>
        <v>0</v>
      </c>
      <c r="K298" s="33">
        <f t="shared" si="25"/>
        <v>0</v>
      </c>
      <c r="L298" s="34" t="s">
        <v>648</v>
      </c>
      <c r="M298" s="34" t="s">
        <v>660</v>
      </c>
      <c r="N298" s="34" t="s">
        <v>697</v>
      </c>
      <c r="O298" s="34" t="s">
        <v>703</v>
      </c>
      <c r="P298" s="34" t="s">
        <v>711</v>
      </c>
      <c r="Q298" s="34" t="s">
        <v>721</v>
      </c>
      <c r="R298" s="34" t="s">
        <v>732</v>
      </c>
      <c r="S298" s="34" t="s">
        <v>1031</v>
      </c>
      <c r="T298" s="35">
        <v>337</v>
      </c>
      <c r="U298" s="35">
        <v>511.03</v>
      </c>
      <c r="V298" s="35">
        <f t="shared" si="26"/>
        <v>0.108</v>
      </c>
      <c r="W298" s="35">
        <v>0.108</v>
      </c>
      <c r="X298" s="33">
        <f>IF(Table2[[#This Row],[DiscountPct]]&gt;0.2,1,0)</f>
        <v>0</v>
      </c>
      <c r="Y298" s="33">
        <v>7</v>
      </c>
      <c r="Z298" s="30">
        <f>Table2[[#This Row],[UnitPrice]]*Y298*(1-V298)</f>
        <v>3190.8713200000002</v>
      </c>
      <c r="AA298" s="31">
        <f>T298*Y298</f>
        <v>2359</v>
      </c>
      <c r="AB298" s="31">
        <f t="shared" si="27"/>
        <v>831.8713200000002</v>
      </c>
      <c r="AC298" s="31">
        <f t="shared" si="28"/>
        <v>0.26070349963219458</v>
      </c>
      <c r="AD298" s="31" t="e">
        <f>_xlfn.PERCENTILE.INC(S:S, 0.33)</f>
        <v>#NUM!</v>
      </c>
      <c r="AE298" s="31" t="e">
        <f>_xlfn.PERCENTILE.INC(S:S, 0.66)</f>
        <v>#NUM!</v>
      </c>
      <c r="AF298" s="30" t="e">
        <f t="shared" si="29"/>
        <v>#NUM!</v>
      </c>
    </row>
    <row r="299" spans="1:32" x14ac:dyDescent="0.3">
      <c r="A299" s="2" t="s">
        <v>312</v>
      </c>
      <c r="B299" s="4">
        <v>45377</v>
      </c>
      <c r="C299" s="46">
        <f>EOMONTH(Table2[[#This Row],[OrderDate]],-1)+1</f>
        <v>45352</v>
      </c>
      <c r="D299" s="45">
        <f>EOMONTH(_xlfn.MINIFS(B299:B929,M299:M929,Table2[[#This Row],[Country]]), -1) + 1</f>
        <v>44958</v>
      </c>
      <c r="E299" s="46"/>
      <c r="F299" s="4" t="str">
        <f>"Q"&amp;ROUNDUP(MONTH(B299)/3,0)&amp;"-"&amp;YEAR(B299)</f>
        <v>Q1-2024</v>
      </c>
      <c r="G299" s="4">
        <v>45387</v>
      </c>
      <c r="H299" s="4">
        <f>IF(G299&lt;B299, B299+3, G299)</f>
        <v>45387</v>
      </c>
      <c r="I299" s="10">
        <f>H299-B299</f>
        <v>10</v>
      </c>
      <c r="J299" s="10">
        <f t="shared" si="24"/>
        <v>0</v>
      </c>
      <c r="K299" s="10">
        <f t="shared" si="25"/>
        <v>0</v>
      </c>
      <c r="L299" s="6" t="s">
        <v>648</v>
      </c>
      <c r="M299" s="6" t="s">
        <v>660</v>
      </c>
      <c r="N299" s="6" t="s">
        <v>697</v>
      </c>
      <c r="O299" s="6" t="s">
        <v>704</v>
      </c>
      <c r="P299" s="6" t="s">
        <v>711</v>
      </c>
      <c r="Q299" s="6" t="s">
        <v>713</v>
      </c>
      <c r="R299" s="6" t="s">
        <v>732</v>
      </c>
      <c r="S299" s="6" t="s">
        <v>1032</v>
      </c>
      <c r="T299" s="8">
        <v>5.66</v>
      </c>
      <c r="U299" s="8">
        <v>4.22</v>
      </c>
      <c r="V299" s="8">
        <f t="shared" si="26"/>
        <v>0.11899999999999999</v>
      </c>
      <c r="W299" s="8">
        <v>0.11899999999999999</v>
      </c>
      <c r="X299" s="10">
        <f>IF(Table2[[#This Row],[DiscountPct]]&gt;0.2,1,0)</f>
        <v>0</v>
      </c>
      <c r="Y299" s="10">
        <v>18</v>
      </c>
      <c r="Z299" s="30">
        <f>Table2[[#This Row],[UnitPrice]]*Y299*(1-V299)</f>
        <v>66.920760000000001</v>
      </c>
      <c r="AA299" s="2">
        <f>T299*Y299</f>
        <v>101.88</v>
      </c>
      <c r="AB299" s="2">
        <f t="shared" si="27"/>
        <v>-34.959239999999994</v>
      </c>
      <c r="AC299" s="2">
        <f t="shared" si="28"/>
        <v>-0.52239753403876454</v>
      </c>
      <c r="AD299" s="2" t="e">
        <f>_xlfn.PERCENTILE.INC(S:S, 0.33)</f>
        <v>#NUM!</v>
      </c>
      <c r="AE299" s="2" t="e">
        <f>_xlfn.PERCENTILE.INC(S:S, 0.66)</f>
        <v>#NUM!</v>
      </c>
      <c r="AF299" s="30" t="e">
        <f t="shared" si="29"/>
        <v>#NUM!</v>
      </c>
    </row>
    <row r="300" spans="1:32" x14ac:dyDescent="0.3">
      <c r="A300" s="31" t="s">
        <v>313</v>
      </c>
      <c r="B300" s="32">
        <v>45679</v>
      </c>
      <c r="C300" s="47">
        <f>EOMONTH(Table2[[#This Row],[OrderDate]],-1)+1</f>
        <v>45658</v>
      </c>
      <c r="D300" s="45">
        <f>EOMONTH(_xlfn.MINIFS(B300:B930,M300:M930,Table2[[#This Row],[Country]]), -1) + 1</f>
        <v>44927</v>
      </c>
      <c r="E300" s="47"/>
      <c r="F300" s="32" t="str">
        <f>"Q"&amp;ROUNDUP(MONTH(B300)/3,0)&amp;"-"&amp;YEAR(B300)</f>
        <v>Q1-2025</v>
      </c>
      <c r="G300" s="32">
        <v>45679</v>
      </c>
      <c r="H300" s="32">
        <f>IF(G300&lt;B300, B300+3, G300)</f>
        <v>45679</v>
      </c>
      <c r="I300" s="33">
        <f>H300-B300</f>
        <v>0</v>
      </c>
      <c r="J300" s="33">
        <f t="shared" si="24"/>
        <v>1</v>
      </c>
      <c r="K300" s="33">
        <f t="shared" si="25"/>
        <v>1</v>
      </c>
      <c r="L300" s="34" t="s">
        <v>649</v>
      </c>
      <c r="M300" s="34" t="s">
        <v>657</v>
      </c>
      <c r="N300" s="34" t="s">
        <v>679</v>
      </c>
      <c r="O300" s="34" t="s">
        <v>705</v>
      </c>
      <c r="P300" s="34" t="s">
        <v>708</v>
      </c>
      <c r="Q300" s="34" t="s">
        <v>717</v>
      </c>
      <c r="R300" s="34" t="s">
        <v>733</v>
      </c>
      <c r="S300" s="34" t="s">
        <v>1033</v>
      </c>
      <c r="T300" s="35">
        <v>591.72</v>
      </c>
      <c r="U300" s="35">
        <v>577.24</v>
      </c>
      <c r="V300" s="35">
        <f t="shared" si="26"/>
        <v>0</v>
      </c>
      <c r="W300" s="35">
        <v>0</v>
      </c>
      <c r="X300" s="33">
        <f>IF(Table2[[#This Row],[DiscountPct]]&gt;0.2,1,0)</f>
        <v>0</v>
      </c>
      <c r="Y300" s="33">
        <v>22</v>
      </c>
      <c r="Z300" s="30">
        <f>Table2[[#This Row],[UnitPrice]]*Y300*(1-V300)</f>
        <v>12699.28</v>
      </c>
      <c r="AA300" s="31">
        <f>T300*Y300</f>
        <v>13017.84</v>
      </c>
      <c r="AB300" s="31">
        <f t="shared" si="27"/>
        <v>-318.55999999999949</v>
      </c>
      <c r="AC300" s="31">
        <f t="shared" si="28"/>
        <v>-2.5084886702238195E-2</v>
      </c>
      <c r="AD300" s="31" t="e">
        <f>_xlfn.PERCENTILE.INC(S:S, 0.33)</f>
        <v>#NUM!</v>
      </c>
      <c r="AE300" s="31" t="e">
        <f>_xlfn.PERCENTILE.INC(S:S, 0.66)</f>
        <v>#NUM!</v>
      </c>
      <c r="AF300" s="30" t="e">
        <f t="shared" si="29"/>
        <v>#NUM!</v>
      </c>
    </row>
    <row r="301" spans="1:32" x14ac:dyDescent="0.3">
      <c r="A301" s="2" t="s">
        <v>314</v>
      </c>
      <c r="B301" s="4">
        <v>45787</v>
      </c>
      <c r="C301" s="46">
        <f>EOMONTH(Table2[[#This Row],[OrderDate]],-1)+1</f>
        <v>45778</v>
      </c>
      <c r="D301" s="45">
        <f>EOMONTH(_xlfn.MINIFS(B301:B931,M301:M931,Table2[[#This Row],[Country]]), -1) + 1</f>
        <v>45017</v>
      </c>
      <c r="E301" s="46"/>
      <c r="F301" s="4" t="str">
        <f>"Q"&amp;ROUNDUP(MONTH(B301)/3,0)&amp;"-"&amp;YEAR(B301)</f>
        <v>Q2-2025</v>
      </c>
      <c r="G301" s="4">
        <v>45804</v>
      </c>
      <c r="H301" s="4">
        <f>IF(G301&lt;B301, B301+3, G301)</f>
        <v>45804</v>
      </c>
      <c r="I301" s="10">
        <f>H301-B301</f>
        <v>17</v>
      </c>
      <c r="J301" s="10">
        <f t="shared" si="24"/>
        <v>0</v>
      </c>
      <c r="K301" s="10">
        <f t="shared" si="25"/>
        <v>0</v>
      </c>
      <c r="L301" s="6" t="s">
        <v>648</v>
      </c>
      <c r="M301" s="6" t="s">
        <v>653</v>
      </c>
      <c r="N301" s="6" t="s">
        <v>688</v>
      </c>
      <c r="O301" s="6" t="s">
        <v>702</v>
      </c>
      <c r="P301" s="6" t="s">
        <v>711</v>
      </c>
      <c r="Q301" s="6" t="s">
        <v>712</v>
      </c>
      <c r="R301" s="6" t="s">
        <v>727</v>
      </c>
      <c r="S301" s="6" t="s">
        <v>1034</v>
      </c>
      <c r="T301" s="8">
        <v>862.89</v>
      </c>
      <c r="U301" s="8">
        <v>1426.03</v>
      </c>
      <c r="V301" s="8">
        <f t="shared" si="26"/>
        <v>5.6000000000000001E-2</v>
      </c>
      <c r="W301" s="8">
        <v>5.6000000000000001E-2</v>
      </c>
      <c r="X301" s="10">
        <f>IF(Table2[[#This Row],[DiscountPct]]&gt;0.2,1,0)</f>
        <v>0</v>
      </c>
      <c r="Y301" s="10">
        <v>19</v>
      </c>
      <c r="Z301" s="30">
        <f>Table2[[#This Row],[UnitPrice]]*Y301*(1-V301)</f>
        <v>25577.274079999999</v>
      </c>
      <c r="AA301" s="2">
        <f>T301*Y301</f>
        <v>16394.91</v>
      </c>
      <c r="AB301" s="2">
        <f t="shared" si="27"/>
        <v>9182.3640799999994</v>
      </c>
      <c r="AC301" s="2">
        <f t="shared" si="28"/>
        <v>0.35900479665188778</v>
      </c>
      <c r="AD301" s="2" t="e">
        <f>_xlfn.PERCENTILE.INC(S:S, 0.33)</f>
        <v>#NUM!</v>
      </c>
      <c r="AE301" s="2" t="e">
        <f>_xlfn.PERCENTILE.INC(S:S, 0.66)</f>
        <v>#NUM!</v>
      </c>
      <c r="AF301" s="30" t="e">
        <f t="shared" si="29"/>
        <v>#NUM!</v>
      </c>
    </row>
    <row r="302" spans="1:32" x14ac:dyDescent="0.3">
      <c r="A302" s="31" t="s">
        <v>315</v>
      </c>
      <c r="B302" s="32">
        <v>45204</v>
      </c>
      <c r="C302" s="47">
        <f>EOMONTH(Table2[[#This Row],[OrderDate]],-1)+1</f>
        <v>45200</v>
      </c>
      <c r="D302" s="45">
        <f>EOMONTH(_xlfn.MINIFS(B302:B932,M302:M932,Table2[[#This Row],[Country]]), -1) + 1</f>
        <v>44927</v>
      </c>
      <c r="E302" s="47"/>
      <c r="F302" s="32" t="str">
        <f>"Q"&amp;ROUNDUP(MONTH(B302)/3,0)&amp;"-"&amp;YEAR(B302)</f>
        <v>Q4-2023</v>
      </c>
      <c r="G302" s="32">
        <v>45230</v>
      </c>
      <c r="H302" s="32">
        <f>IF(G302&lt;B302, B302+3, G302)</f>
        <v>45230</v>
      </c>
      <c r="I302" s="33">
        <f>H302-B302</f>
        <v>26</v>
      </c>
      <c r="J302" s="33">
        <f t="shared" si="24"/>
        <v>0</v>
      </c>
      <c r="K302" s="33">
        <f t="shared" si="25"/>
        <v>0</v>
      </c>
      <c r="L302" s="34" t="s">
        <v>647</v>
      </c>
      <c r="M302" s="34" t="s">
        <v>659</v>
      </c>
      <c r="N302" s="34" t="s">
        <v>685</v>
      </c>
      <c r="O302" s="34" t="s">
        <v>704</v>
      </c>
      <c r="P302" s="34" t="s">
        <v>1440</v>
      </c>
      <c r="Q302" s="34" t="s">
        <v>713</v>
      </c>
      <c r="R302" s="34" t="s">
        <v>728</v>
      </c>
      <c r="S302" s="34" t="s">
        <v>1035</v>
      </c>
      <c r="T302" s="35">
        <v>649.91</v>
      </c>
      <c r="U302" s="35">
        <v>1360.12</v>
      </c>
      <c r="V302" s="35">
        <f t="shared" si="26"/>
        <v>0.19400000000000001</v>
      </c>
      <c r="W302" s="35">
        <v>0.19400000000000001</v>
      </c>
      <c r="X302" s="33">
        <f>IF(Table2[[#This Row],[DiscountPct]]&gt;0.2,1,0)</f>
        <v>0</v>
      </c>
      <c r="Y302" s="33">
        <v>9</v>
      </c>
      <c r="Z302" s="30">
        <f>Table2[[#This Row],[UnitPrice]]*Y302*(1-V302)</f>
        <v>9866.3104799999983</v>
      </c>
      <c r="AA302" s="31">
        <f>T302*Y302</f>
        <v>5849.19</v>
      </c>
      <c r="AB302" s="31">
        <f t="shared" si="27"/>
        <v>4017.1204799999987</v>
      </c>
      <c r="AC302" s="31">
        <f t="shared" si="28"/>
        <v>0.40715528749506769</v>
      </c>
      <c r="AD302" s="31" t="e">
        <f>_xlfn.PERCENTILE.INC(S:S, 0.33)</f>
        <v>#NUM!</v>
      </c>
      <c r="AE302" s="31" t="e">
        <f>_xlfn.PERCENTILE.INC(S:S, 0.66)</f>
        <v>#NUM!</v>
      </c>
      <c r="AF302" s="30" t="e">
        <f t="shared" si="29"/>
        <v>#NUM!</v>
      </c>
    </row>
    <row r="303" spans="1:32" x14ac:dyDescent="0.3">
      <c r="A303" s="2" t="s">
        <v>316</v>
      </c>
      <c r="B303" s="4">
        <v>45125</v>
      </c>
      <c r="C303" s="46">
        <f>EOMONTH(Table2[[#This Row],[OrderDate]],-1)+1</f>
        <v>45108</v>
      </c>
      <c r="D303" s="45">
        <f>EOMONTH(_xlfn.MINIFS(B303:B933,M303:M933,Table2[[#This Row],[Country]]), -1) + 1</f>
        <v>44927</v>
      </c>
      <c r="E303" s="46"/>
      <c r="F303" s="4" t="str">
        <f>"Q"&amp;ROUNDUP(MONTH(B303)/3,0)&amp;"-"&amp;YEAR(B303)</f>
        <v>Q3-2023</v>
      </c>
      <c r="G303" s="4">
        <v>45129</v>
      </c>
      <c r="H303" s="4">
        <f>IF(G303&lt;B303, B303+3, G303)</f>
        <v>45129</v>
      </c>
      <c r="I303" s="10">
        <f>H303-B303</f>
        <v>4</v>
      </c>
      <c r="J303" s="10">
        <f t="shared" si="24"/>
        <v>1</v>
      </c>
      <c r="K303" s="10">
        <f t="shared" si="25"/>
        <v>1</v>
      </c>
      <c r="L303" s="6" t="s">
        <v>648</v>
      </c>
      <c r="M303" s="6" t="s">
        <v>655</v>
      </c>
      <c r="N303" s="6" t="s">
        <v>670</v>
      </c>
      <c r="O303" s="6" t="s">
        <v>704</v>
      </c>
      <c r="P303" s="6" t="s">
        <v>711</v>
      </c>
      <c r="Q303" s="6" t="s">
        <v>721</v>
      </c>
      <c r="R303" s="6" t="s">
        <v>729</v>
      </c>
      <c r="S303" s="6" t="s">
        <v>1036</v>
      </c>
      <c r="T303" s="8">
        <v>1269.55</v>
      </c>
      <c r="U303" s="8">
        <v>2071.1</v>
      </c>
      <c r="V303" s="8">
        <f t="shared" si="26"/>
        <v>0.129</v>
      </c>
      <c r="W303" s="8">
        <v>0.129</v>
      </c>
      <c r="X303" s="10">
        <f>IF(Table2[[#This Row],[DiscountPct]]&gt;0.2,1,0)</f>
        <v>0</v>
      </c>
      <c r="Y303" s="10">
        <v>22</v>
      </c>
      <c r="Z303" s="30">
        <f>Table2[[#This Row],[UnitPrice]]*Y303*(1-V303)</f>
        <v>39686.4182</v>
      </c>
      <c r="AA303" s="2">
        <f>T303*Y303</f>
        <v>27930.1</v>
      </c>
      <c r="AB303" s="2">
        <f t="shared" si="27"/>
        <v>11756.318200000002</v>
      </c>
      <c r="AC303" s="2">
        <f t="shared" si="28"/>
        <v>0.29623026549672354</v>
      </c>
      <c r="AD303" s="2" t="e">
        <f>_xlfn.PERCENTILE.INC(S:S, 0.33)</f>
        <v>#NUM!</v>
      </c>
      <c r="AE303" s="2" t="e">
        <f>_xlfn.PERCENTILE.INC(S:S, 0.66)</f>
        <v>#NUM!</v>
      </c>
      <c r="AF303" s="30" t="e">
        <f t="shared" si="29"/>
        <v>#NUM!</v>
      </c>
    </row>
    <row r="304" spans="1:32" x14ac:dyDescent="0.3">
      <c r="A304" s="31" t="s">
        <v>317</v>
      </c>
      <c r="B304" s="32">
        <v>45830</v>
      </c>
      <c r="C304" s="47">
        <f>EOMONTH(Table2[[#This Row],[OrderDate]],-1)+1</f>
        <v>45809</v>
      </c>
      <c r="D304" s="45">
        <f>EOMONTH(_xlfn.MINIFS(B304:B934,M304:M934,Table2[[#This Row],[Country]]), -1) + 1</f>
        <v>44927</v>
      </c>
      <c r="E304" s="47"/>
      <c r="F304" s="32" t="str">
        <f>"Q"&amp;ROUNDUP(MONTH(B304)/3,0)&amp;"-"&amp;YEAR(B304)</f>
        <v>Q2-2025</v>
      </c>
      <c r="G304" s="32">
        <v>45846</v>
      </c>
      <c r="H304" s="32">
        <f>IF(G304&lt;B304, B304+3, G304)</f>
        <v>45846</v>
      </c>
      <c r="I304" s="33">
        <f>H304-B304</f>
        <v>16</v>
      </c>
      <c r="J304" s="33">
        <f t="shared" si="24"/>
        <v>0</v>
      </c>
      <c r="K304" s="33">
        <f t="shared" si="25"/>
        <v>0</v>
      </c>
      <c r="L304" s="34" t="s">
        <v>649</v>
      </c>
      <c r="M304" s="34" t="s">
        <v>658</v>
      </c>
      <c r="N304" s="34" t="s">
        <v>683</v>
      </c>
      <c r="O304" s="34" t="s">
        <v>702</v>
      </c>
      <c r="P304" s="34" t="s">
        <v>711</v>
      </c>
      <c r="Q304" s="34" t="s">
        <v>720</v>
      </c>
      <c r="R304" s="34" t="s">
        <v>730</v>
      </c>
      <c r="S304" s="34" t="s">
        <v>1037</v>
      </c>
      <c r="T304" s="35">
        <v>892.73</v>
      </c>
      <c r="U304" s="35">
        <v>979.84</v>
      </c>
      <c r="V304" s="35">
        <f t="shared" si="26"/>
        <v>0.17399999999999999</v>
      </c>
      <c r="W304" s="35">
        <v>0.17399999999999999</v>
      </c>
      <c r="X304" s="33">
        <f>IF(Table2[[#This Row],[DiscountPct]]&gt;0.2,1,0)</f>
        <v>0</v>
      </c>
      <c r="Y304" s="33">
        <v>10</v>
      </c>
      <c r="Z304" s="30">
        <f>Table2[[#This Row],[UnitPrice]]*Y304*(1-V304)</f>
        <v>8093.4784</v>
      </c>
      <c r="AA304" s="31">
        <f>T304*Y304</f>
        <v>8927.2999999999993</v>
      </c>
      <c r="AB304" s="31">
        <f t="shared" si="27"/>
        <v>-833.82159999999931</v>
      </c>
      <c r="AC304" s="31">
        <f t="shared" si="28"/>
        <v>-0.10302388649112838</v>
      </c>
      <c r="AD304" s="31" t="e">
        <f>_xlfn.PERCENTILE.INC(S:S, 0.33)</f>
        <v>#NUM!</v>
      </c>
      <c r="AE304" s="31" t="e">
        <f>_xlfn.PERCENTILE.INC(S:S, 0.66)</f>
        <v>#NUM!</v>
      </c>
      <c r="AF304" s="30" t="e">
        <f t="shared" si="29"/>
        <v>#NUM!</v>
      </c>
    </row>
    <row r="305" spans="1:32" x14ac:dyDescent="0.3">
      <c r="A305" s="2" t="s">
        <v>318</v>
      </c>
      <c r="B305" s="4">
        <v>45462</v>
      </c>
      <c r="C305" s="46">
        <f>EOMONTH(Table2[[#This Row],[OrderDate]],-1)+1</f>
        <v>45444</v>
      </c>
      <c r="D305" s="45">
        <f>EOMONTH(_xlfn.MINIFS(B305:B935,M305:M935,Table2[[#This Row],[Country]]), -1) + 1</f>
        <v>44958</v>
      </c>
      <c r="E305" s="46"/>
      <c r="F305" s="4" t="str">
        <f>"Q"&amp;ROUNDUP(MONTH(B305)/3,0)&amp;"-"&amp;YEAR(B305)</f>
        <v>Q2-2024</v>
      </c>
      <c r="G305" s="4">
        <v>45463</v>
      </c>
      <c r="H305" s="4">
        <f>IF(G305&lt;B305, B305+3, G305)</f>
        <v>45463</v>
      </c>
      <c r="I305" s="10">
        <f>H305-B305</f>
        <v>1</v>
      </c>
      <c r="J305" s="10">
        <f t="shared" si="24"/>
        <v>1</v>
      </c>
      <c r="K305" s="10">
        <f t="shared" si="25"/>
        <v>1</v>
      </c>
      <c r="L305" s="6" t="s">
        <v>646</v>
      </c>
      <c r="M305" s="6" t="s">
        <v>650</v>
      </c>
      <c r="N305" s="6" t="s">
        <v>662</v>
      </c>
      <c r="O305" s="6" t="s">
        <v>705</v>
      </c>
      <c r="P305" s="6" t="s">
        <v>711</v>
      </c>
      <c r="Q305" s="6" t="s">
        <v>713</v>
      </c>
      <c r="R305" s="6" t="s">
        <v>731</v>
      </c>
      <c r="S305" s="6" t="s">
        <v>1038</v>
      </c>
      <c r="T305" s="8">
        <v>231.63</v>
      </c>
      <c r="U305" s="8">
        <v>537.39</v>
      </c>
      <c r="V305" s="8">
        <f t="shared" si="26"/>
        <v>0.08</v>
      </c>
      <c r="W305" s="8">
        <v>0.08</v>
      </c>
      <c r="X305" s="10">
        <f>IF(Table2[[#This Row],[DiscountPct]]&gt;0.2,1,0)</f>
        <v>0</v>
      </c>
      <c r="Y305" s="10">
        <v>12</v>
      </c>
      <c r="Z305" s="30">
        <f>Table2[[#This Row],[UnitPrice]]*Y305*(1-V305)</f>
        <v>5932.7856000000002</v>
      </c>
      <c r="AA305" s="2">
        <f>T305*Y305</f>
        <v>2779.56</v>
      </c>
      <c r="AB305" s="2">
        <f t="shared" si="27"/>
        <v>3153.2256000000002</v>
      </c>
      <c r="AC305" s="2">
        <f t="shared" si="28"/>
        <v>0.53149158129024587</v>
      </c>
      <c r="AD305" s="2" t="e">
        <f>_xlfn.PERCENTILE.INC(S:S, 0.33)</f>
        <v>#NUM!</v>
      </c>
      <c r="AE305" s="2" t="e">
        <f>_xlfn.PERCENTILE.INC(S:S, 0.66)</f>
        <v>#NUM!</v>
      </c>
      <c r="AF305" s="30" t="e">
        <f t="shared" si="29"/>
        <v>#NUM!</v>
      </c>
    </row>
    <row r="306" spans="1:32" x14ac:dyDescent="0.3">
      <c r="A306" s="31" t="s">
        <v>319</v>
      </c>
      <c r="B306" s="32">
        <v>45756</v>
      </c>
      <c r="C306" s="47">
        <f>EOMONTH(Table2[[#This Row],[OrderDate]],-1)+1</f>
        <v>45748</v>
      </c>
      <c r="D306" s="45">
        <f>EOMONTH(_xlfn.MINIFS(B306:B936,M306:M936,Table2[[#This Row],[Country]]), -1) + 1</f>
        <v>44927</v>
      </c>
      <c r="E306" s="47"/>
      <c r="F306" s="32" t="str">
        <f>"Q"&amp;ROUNDUP(MONTH(B306)/3,0)&amp;"-"&amp;YEAR(B306)</f>
        <v>Q2-2025</v>
      </c>
      <c r="G306" s="32">
        <v>45759</v>
      </c>
      <c r="H306" s="32">
        <f>IF(G306&lt;B306, B306+3, G306)</f>
        <v>45759</v>
      </c>
      <c r="I306" s="33">
        <f>H306-B306</f>
        <v>3</v>
      </c>
      <c r="J306" s="33">
        <f t="shared" si="24"/>
        <v>1</v>
      </c>
      <c r="K306" s="33">
        <f t="shared" si="25"/>
        <v>1</v>
      </c>
      <c r="L306" s="34" t="s">
        <v>649</v>
      </c>
      <c r="M306" s="34" t="s">
        <v>657</v>
      </c>
      <c r="N306" s="34" t="s">
        <v>679</v>
      </c>
      <c r="O306" s="34" t="s">
        <v>705</v>
      </c>
      <c r="P306" s="34" t="s">
        <v>710</v>
      </c>
      <c r="Q306" s="34" t="s">
        <v>722</v>
      </c>
      <c r="R306" s="34" t="s">
        <v>732</v>
      </c>
      <c r="S306" s="34" t="s">
        <v>1039</v>
      </c>
      <c r="T306" s="35">
        <v>86.68</v>
      </c>
      <c r="U306" s="35">
        <v>213.32</v>
      </c>
      <c r="V306" s="35">
        <f t="shared" si="26"/>
        <v>3.7999999999999999E-2</v>
      </c>
      <c r="W306" s="35">
        <v>3.7999999999999999E-2</v>
      </c>
      <c r="X306" s="33">
        <f>IF(Table2[[#This Row],[DiscountPct]]&gt;0.2,1,0)</f>
        <v>0</v>
      </c>
      <c r="Y306" s="33">
        <v>8</v>
      </c>
      <c r="Z306" s="30">
        <f>Table2[[#This Row],[UnitPrice]]*Y306*(1-V306)</f>
        <v>1641.7107199999998</v>
      </c>
      <c r="AA306" s="31">
        <f>T306*Y306</f>
        <v>693.44</v>
      </c>
      <c r="AB306" s="31">
        <f t="shared" si="27"/>
        <v>948.27071999999976</v>
      </c>
      <c r="AC306" s="31">
        <f t="shared" si="28"/>
        <v>0.57761133459614611</v>
      </c>
      <c r="AD306" s="31" t="e">
        <f>_xlfn.PERCENTILE.INC(S:S, 0.33)</f>
        <v>#NUM!</v>
      </c>
      <c r="AE306" s="31" t="e">
        <f>_xlfn.PERCENTILE.INC(S:S, 0.66)</f>
        <v>#NUM!</v>
      </c>
      <c r="AF306" s="30" t="e">
        <f t="shared" si="29"/>
        <v>#NUM!</v>
      </c>
    </row>
    <row r="307" spans="1:32" x14ac:dyDescent="0.3">
      <c r="A307" s="2" t="s">
        <v>320</v>
      </c>
      <c r="B307" s="4">
        <v>45741</v>
      </c>
      <c r="C307" s="46">
        <f>EOMONTH(Table2[[#This Row],[OrderDate]],-1)+1</f>
        <v>45717</v>
      </c>
      <c r="D307" s="45">
        <f>EOMONTH(_xlfn.MINIFS(B307:B937,M307:M937,Table2[[#This Row],[Country]]), -1) + 1</f>
        <v>44958</v>
      </c>
      <c r="E307" s="46"/>
      <c r="F307" s="4" t="str">
        <f>"Q"&amp;ROUNDUP(MONTH(B307)/3,0)&amp;"-"&amp;YEAR(B307)</f>
        <v>Q1-2025</v>
      </c>
      <c r="G307" s="4">
        <v>45742</v>
      </c>
      <c r="H307" s="4">
        <f>IF(G307&lt;B307, B307+3, G307)</f>
        <v>45742</v>
      </c>
      <c r="I307" s="10">
        <f>H307-B307</f>
        <v>1</v>
      </c>
      <c r="J307" s="10">
        <f t="shared" si="24"/>
        <v>1</v>
      </c>
      <c r="K307" s="10">
        <f t="shared" si="25"/>
        <v>1</v>
      </c>
      <c r="L307" s="6" t="s">
        <v>646</v>
      </c>
      <c r="M307" s="6" t="s">
        <v>651</v>
      </c>
      <c r="N307" s="6" t="s">
        <v>665</v>
      </c>
      <c r="O307" s="6" t="s">
        <v>702</v>
      </c>
      <c r="P307" s="6" t="s">
        <v>710</v>
      </c>
      <c r="Q307" s="6" t="s">
        <v>715</v>
      </c>
      <c r="R307" s="6" t="s">
        <v>733</v>
      </c>
      <c r="S307" s="6" t="s">
        <v>1040</v>
      </c>
      <c r="T307" s="8">
        <v>1450.43</v>
      </c>
      <c r="U307" s="8">
        <v>1994.67</v>
      </c>
      <c r="V307" s="8">
        <f t="shared" si="26"/>
        <v>0.1</v>
      </c>
      <c r="W307" s="8">
        <v>0.1</v>
      </c>
      <c r="X307" s="10">
        <f>IF(Table2[[#This Row],[DiscountPct]]&gt;0.2,1,0)</f>
        <v>0</v>
      </c>
      <c r="Y307" s="10">
        <v>24</v>
      </c>
      <c r="Z307" s="30">
        <f>Table2[[#This Row],[UnitPrice]]*Y307*(1-V307)</f>
        <v>43084.872000000003</v>
      </c>
      <c r="AA307" s="2">
        <f>T307*Y307</f>
        <v>34810.32</v>
      </c>
      <c r="AB307" s="2">
        <f t="shared" si="27"/>
        <v>8274.5520000000033</v>
      </c>
      <c r="AC307" s="2">
        <f t="shared" si="28"/>
        <v>0.19205237513529116</v>
      </c>
      <c r="AD307" s="2" t="e">
        <f>_xlfn.PERCENTILE.INC(S:S, 0.33)</f>
        <v>#NUM!</v>
      </c>
      <c r="AE307" s="2" t="e">
        <f>_xlfn.PERCENTILE.INC(S:S, 0.66)</f>
        <v>#NUM!</v>
      </c>
      <c r="AF307" s="30" t="e">
        <f t="shared" si="29"/>
        <v>#NUM!</v>
      </c>
    </row>
    <row r="308" spans="1:32" x14ac:dyDescent="0.3">
      <c r="A308" s="31" t="s">
        <v>321</v>
      </c>
      <c r="B308" s="32">
        <v>45795</v>
      </c>
      <c r="C308" s="47">
        <f>EOMONTH(Table2[[#This Row],[OrderDate]],-1)+1</f>
        <v>45778</v>
      </c>
      <c r="D308" s="45">
        <f>EOMONTH(_xlfn.MINIFS(B308:B938,M308:M938,Table2[[#This Row],[Country]]), -1) + 1</f>
        <v>44958</v>
      </c>
      <c r="E308" s="47"/>
      <c r="F308" s="32" t="str">
        <f>"Q"&amp;ROUNDUP(MONTH(B308)/3,0)&amp;"-"&amp;YEAR(B308)</f>
        <v>Q2-2025</v>
      </c>
      <c r="G308" s="32">
        <v>45817</v>
      </c>
      <c r="H308" s="32">
        <f>IF(G308&lt;B308, B308+3, G308)</f>
        <v>45817</v>
      </c>
      <c r="I308" s="33">
        <f>H308-B308</f>
        <v>22</v>
      </c>
      <c r="J308" s="33">
        <f t="shared" si="24"/>
        <v>0</v>
      </c>
      <c r="K308" s="33">
        <f t="shared" si="25"/>
        <v>0</v>
      </c>
      <c r="L308" s="34" t="s">
        <v>648</v>
      </c>
      <c r="M308" s="34" t="s">
        <v>660</v>
      </c>
      <c r="N308" s="34" t="s">
        <v>700</v>
      </c>
      <c r="O308" s="34" t="s">
        <v>704</v>
      </c>
      <c r="P308" s="34" t="s">
        <v>707</v>
      </c>
      <c r="Q308" s="34" t="s">
        <v>722</v>
      </c>
      <c r="R308" s="34" t="s">
        <v>729</v>
      </c>
      <c r="S308" s="34" t="s">
        <v>1041</v>
      </c>
      <c r="T308" s="35">
        <v>382.96</v>
      </c>
      <c r="U308" s="35">
        <v>552.84</v>
      </c>
      <c r="V308" s="35">
        <f t="shared" si="26"/>
        <v>0.17599999999999999</v>
      </c>
      <c r="W308" s="35">
        <v>0.17599999999999999</v>
      </c>
      <c r="X308" s="33">
        <f>IF(Table2[[#This Row],[DiscountPct]]&gt;0.2,1,0)</f>
        <v>0</v>
      </c>
      <c r="Y308" s="33">
        <v>8</v>
      </c>
      <c r="Z308" s="30">
        <f>Table2[[#This Row],[UnitPrice]]*Y308*(1-V308)</f>
        <v>3644.3212800000006</v>
      </c>
      <c r="AA308" s="31">
        <f>T308*Y308</f>
        <v>3063.68</v>
      </c>
      <c r="AB308" s="31">
        <f t="shared" si="27"/>
        <v>580.64128000000073</v>
      </c>
      <c r="AC308" s="31">
        <f t="shared" si="28"/>
        <v>0.15932768693763483</v>
      </c>
      <c r="AD308" s="31" t="e">
        <f>_xlfn.PERCENTILE.INC(S:S, 0.33)</f>
        <v>#NUM!</v>
      </c>
      <c r="AE308" s="31" t="e">
        <f>_xlfn.PERCENTILE.INC(S:S, 0.66)</f>
        <v>#NUM!</v>
      </c>
      <c r="AF308" s="30" t="e">
        <f t="shared" si="29"/>
        <v>#NUM!</v>
      </c>
    </row>
    <row r="309" spans="1:32" x14ac:dyDescent="0.3">
      <c r="A309" s="2" t="s">
        <v>322</v>
      </c>
      <c r="B309" s="4">
        <v>45679</v>
      </c>
      <c r="C309" s="46">
        <f>EOMONTH(Table2[[#This Row],[OrderDate]],-1)+1</f>
        <v>45658</v>
      </c>
      <c r="D309" s="45">
        <f>EOMONTH(_xlfn.MINIFS(B309:B939,M309:M939,Table2[[#This Row],[Country]]), -1) + 1</f>
        <v>44986</v>
      </c>
      <c r="E309" s="46"/>
      <c r="F309" s="4" t="str">
        <f>"Q"&amp;ROUNDUP(MONTH(B309)/3,0)&amp;"-"&amp;YEAR(B309)</f>
        <v>Q1-2025</v>
      </c>
      <c r="G309" s="4">
        <v>45692</v>
      </c>
      <c r="H309" s="4">
        <f>IF(G309&lt;B309, B309+3, G309)</f>
        <v>45692</v>
      </c>
      <c r="I309" s="10">
        <f>H309-B309</f>
        <v>13</v>
      </c>
      <c r="J309" s="10">
        <f t="shared" si="24"/>
        <v>0</v>
      </c>
      <c r="K309" s="10">
        <f t="shared" si="25"/>
        <v>0</v>
      </c>
      <c r="L309" s="6" t="s">
        <v>647</v>
      </c>
      <c r="M309" s="6" t="s">
        <v>652</v>
      </c>
      <c r="N309" s="6" t="s">
        <v>689</v>
      </c>
      <c r="O309" s="6" t="s">
        <v>705</v>
      </c>
      <c r="P309" s="6" t="s">
        <v>710</v>
      </c>
      <c r="Q309" s="6" t="s">
        <v>716</v>
      </c>
      <c r="R309" s="6" t="s">
        <v>728</v>
      </c>
      <c r="S309" s="6" t="s">
        <v>1042</v>
      </c>
      <c r="T309" s="8">
        <v>122.29</v>
      </c>
      <c r="U309" s="8">
        <v>224.95</v>
      </c>
      <c r="V309" s="8">
        <f t="shared" si="26"/>
        <v>0.153</v>
      </c>
      <c r="W309" s="8">
        <v>0.153</v>
      </c>
      <c r="X309" s="10">
        <f>IF(Table2[[#This Row],[DiscountPct]]&gt;0.2,1,0)</f>
        <v>0</v>
      </c>
      <c r="Y309" s="10">
        <v>28</v>
      </c>
      <c r="Z309" s="30">
        <f>Table2[[#This Row],[UnitPrice]]*Y309*(1-V309)</f>
        <v>5334.9141999999993</v>
      </c>
      <c r="AA309" s="2">
        <f>T309*Y309</f>
        <v>3424.1200000000003</v>
      </c>
      <c r="AB309" s="2">
        <f t="shared" si="27"/>
        <v>1910.7941999999989</v>
      </c>
      <c r="AC309" s="2">
        <f t="shared" si="28"/>
        <v>0.3581677471026618</v>
      </c>
      <c r="AD309" s="2" t="e">
        <f>_xlfn.PERCENTILE.INC(S:S, 0.33)</f>
        <v>#NUM!</v>
      </c>
      <c r="AE309" s="2" t="e">
        <f>_xlfn.PERCENTILE.INC(S:S, 0.66)</f>
        <v>#NUM!</v>
      </c>
      <c r="AF309" s="30" t="e">
        <f t="shared" si="29"/>
        <v>#NUM!</v>
      </c>
    </row>
    <row r="310" spans="1:32" x14ac:dyDescent="0.3">
      <c r="A310" s="31" t="s">
        <v>323</v>
      </c>
      <c r="B310" s="32">
        <v>44936</v>
      </c>
      <c r="C310" s="47">
        <f>EOMONTH(Table2[[#This Row],[OrderDate]],-1)+1</f>
        <v>44927</v>
      </c>
      <c r="D310" s="45">
        <f>EOMONTH(_xlfn.MINIFS(B310:B940,M310:M940,Table2[[#This Row],[Country]]), -1) + 1</f>
        <v>44927</v>
      </c>
      <c r="E310" s="47"/>
      <c r="F310" s="32" t="str">
        <f>"Q"&amp;ROUNDUP(MONTH(B310)/3,0)&amp;"-"&amp;YEAR(B310)</f>
        <v>Q1-2023</v>
      </c>
      <c r="G310" s="32">
        <v>44955</v>
      </c>
      <c r="H310" s="32">
        <f>IF(G310&lt;B310, B310+3, G310)</f>
        <v>44955</v>
      </c>
      <c r="I310" s="33">
        <f>H310-B310</f>
        <v>19</v>
      </c>
      <c r="J310" s="33">
        <f t="shared" si="24"/>
        <v>0</v>
      </c>
      <c r="K310" s="33">
        <f t="shared" si="25"/>
        <v>0</v>
      </c>
      <c r="L310" s="34" t="s">
        <v>649</v>
      </c>
      <c r="M310" s="34" t="s">
        <v>657</v>
      </c>
      <c r="N310" s="34" t="s">
        <v>679</v>
      </c>
      <c r="O310" s="34" t="s">
        <v>703</v>
      </c>
      <c r="P310" s="34" t="s">
        <v>711</v>
      </c>
      <c r="Q310" s="34" t="s">
        <v>726</v>
      </c>
      <c r="R310" s="34" t="s">
        <v>731</v>
      </c>
      <c r="S310" s="34" t="s">
        <v>1043</v>
      </c>
      <c r="T310" s="35">
        <v>401.66</v>
      </c>
      <c r="U310" s="35">
        <v>772.09</v>
      </c>
      <c r="V310" s="35">
        <f t="shared" si="26"/>
        <v>8.8999999999999996E-2</v>
      </c>
      <c r="W310" s="35">
        <v>8.8999999999999996E-2</v>
      </c>
      <c r="X310" s="33">
        <f>IF(Table2[[#This Row],[DiscountPct]]&gt;0.2,1,0)</f>
        <v>0</v>
      </c>
      <c r="Y310" s="33">
        <v>14</v>
      </c>
      <c r="Z310" s="30">
        <f>Table2[[#This Row],[UnitPrice]]*Y310*(1-V310)</f>
        <v>9847.2358600000007</v>
      </c>
      <c r="AA310" s="31">
        <f>T310*Y310</f>
        <v>5623.2400000000007</v>
      </c>
      <c r="AB310" s="31">
        <f t="shared" si="27"/>
        <v>4223.99586</v>
      </c>
      <c r="AC310" s="31">
        <f t="shared" si="28"/>
        <v>0.42895244107619046</v>
      </c>
      <c r="AD310" s="31" t="e">
        <f>_xlfn.PERCENTILE.INC(S:S, 0.33)</f>
        <v>#NUM!</v>
      </c>
      <c r="AE310" s="31" t="e">
        <f>_xlfn.PERCENTILE.INC(S:S, 0.66)</f>
        <v>#NUM!</v>
      </c>
      <c r="AF310" s="30" t="e">
        <f t="shared" si="29"/>
        <v>#NUM!</v>
      </c>
    </row>
    <row r="311" spans="1:32" x14ac:dyDescent="0.3">
      <c r="A311" s="2" t="s">
        <v>324</v>
      </c>
      <c r="B311" s="4">
        <v>45655</v>
      </c>
      <c r="C311" s="46">
        <f>EOMONTH(Table2[[#This Row],[OrderDate]],-1)+1</f>
        <v>45627</v>
      </c>
      <c r="D311" s="45">
        <f>EOMONTH(_xlfn.MINIFS(B311:B941,M311:M941,Table2[[#This Row],[Country]]), -1) + 1</f>
        <v>44927</v>
      </c>
      <c r="E311" s="46"/>
      <c r="F311" s="4" t="str">
        <f>"Q"&amp;ROUNDUP(MONTH(B311)/3,0)&amp;"-"&amp;YEAR(B311)</f>
        <v>Q4-2024</v>
      </c>
      <c r="G311" s="4">
        <v>45669</v>
      </c>
      <c r="H311" s="4">
        <f>IF(G311&lt;B311, B311+3, G311)</f>
        <v>45669</v>
      </c>
      <c r="I311" s="10">
        <f>H311-B311</f>
        <v>14</v>
      </c>
      <c r="J311" s="10">
        <f t="shared" si="24"/>
        <v>0</v>
      </c>
      <c r="K311" s="10">
        <f t="shared" si="25"/>
        <v>0</v>
      </c>
      <c r="L311" s="6" t="s">
        <v>649</v>
      </c>
      <c r="M311" s="6" t="s">
        <v>658</v>
      </c>
      <c r="N311" s="6" t="s">
        <v>693</v>
      </c>
      <c r="O311" s="6" t="s">
        <v>701</v>
      </c>
      <c r="P311" s="6" t="s">
        <v>711</v>
      </c>
      <c r="Q311" s="6" t="s">
        <v>717</v>
      </c>
      <c r="R311" s="6" t="s">
        <v>732</v>
      </c>
      <c r="S311" s="6" t="s">
        <v>1044</v>
      </c>
      <c r="T311" s="8">
        <v>1399.72</v>
      </c>
      <c r="U311" s="8">
        <v>3149.21</v>
      </c>
      <c r="V311" s="8">
        <f t="shared" si="26"/>
        <v>0.185</v>
      </c>
      <c r="W311" s="8">
        <v>0.185</v>
      </c>
      <c r="X311" s="10">
        <f>IF(Table2[[#This Row],[DiscountPct]]&gt;0.2,1,0)</f>
        <v>0</v>
      </c>
      <c r="Y311" s="10">
        <v>12</v>
      </c>
      <c r="Z311" s="30">
        <f>Table2[[#This Row],[UnitPrice]]*Y311*(1-V311)</f>
        <v>30799.273800000003</v>
      </c>
      <c r="AA311" s="2">
        <f>T311*Y311</f>
        <v>16796.64</v>
      </c>
      <c r="AB311" s="2">
        <f t="shared" si="27"/>
        <v>14002.633800000003</v>
      </c>
      <c r="AC311" s="2">
        <f t="shared" si="28"/>
        <v>0.45464168703873797</v>
      </c>
      <c r="AD311" s="2" t="e">
        <f>_xlfn.PERCENTILE.INC(S:S, 0.33)</f>
        <v>#NUM!</v>
      </c>
      <c r="AE311" s="2" t="e">
        <f>_xlfn.PERCENTILE.INC(S:S, 0.66)</f>
        <v>#NUM!</v>
      </c>
      <c r="AF311" s="30" t="e">
        <f t="shared" si="29"/>
        <v>#NUM!</v>
      </c>
    </row>
    <row r="312" spans="1:32" x14ac:dyDescent="0.3">
      <c r="A312" s="31" t="s">
        <v>325</v>
      </c>
      <c r="B312" s="32">
        <v>45435</v>
      </c>
      <c r="C312" s="47">
        <f>EOMONTH(Table2[[#This Row],[OrderDate]],-1)+1</f>
        <v>45413</v>
      </c>
      <c r="D312" s="45">
        <f>EOMONTH(_xlfn.MINIFS(B312:B942,M312:M942,Table2[[#This Row],[Country]]), -1) + 1</f>
        <v>44927</v>
      </c>
      <c r="E312" s="47"/>
      <c r="F312" s="32" t="str">
        <f>"Q"&amp;ROUNDUP(MONTH(B312)/3,0)&amp;"-"&amp;YEAR(B312)</f>
        <v>Q2-2024</v>
      </c>
      <c r="G312" s="32">
        <v>45449</v>
      </c>
      <c r="H312" s="32">
        <f>IF(G312&lt;B312, B312+3, G312)</f>
        <v>45449</v>
      </c>
      <c r="I312" s="33">
        <f>H312-B312</f>
        <v>14</v>
      </c>
      <c r="J312" s="33">
        <f t="shared" si="24"/>
        <v>0</v>
      </c>
      <c r="K312" s="33">
        <f t="shared" si="25"/>
        <v>0</v>
      </c>
      <c r="L312" s="34" t="s">
        <v>648</v>
      </c>
      <c r="M312" s="34" t="s">
        <v>655</v>
      </c>
      <c r="N312" s="34" t="s">
        <v>692</v>
      </c>
      <c r="O312" s="34" t="s">
        <v>703</v>
      </c>
      <c r="P312" s="34" t="s">
        <v>708</v>
      </c>
      <c r="Q312" s="34" t="s">
        <v>714</v>
      </c>
      <c r="R312" s="34" t="s">
        <v>729</v>
      </c>
      <c r="S312" s="34" t="s">
        <v>1045</v>
      </c>
      <c r="T312" s="35">
        <v>51.13</v>
      </c>
      <c r="U312" s="35">
        <v>57.53</v>
      </c>
      <c r="V312" s="35">
        <f t="shared" si="26"/>
        <v>4.4999999999999998E-2</v>
      </c>
      <c r="W312" s="35">
        <v>4.4999999999999998E-2</v>
      </c>
      <c r="X312" s="33">
        <f>IF(Table2[[#This Row],[DiscountPct]]&gt;0.2,1,0)</f>
        <v>0</v>
      </c>
      <c r="Y312" s="33">
        <v>16</v>
      </c>
      <c r="Z312" s="30">
        <f>Table2[[#This Row],[UnitPrice]]*Y312*(1-V312)</f>
        <v>879.05840000000001</v>
      </c>
      <c r="AA312" s="31">
        <f>T312*Y312</f>
        <v>818.08</v>
      </c>
      <c r="AB312" s="31">
        <f t="shared" si="27"/>
        <v>60.978399999999965</v>
      </c>
      <c r="AC312" s="31">
        <f t="shared" si="28"/>
        <v>6.9367859973808302E-2</v>
      </c>
      <c r="AD312" s="31" t="e">
        <f>_xlfn.PERCENTILE.INC(S:S, 0.33)</f>
        <v>#NUM!</v>
      </c>
      <c r="AE312" s="31" t="e">
        <f>_xlfn.PERCENTILE.INC(S:S, 0.66)</f>
        <v>#NUM!</v>
      </c>
      <c r="AF312" s="30" t="e">
        <f t="shared" si="29"/>
        <v>#NUM!</v>
      </c>
    </row>
    <row r="313" spans="1:32" x14ac:dyDescent="0.3">
      <c r="A313" s="2" t="s">
        <v>326</v>
      </c>
      <c r="B313" s="4">
        <v>45101</v>
      </c>
      <c r="C313" s="46">
        <f>EOMONTH(Table2[[#This Row],[OrderDate]],-1)+1</f>
        <v>45078</v>
      </c>
      <c r="D313" s="45">
        <f>EOMONTH(_xlfn.MINIFS(B313:B943,M313:M943,Table2[[#This Row],[Country]]), -1) + 1</f>
        <v>45017</v>
      </c>
      <c r="E313" s="46"/>
      <c r="F313" s="4" t="str">
        <f>"Q"&amp;ROUNDUP(MONTH(B313)/3,0)&amp;"-"&amp;YEAR(B313)</f>
        <v>Q2-2023</v>
      </c>
      <c r="G313" s="4">
        <v>45099</v>
      </c>
      <c r="H313" s="4">
        <f>IF(G313&lt;B313, B313+3, G313)</f>
        <v>45104</v>
      </c>
      <c r="I313" s="10">
        <f>H313-B313</f>
        <v>3</v>
      </c>
      <c r="J313" s="10">
        <f t="shared" si="24"/>
        <v>1</v>
      </c>
      <c r="K313" s="10">
        <f t="shared" si="25"/>
        <v>1</v>
      </c>
      <c r="L313" s="6" t="s">
        <v>648</v>
      </c>
      <c r="M313" s="6" t="s">
        <v>653</v>
      </c>
      <c r="N313" s="6" t="s">
        <v>667</v>
      </c>
      <c r="O313" s="6" t="s">
        <v>703</v>
      </c>
      <c r="P313" s="6" t="s">
        <v>707</v>
      </c>
      <c r="Q313" s="6" t="s">
        <v>724</v>
      </c>
      <c r="R313" s="6" t="s">
        <v>733</v>
      </c>
      <c r="S313" s="6" t="s">
        <v>1046</v>
      </c>
      <c r="T313" s="8">
        <v>471.42</v>
      </c>
      <c r="U313" s="8">
        <v>824.81</v>
      </c>
      <c r="V313" s="8">
        <f t="shared" si="26"/>
        <v>8.7999999999999995E-2</v>
      </c>
      <c r="W313" s="8">
        <v>8.7999999999999995E-2</v>
      </c>
      <c r="X313" s="10">
        <f>IF(Table2[[#This Row],[DiscountPct]]&gt;0.2,1,0)</f>
        <v>0</v>
      </c>
      <c r="Y313" s="10">
        <v>15</v>
      </c>
      <c r="Z313" s="30">
        <f>Table2[[#This Row],[UnitPrice]]*Y313*(1-V313)</f>
        <v>11283.400799999999</v>
      </c>
      <c r="AA313" s="2">
        <f>T313*Y313</f>
        <v>7071.3</v>
      </c>
      <c r="AB313" s="2">
        <f t="shared" si="27"/>
        <v>4212.1007999999993</v>
      </c>
      <c r="AC313" s="2">
        <f t="shared" si="28"/>
        <v>0.37330064531608231</v>
      </c>
      <c r="AD313" s="2" t="e">
        <f>_xlfn.PERCENTILE.INC(S:S, 0.33)</f>
        <v>#NUM!</v>
      </c>
      <c r="AE313" s="2" t="e">
        <f>_xlfn.PERCENTILE.INC(S:S, 0.66)</f>
        <v>#NUM!</v>
      </c>
      <c r="AF313" s="30" t="e">
        <f t="shared" si="29"/>
        <v>#NUM!</v>
      </c>
    </row>
    <row r="314" spans="1:32" x14ac:dyDescent="0.3">
      <c r="A314" s="31" t="s">
        <v>327</v>
      </c>
      <c r="B314" s="32">
        <v>45600</v>
      </c>
      <c r="C314" s="47">
        <f>EOMONTH(Table2[[#This Row],[OrderDate]],-1)+1</f>
        <v>45597</v>
      </c>
      <c r="D314" s="45">
        <f>EOMONTH(_xlfn.MINIFS(B314:B944,M314:M944,Table2[[#This Row],[Country]]), -1) + 1</f>
        <v>44927</v>
      </c>
      <c r="E314" s="47"/>
      <c r="F314" s="32" t="str">
        <f>"Q"&amp;ROUNDUP(MONTH(B314)/3,0)&amp;"-"&amp;YEAR(B314)</f>
        <v>Q4-2024</v>
      </c>
      <c r="G314" s="32">
        <v>45601</v>
      </c>
      <c r="H314" s="32">
        <f>IF(G314&lt;B314, B314+3, G314)</f>
        <v>45601</v>
      </c>
      <c r="I314" s="33">
        <f>H314-B314</f>
        <v>1</v>
      </c>
      <c r="J314" s="33">
        <f t="shared" si="24"/>
        <v>1</v>
      </c>
      <c r="K314" s="33">
        <f t="shared" si="25"/>
        <v>1</v>
      </c>
      <c r="L314" s="34" t="s">
        <v>649</v>
      </c>
      <c r="M314" s="34" t="s">
        <v>658</v>
      </c>
      <c r="N314" s="34" t="s">
        <v>683</v>
      </c>
      <c r="O314" s="34" t="s">
        <v>701</v>
      </c>
      <c r="P314" s="34" t="s">
        <v>707</v>
      </c>
      <c r="Q314" s="34" t="s">
        <v>724</v>
      </c>
      <c r="R314" s="34" t="s">
        <v>728</v>
      </c>
      <c r="S314" s="34" t="s">
        <v>1047</v>
      </c>
      <c r="T314" s="35">
        <v>840.68</v>
      </c>
      <c r="U314" s="35">
        <v>1493.53</v>
      </c>
      <c r="V314" s="35">
        <f t="shared" si="26"/>
        <v>0</v>
      </c>
      <c r="W314" s="35">
        <v>0</v>
      </c>
      <c r="X314" s="33">
        <f>IF(Table2[[#This Row],[DiscountPct]]&gt;0.2,1,0)</f>
        <v>0</v>
      </c>
      <c r="Y314" s="33">
        <v>27</v>
      </c>
      <c r="Z314" s="30">
        <f>Table2[[#This Row],[UnitPrice]]*Y314*(1-V314)</f>
        <v>40325.31</v>
      </c>
      <c r="AA314" s="31">
        <f>T314*Y314</f>
        <v>22698.359999999997</v>
      </c>
      <c r="AB314" s="31">
        <f t="shared" si="27"/>
        <v>17626.95</v>
      </c>
      <c r="AC314" s="31">
        <f t="shared" si="28"/>
        <v>0.43711877230454027</v>
      </c>
      <c r="AD314" s="31" t="e">
        <f>_xlfn.PERCENTILE.INC(S:S, 0.33)</f>
        <v>#NUM!</v>
      </c>
      <c r="AE314" s="31" t="e">
        <f>_xlfn.PERCENTILE.INC(S:S, 0.66)</f>
        <v>#NUM!</v>
      </c>
      <c r="AF314" s="30" t="e">
        <f t="shared" si="29"/>
        <v>#NUM!</v>
      </c>
    </row>
    <row r="315" spans="1:32" x14ac:dyDescent="0.3">
      <c r="A315" s="2" t="s">
        <v>328</v>
      </c>
      <c r="B315" s="4">
        <v>45451</v>
      </c>
      <c r="C315" s="46">
        <f>EOMONTH(Table2[[#This Row],[OrderDate]],-1)+1</f>
        <v>45444</v>
      </c>
      <c r="D315" s="45">
        <f>EOMONTH(_xlfn.MINIFS(B315:B945,M315:M945,Table2[[#This Row],[Country]]), -1) + 1</f>
        <v>44927</v>
      </c>
      <c r="E315" s="46"/>
      <c r="F315" s="4" t="str">
        <f>"Q"&amp;ROUNDUP(MONTH(B315)/3,0)&amp;"-"&amp;YEAR(B315)</f>
        <v>Q2-2024</v>
      </c>
      <c r="G315" s="4">
        <v>45467</v>
      </c>
      <c r="H315" s="4">
        <f>IF(G315&lt;B315, B315+3, G315)</f>
        <v>45467</v>
      </c>
      <c r="I315" s="10">
        <f>H315-B315</f>
        <v>16</v>
      </c>
      <c r="J315" s="10">
        <f t="shared" si="24"/>
        <v>0</v>
      </c>
      <c r="K315" s="10">
        <f t="shared" si="25"/>
        <v>0</v>
      </c>
      <c r="L315" s="6" t="s">
        <v>646</v>
      </c>
      <c r="M315" s="6" t="s">
        <v>661</v>
      </c>
      <c r="N315" s="6" t="s">
        <v>687</v>
      </c>
      <c r="O315" s="6" t="s">
        <v>702</v>
      </c>
      <c r="P315" s="6" t="s">
        <v>710</v>
      </c>
      <c r="Q315" s="6" t="s">
        <v>722</v>
      </c>
      <c r="R315" s="6" t="s">
        <v>732</v>
      </c>
      <c r="S315" s="6" t="s">
        <v>1048</v>
      </c>
      <c r="T315" s="8">
        <v>597.85</v>
      </c>
      <c r="U315" s="8">
        <v>741.92</v>
      </c>
      <c r="V315" s="8">
        <f t="shared" si="26"/>
        <v>3.1E-2</v>
      </c>
      <c r="W315" s="8">
        <v>3.1E-2</v>
      </c>
      <c r="X315" s="10">
        <f>IF(Table2[[#This Row],[DiscountPct]]&gt;0.2,1,0)</f>
        <v>0</v>
      </c>
      <c r="Y315" s="10">
        <v>7</v>
      </c>
      <c r="Z315" s="30">
        <f>Table2[[#This Row],[UnitPrice]]*Y315*(1-V315)</f>
        <v>5032.4433599999993</v>
      </c>
      <c r="AA315" s="2">
        <f>T315*Y315</f>
        <v>4184.95</v>
      </c>
      <c r="AB315" s="2">
        <f t="shared" si="27"/>
        <v>847.49335999999948</v>
      </c>
      <c r="AC315" s="2">
        <f t="shared" si="28"/>
        <v>0.16840594108544515</v>
      </c>
      <c r="AD315" s="2" t="e">
        <f>_xlfn.PERCENTILE.INC(S:S, 0.33)</f>
        <v>#NUM!</v>
      </c>
      <c r="AE315" s="2" t="e">
        <f>_xlfn.PERCENTILE.INC(S:S, 0.66)</f>
        <v>#NUM!</v>
      </c>
      <c r="AF315" s="30" t="e">
        <f t="shared" si="29"/>
        <v>#NUM!</v>
      </c>
    </row>
    <row r="316" spans="1:32" x14ac:dyDescent="0.3">
      <c r="A316" s="31" t="s">
        <v>329</v>
      </c>
      <c r="B316" s="32">
        <v>45809</v>
      </c>
      <c r="C316" s="47">
        <f>EOMONTH(Table2[[#This Row],[OrderDate]],-1)+1</f>
        <v>45809</v>
      </c>
      <c r="D316" s="45">
        <f>EOMONTH(_xlfn.MINIFS(B316:B946,M316:M946,Table2[[#This Row],[Country]]), -1) + 1</f>
        <v>44958</v>
      </c>
      <c r="E316" s="47"/>
      <c r="F316" s="32" t="str">
        <f>"Q"&amp;ROUNDUP(MONTH(B316)/3,0)&amp;"-"&amp;YEAR(B316)</f>
        <v>Q2-2025</v>
      </c>
      <c r="G316" s="32">
        <v>45814</v>
      </c>
      <c r="H316" s="32">
        <f>IF(G316&lt;B316, B316+3, G316)</f>
        <v>45814</v>
      </c>
      <c r="I316" s="33">
        <f>H316-B316</f>
        <v>5</v>
      </c>
      <c r="J316" s="33">
        <f t="shared" si="24"/>
        <v>1</v>
      </c>
      <c r="K316" s="33">
        <f t="shared" si="25"/>
        <v>1</v>
      </c>
      <c r="L316" s="34" t="s">
        <v>649</v>
      </c>
      <c r="M316" s="34" t="s">
        <v>657</v>
      </c>
      <c r="N316" s="34" t="s">
        <v>690</v>
      </c>
      <c r="O316" s="34" t="s">
        <v>704</v>
      </c>
      <c r="P316" s="34" t="s">
        <v>710</v>
      </c>
      <c r="Q316" s="34" t="s">
        <v>715</v>
      </c>
      <c r="R316" s="34" t="s">
        <v>727</v>
      </c>
      <c r="S316" s="34" t="s">
        <v>1049</v>
      </c>
      <c r="T316" s="35">
        <v>379.45</v>
      </c>
      <c r="U316" s="35">
        <v>742.23</v>
      </c>
      <c r="V316" s="35">
        <f t="shared" si="26"/>
        <v>0.09</v>
      </c>
      <c r="W316" s="35">
        <v>0.09</v>
      </c>
      <c r="X316" s="33">
        <f>IF(Table2[[#This Row],[DiscountPct]]&gt;0.2,1,0)</f>
        <v>0</v>
      </c>
      <c r="Y316" s="33">
        <v>13</v>
      </c>
      <c r="Z316" s="30">
        <f>Table2[[#This Row],[UnitPrice]]*Y316*(1-V316)</f>
        <v>8780.5809000000008</v>
      </c>
      <c r="AA316" s="31">
        <f>T316*Y316</f>
        <v>4932.8499999999995</v>
      </c>
      <c r="AB316" s="31">
        <f t="shared" si="27"/>
        <v>3847.7309000000014</v>
      </c>
      <c r="AC316" s="31">
        <f t="shared" si="28"/>
        <v>0.43820915083192286</v>
      </c>
      <c r="AD316" s="31" t="e">
        <f>_xlfn.PERCENTILE.INC(S:S, 0.33)</f>
        <v>#NUM!</v>
      </c>
      <c r="AE316" s="31" t="e">
        <f>_xlfn.PERCENTILE.INC(S:S, 0.66)</f>
        <v>#NUM!</v>
      </c>
      <c r="AF316" s="30" t="e">
        <f t="shared" si="29"/>
        <v>#NUM!</v>
      </c>
    </row>
    <row r="317" spans="1:32" x14ac:dyDescent="0.3">
      <c r="A317" s="2" t="s">
        <v>330</v>
      </c>
      <c r="B317" s="4">
        <v>45052</v>
      </c>
      <c r="C317" s="46">
        <f>EOMONTH(Table2[[#This Row],[OrderDate]],-1)+1</f>
        <v>45047</v>
      </c>
      <c r="D317" s="45">
        <f>EOMONTH(_xlfn.MINIFS(B317:B947,M317:M947,Table2[[#This Row],[Country]]), -1) + 1</f>
        <v>44986</v>
      </c>
      <c r="E317" s="46"/>
      <c r="F317" s="4" t="str">
        <f>"Q"&amp;ROUNDUP(MONTH(B317)/3,0)&amp;"-"&amp;YEAR(B317)</f>
        <v>Q2-2023</v>
      </c>
      <c r="G317" s="4">
        <v>45060</v>
      </c>
      <c r="H317" s="4">
        <f>IF(G317&lt;B317, B317+3, G317)</f>
        <v>45060</v>
      </c>
      <c r="I317" s="10">
        <f>H317-B317</f>
        <v>8</v>
      </c>
      <c r="J317" s="10">
        <f t="shared" si="24"/>
        <v>0</v>
      </c>
      <c r="K317" s="10">
        <f t="shared" si="25"/>
        <v>0</v>
      </c>
      <c r="L317" s="6" t="s">
        <v>647</v>
      </c>
      <c r="M317" s="6" t="s">
        <v>652</v>
      </c>
      <c r="N317" s="6" t="s">
        <v>666</v>
      </c>
      <c r="O317" s="6" t="s">
        <v>706</v>
      </c>
      <c r="P317" s="6" t="s">
        <v>709</v>
      </c>
      <c r="Q317" s="6" t="s">
        <v>717</v>
      </c>
      <c r="R317" s="6" t="s">
        <v>730</v>
      </c>
      <c r="S317" s="6" t="s">
        <v>1050</v>
      </c>
      <c r="T317" s="8">
        <v>291.18</v>
      </c>
      <c r="U317" s="8">
        <v>479.54</v>
      </c>
      <c r="V317" s="8">
        <f t="shared" si="26"/>
        <v>0.14099999999999999</v>
      </c>
      <c r="W317" s="8">
        <v>0.14099999999999999</v>
      </c>
      <c r="X317" s="10">
        <f>IF(Table2[[#This Row],[DiscountPct]]&gt;0.2,1,0)</f>
        <v>0</v>
      </c>
      <c r="Y317" s="10">
        <v>22</v>
      </c>
      <c r="Z317" s="30">
        <f>Table2[[#This Row],[UnitPrice]]*Y317*(1-V317)</f>
        <v>9062.34692</v>
      </c>
      <c r="AA317" s="2">
        <f>T317*Y317</f>
        <v>6405.96</v>
      </c>
      <c r="AB317" s="2">
        <f t="shared" si="27"/>
        <v>2656.3869199999999</v>
      </c>
      <c r="AC317" s="2">
        <f t="shared" si="28"/>
        <v>0.29312350801066001</v>
      </c>
      <c r="AD317" s="2" t="e">
        <f>_xlfn.PERCENTILE.INC(S:S, 0.33)</f>
        <v>#NUM!</v>
      </c>
      <c r="AE317" s="2" t="e">
        <f>_xlfn.PERCENTILE.INC(S:S, 0.66)</f>
        <v>#NUM!</v>
      </c>
      <c r="AF317" s="30" t="e">
        <f t="shared" si="29"/>
        <v>#NUM!</v>
      </c>
    </row>
    <row r="318" spans="1:32" x14ac:dyDescent="0.3">
      <c r="A318" s="31" t="s">
        <v>331</v>
      </c>
      <c r="B318" s="32">
        <v>45244</v>
      </c>
      <c r="C318" s="47">
        <f>EOMONTH(Table2[[#This Row],[OrderDate]],-1)+1</f>
        <v>45231</v>
      </c>
      <c r="D318" s="45">
        <f>EOMONTH(_xlfn.MINIFS(B318:B948,M318:M948,Table2[[#This Row],[Country]]), -1) + 1</f>
        <v>44927</v>
      </c>
      <c r="E318" s="47"/>
      <c r="F318" s="32" t="str">
        <f>"Q"&amp;ROUNDUP(MONTH(B318)/3,0)&amp;"-"&amp;YEAR(B318)</f>
        <v>Q4-2023</v>
      </c>
      <c r="G318" s="32">
        <v>45260</v>
      </c>
      <c r="H318" s="32">
        <f>IF(G318&lt;B318, B318+3, G318)</f>
        <v>45260</v>
      </c>
      <c r="I318" s="33">
        <f>H318-B318</f>
        <v>16</v>
      </c>
      <c r="J318" s="33">
        <f t="shared" si="24"/>
        <v>0</v>
      </c>
      <c r="K318" s="33">
        <f t="shared" si="25"/>
        <v>0</v>
      </c>
      <c r="L318" s="34" t="s">
        <v>648</v>
      </c>
      <c r="M318" s="34" t="s">
        <v>655</v>
      </c>
      <c r="N318" s="34" t="s">
        <v>670</v>
      </c>
      <c r="O318" s="34" t="s">
        <v>706</v>
      </c>
      <c r="P318" s="34" t="s">
        <v>711</v>
      </c>
      <c r="Q318" s="34" t="s">
        <v>723</v>
      </c>
      <c r="R318" s="34" t="s">
        <v>729</v>
      </c>
      <c r="S318" s="34" t="s">
        <v>1051</v>
      </c>
      <c r="T318" s="35">
        <v>1017.92</v>
      </c>
      <c r="U318" s="35">
        <v>1175.25</v>
      </c>
      <c r="V318" s="35">
        <f t="shared" si="26"/>
        <v>7.4999999999999997E-2</v>
      </c>
      <c r="W318" s="35">
        <v>7.4999999999999997E-2</v>
      </c>
      <c r="X318" s="33">
        <f>IF(Table2[[#This Row],[DiscountPct]]&gt;0.2,1,0)</f>
        <v>0</v>
      </c>
      <c r="Y318" s="33">
        <v>15</v>
      </c>
      <c r="Z318" s="30">
        <f>Table2[[#This Row],[UnitPrice]]*Y318*(1-V318)</f>
        <v>16306.59375</v>
      </c>
      <c r="AA318" s="31">
        <f>T318*Y318</f>
        <v>15268.8</v>
      </c>
      <c r="AB318" s="31">
        <f t="shared" si="27"/>
        <v>1037.7937500000007</v>
      </c>
      <c r="AC318" s="31">
        <f t="shared" si="28"/>
        <v>6.3642583234159542E-2</v>
      </c>
      <c r="AD318" s="31" t="e">
        <f>_xlfn.PERCENTILE.INC(S:S, 0.33)</f>
        <v>#NUM!</v>
      </c>
      <c r="AE318" s="31" t="e">
        <f>_xlfn.PERCENTILE.INC(S:S, 0.66)</f>
        <v>#NUM!</v>
      </c>
      <c r="AF318" s="30" t="e">
        <f t="shared" si="29"/>
        <v>#NUM!</v>
      </c>
    </row>
    <row r="319" spans="1:32" x14ac:dyDescent="0.3">
      <c r="A319" s="2" t="s">
        <v>332</v>
      </c>
      <c r="B319" s="4">
        <v>45748</v>
      </c>
      <c r="C319" s="46">
        <f>EOMONTH(Table2[[#This Row],[OrderDate]],-1)+1</f>
        <v>45748</v>
      </c>
      <c r="D319" s="45">
        <f>EOMONTH(_xlfn.MINIFS(B319:B949,M319:M949,Table2[[#This Row],[Country]]), -1) + 1</f>
        <v>44958</v>
      </c>
      <c r="E319" s="46"/>
      <c r="F319" s="4" t="str">
        <f>"Q"&amp;ROUNDUP(MONTH(B319)/3,0)&amp;"-"&amp;YEAR(B319)</f>
        <v>Q2-2025</v>
      </c>
      <c r="G319" s="4">
        <v>45774</v>
      </c>
      <c r="H319" s="4">
        <f>IF(G319&lt;B319, B319+3, G319)</f>
        <v>45774</v>
      </c>
      <c r="I319" s="10">
        <f>H319-B319</f>
        <v>26</v>
      </c>
      <c r="J319" s="10">
        <f t="shared" si="24"/>
        <v>0</v>
      </c>
      <c r="K319" s="10">
        <f t="shared" si="25"/>
        <v>0</v>
      </c>
      <c r="L319" s="6" t="s">
        <v>648</v>
      </c>
      <c r="M319" s="6" t="s">
        <v>660</v>
      </c>
      <c r="N319" s="6" t="s">
        <v>686</v>
      </c>
      <c r="O319" s="6" t="s">
        <v>701</v>
      </c>
      <c r="P319" s="6" t="s">
        <v>711</v>
      </c>
      <c r="Q319" s="6" t="s">
        <v>714</v>
      </c>
      <c r="R319" s="6" t="s">
        <v>732</v>
      </c>
      <c r="S319" s="6" t="s">
        <v>1052</v>
      </c>
      <c r="T319" s="8">
        <v>156.55000000000001</v>
      </c>
      <c r="U319" s="8">
        <v>227.45</v>
      </c>
      <c r="V319" s="8">
        <f t="shared" si="26"/>
        <v>1.4E-2</v>
      </c>
      <c r="W319" s="8">
        <v>1.4E-2</v>
      </c>
      <c r="X319" s="10">
        <f>IF(Table2[[#This Row],[DiscountPct]]&gt;0.2,1,0)</f>
        <v>0</v>
      </c>
      <c r="Y319" s="10">
        <v>13</v>
      </c>
      <c r="Z319" s="30">
        <f>Table2[[#This Row],[UnitPrice]]*Y319*(1-V319)</f>
        <v>2915.4540999999999</v>
      </c>
      <c r="AA319" s="2">
        <f>T319*Y319</f>
        <v>2035.15</v>
      </c>
      <c r="AB319" s="2">
        <f t="shared" si="27"/>
        <v>880.30409999999983</v>
      </c>
      <c r="AC319" s="2">
        <f t="shared" si="28"/>
        <v>0.3019440779396938</v>
      </c>
      <c r="AD319" s="2" t="e">
        <f>_xlfn.PERCENTILE.INC(S:S, 0.33)</f>
        <v>#NUM!</v>
      </c>
      <c r="AE319" s="2" t="e">
        <f>_xlfn.PERCENTILE.INC(S:S, 0.66)</f>
        <v>#NUM!</v>
      </c>
      <c r="AF319" s="30" t="e">
        <f t="shared" si="29"/>
        <v>#NUM!</v>
      </c>
    </row>
    <row r="320" spans="1:32" x14ac:dyDescent="0.3">
      <c r="A320" s="31" t="s">
        <v>333</v>
      </c>
      <c r="B320" s="32">
        <v>45008</v>
      </c>
      <c r="C320" s="47">
        <f>EOMONTH(Table2[[#This Row],[OrderDate]],-1)+1</f>
        <v>44986</v>
      </c>
      <c r="D320" s="45">
        <f>EOMONTH(_xlfn.MINIFS(B320:B950,M320:M950,Table2[[#This Row],[Country]]), -1) + 1</f>
        <v>44958</v>
      </c>
      <c r="E320" s="47"/>
      <c r="F320" s="32" t="str">
        <f>"Q"&amp;ROUNDUP(MONTH(B320)/3,0)&amp;"-"&amp;YEAR(B320)</f>
        <v>Q1-2023</v>
      </c>
      <c r="G320" s="32">
        <v>45031</v>
      </c>
      <c r="H320" s="32">
        <f>IF(G320&lt;B320, B320+3, G320)</f>
        <v>45031</v>
      </c>
      <c r="I320" s="33">
        <f>H320-B320</f>
        <v>23</v>
      </c>
      <c r="J320" s="33">
        <f t="shared" si="24"/>
        <v>0</v>
      </c>
      <c r="K320" s="33">
        <f t="shared" si="25"/>
        <v>0</v>
      </c>
      <c r="L320" s="34" t="s">
        <v>646</v>
      </c>
      <c r="M320" s="34" t="s">
        <v>650</v>
      </c>
      <c r="N320" s="34" t="s">
        <v>675</v>
      </c>
      <c r="O320" s="34" t="s">
        <v>705</v>
      </c>
      <c r="P320" s="34" t="s">
        <v>707</v>
      </c>
      <c r="Q320" s="34" t="s">
        <v>712</v>
      </c>
      <c r="R320" s="34" t="s">
        <v>733</v>
      </c>
      <c r="S320" s="34" t="s">
        <v>1053</v>
      </c>
      <c r="T320" s="35">
        <v>875.36</v>
      </c>
      <c r="U320" s="35">
        <v>1178.6199999999999</v>
      </c>
      <c r="V320" s="35">
        <f t="shared" si="26"/>
        <v>0.151</v>
      </c>
      <c r="W320" s="35">
        <v>0.151</v>
      </c>
      <c r="X320" s="33">
        <f>IF(Table2[[#This Row],[DiscountPct]]&gt;0.2,1,0)</f>
        <v>0</v>
      </c>
      <c r="Y320" s="33">
        <v>53</v>
      </c>
      <c r="Z320" s="30">
        <f>Table2[[#This Row],[UnitPrice]]*Y320*(1-V320)</f>
        <v>53034.364139999991</v>
      </c>
      <c r="AA320" s="31">
        <f>T320*Y320</f>
        <v>46394.080000000002</v>
      </c>
      <c r="AB320" s="31">
        <f t="shared" si="27"/>
        <v>6640.2841399999888</v>
      </c>
      <c r="AC320" s="31">
        <f t="shared" si="28"/>
        <v>0.12520719815685888</v>
      </c>
      <c r="AD320" s="31" t="e">
        <f>_xlfn.PERCENTILE.INC(S:S, 0.33)</f>
        <v>#NUM!</v>
      </c>
      <c r="AE320" s="31" t="e">
        <f>_xlfn.PERCENTILE.INC(S:S, 0.66)</f>
        <v>#NUM!</v>
      </c>
      <c r="AF320" s="30" t="e">
        <f t="shared" si="29"/>
        <v>#NUM!</v>
      </c>
    </row>
    <row r="321" spans="1:32" x14ac:dyDescent="0.3">
      <c r="A321" s="2" t="s">
        <v>334</v>
      </c>
      <c r="B321" s="4">
        <v>45440</v>
      </c>
      <c r="C321" s="46">
        <f>EOMONTH(Table2[[#This Row],[OrderDate]],-1)+1</f>
        <v>45413</v>
      </c>
      <c r="D321" s="45">
        <f>EOMONTH(_xlfn.MINIFS(B321:B951,M321:M951,Table2[[#This Row],[Country]]), -1) + 1</f>
        <v>44927</v>
      </c>
      <c r="E321" s="46"/>
      <c r="F321" s="4" t="str">
        <f>"Q"&amp;ROUNDUP(MONTH(B321)/3,0)&amp;"-"&amp;YEAR(B321)</f>
        <v>Q2-2024</v>
      </c>
      <c r="G321" s="4">
        <v>45461</v>
      </c>
      <c r="H321" s="4">
        <f>IF(G321&lt;B321, B321+3, G321)</f>
        <v>45461</v>
      </c>
      <c r="I321" s="10">
        <f>H321-B321</f>
        <v>21</v>
      </c>
      <c r="J321" s="10">
        <f t="shared" si="24"/>
        <v>0</v>
      </c>
      <c r="K321" s="10">
        <f t="shared" si="25"/>
        <v>0</v>
      </c>
      <c r="L321" s="6" t="s">
        <v>649</v>
      </c>
      <c r="M321" s="6" t="s">
        <v>656</v>
      </c>
      <c r="N321" s="6" t="s">
        <v>698</v>
      </c>
      <c r="O321" s="6" t="s">
        <v>705</v>
      </c>
      <c r="P321" s="6" t="s">
        <v>708</v>
      </c>
      <c r="Q321" s="6" t="s">
        <v>718</v>
      </c>
      <c r="R321" s="6" t="s">
        <v>730</v>
      </c>
      <c r="S321" s="6" t="s">
        <v>1054</v>
      </c>
      <c r="T321" s="8">
        <v>986.85</v>
      </c>
      <c r="U321" s="8">
        <v>2422.1</v>
      </c>
      <c r="V321" s="8">
        <f t="shared" si="26"/>
        <v>7.5999999999999998E-2</v>
      </c>
      <c r="W321" s="8">
        <v>7.5999999999999998E-2</v>
      </c>
      <c r="X321" s="10">
        <f>IF(Table2[[#This Row],[DiscountPct]]&gt;0.2,1,0)</f>
        <v>0</v>
      </c>
      <c r="Y321" s="10">
        <v>10</v>
      </c>
      <c r="Z321" s="30">
        <f>Table2[[#This Row],[UnitPrice]]*Y321*(1-V321)</f>
        <v>22380.204000000002</v>
      </c>
      <c r="AA321" s="2">
        <f>T321*Y321</f>
        <v>9868.5</v>
      </c>
      <c r="AB321" s="2">
        <f t="shared" si="27"/>
        <v>12511.704000000002</v>
      </c>
      <c r="AC321" s="2">
        <f t="shared" si="28"/>
        <v>0.55905227673527913</v>
      </c>
      <c r="AD321" s="2" t="e">
        <f>_xlfn.PERCENTILE.INC(S:S, 0.33)</f>
        <v>#NUM!</v>
      </c>
      <c r="AE321" s="2" t="e">
        <f>_xlfn.PERCENTILE.INC(S:S, 0.66)</f>
        <v>#NUM!</v>
      </c>
      <c r="AF321" s="30" t="e">
        <f t="shared" si="29"/>
        <v>#NUM!</v>
      </c>
    </row>
    <row r="322" spans="1:32" x14ac:dyDescent="0.3">
      <c r="A322" s="31" t="s">
        <v>335</v>
      </c>
      <c r="B322" s="32">
        <v>45293</v>
      </c>
      <c r="C322" s="47">
        <f>EOMONTH(Table2[[#This Row],[OrderDate]],-1)+1</f>
        <v>45292</v>
      </c>
      <c r="D322" s="45">
        <f>EOMONTH(_xlfn.MINIFS(B322:B952,M322:M952,Table2[[#This Row],[Country]]), -1) + 1</f>
        <v>44958</v>
      </c>
      <c r="E322" s="47"/>
      <c r="F322" s="32" t="str">
        <f>"Q"&amp;ROUNDUP(MONTH(B322)/3,0)&amp;"-"&amp;YEAR(B322)</f>
        <v>Q1-2024</v>
      </c>
      <c r="G322" s="32">
        <v>45292</v>
      </c>
      <c r="H322" s="32">
        <f>IF(G322&lt;B322, B322+3, G322)</f>
        <v>45296</v>
      </c>
      <c r="I322" s="33">
        <f>H322-B322</f>
        <v>3</v>
      </c>
      <c r="J322" s="33">
        <f t="shared" ref="J322:J385" si="30">IF(I322 &lt;= 7, 1, 0)</f>
        <v>1</v>
      </c>
      <c r="K322" s="33">
        <f t="shared" ref="K322:K385" si="31">IF(I322&lt;=7,1,0)</f>
        <v>1</v>
      </c>
      <c r="L322" s="34" t="s">
        <v>648</v>
      </c>
      <c r="M322" s="34" t="s">
        <v>660</v>
      </c>
      <c r="N322" s="34" t="s">
        <v>677</v>
      </c>
      <c r="O322" s="34" t="s">
        <v>702</v>
      </c>
      <c r="P322" s="34" t="s">
        <v>709</v>
      </c>
      <c r="Q322" s="34" t="s">
        <v>717</v>
      </c>
      <c r="R322" s="34" t="s">
        <v>729</v>
      </c>
      <c r="S322" s="34" t="s">
        <v>1055</v>
      </c>
      <c r="T322" s="35">
        <v>404.77</v>
      </c>
      <c r="U322" s="35">
        <v>433.88</v>
      </c>
      <c r="V322" s="35">
        <f t="shared" si="26"/>
        <v>0.215</v>
      </c>
      <c r="W322" s="35">
        <v>0.215</v>
      </c>
      <c r="X322" s="33">
        <f>IF(Table2[[#This Row],[DiscountPct]]&gt;0.2,1,0)</f>
        <v>1</v>
      </c>
      <c r="Y322" s="33">
        <v>22</v>
      </c>
      <c r="Z322" s="30">
        <f>Table2[[#This Row],[UnitPrice]]*Y322*(1-V322)</f>
        <v>7493.1076000000012</v>
      </c>
      <c r="AA322" s="31">
        <f>T322*Y322</f>
        <v>8904.9399999999987</v>
      </c>
      <c r="AB322" s="31">
        <f t="shared" si="27"/>
        <v>-1411.8323999999975</v>
      </c>
      <c r="AC322" s="31">
        <f t="shared" si="28"/>
        <v>-0.18841747314558746</v>
      </c>
      <c r="AD322" s="31" t="e">
        <f>_xlfn.PERCENTILE.INC(S:S, 0.33)</f>
        <v>#NUM!</v>
      </c>
      <c r="AE322" s="31" t="e">
        <f>_xlfn.PERCENTILE.INC(S:S, 0.66)</f>
        <v>#NUM!</v>
      </c>
      <c r="AF322" s="30" t="e">
        <f t="shared" si="29"/>
        <v>#NUM!</v>
      </c>
    </row>
    <row r="323" spans="1:32" x14ac:dyDescent="0.3">
      <c r="A323" s="2" t="s">
        <v>336</v>
      </c>
      <c r="B323" s="4">
        <v>44985</v>
      </c>
      <c r="C323" s="46">
        <f>EOMONTH(Table2[[#This Row],[OrderDate]],-1)+1</f>
        <v>44958</v>
      </c>
      <c r="D323" s="45">
        <f>EOMONTH(_xlfn.MINIFS(B323:B953,M323:M953,Table2[[#This Row],[Country]]), -1) + 1</f>
        <v>44958</v>
      </c>
      <c r="E323" s="46"/>
      <c r="F323" s="4" t="str">
        <f>"Q"&amp;ROUNDUP(MONTH(B323)/3,0)&amp;"-"&amp;YEAR(B323)</f>
        <v>Q1-2023</v>
      </c>
      <c r="G323" s="4">
        <v>44984</v>
      </c>
      <c r="H323" s="4">
        <f>IF(G323&lt;B323, B323+3, G323)</f>
        <v>44988</v>
      </c>
      <c r="I323" s="10">
        <f>H323-B323</f>
        <v>3</v>
      </c>
      <c r="J323" s="10">
        <f t="shared" si="30"/>
        <v>1</v>
      </c>
      <c r="K323" s="10">
        <f t="shared" si="31"/>
        <v>1</v>
      </c>
      <c r="L323" s="6" t="s">
        <v>649</v>
      </c>
      <c r="M323" s="6" t="s">
        <v>657</v>
      </c>
      <c r="N323" s="6" t="s">
        <v>673</v>
      </c>
      <c r="O323" s="6" t="s">
        <v>701</v>
      </c>
      <c r="P323" s="6" t="s">
        <v>707</v>
      </c>
      <c r="Q323" s="6" t="s">
        <v>723</v>
      </c>
      <c r="R323" s="6" t="s">
        <v>729</v>
      </c>
      <c r="S323" s="6" t="s">
        <v>1056</v>
      </c>
      <c r="T323" s="8">
        <v>1299.81</v>
      </c>
      <c r="U323" s="8">
        <v>3149.13</v>
      </c>
      <c r="V323" s="8">
        <f t="shared" ref="V323:V386" si="32">IF(W323&gt;0.3,0.3,W323)</f>
        <v>0.10299999999999999</v>
      </c>
      <c r="W323" s="8">
        <v>0.10299999999999999</v>
      </c>
      <c r="X323" s="10">
        <f>IF(Table2[[#This Row],[DiscountPct]]&gt;0.2,1,0)</f>
        <v>0</v>
      </c>
      <c r="Y323" s="10">
        <v>14</v>
      </c>
      <c r="Z323" s="30">
        <f>Table2[[#This Row],[UnitPrice]]*Y323*(1-V323)</f>
        <v>39546.774539999999</v>
      </c>
      <c r="AA323" s="2">
        <f>T323*Y323</f>
        <v>18197.34</v>
      </c>
      <c r="AB323" s="2">
        <f t="shared" ref="AB323:AB386" si="33">Z323-AA323</f>
        <v>21349.434539999998</v>
      </c>
      <c r="AC323" s="2">
        <f t="shared" ref="AC323:AC386" si="34">IF(Z323=0,0,AB323/Z323)</f>
        <v>0.53985273864511729</v>
      </c>
      <c r="AD323" s="2" t="e">
        <f>_xlfn.PERCENTILE.INC(S:S, 0.33)</f>
        <v>#NUM!</v>
      </c>
      <c r="AE323" s="2" t="e">
        <f>_xlfn.PERCENTILE.INC(S:S, 0.66)</f>
        <v>#NUM!</v>
      </c>
      <c r="AF323" s="30" t="e">
        <f t="shared" ref="AF323:AF386" si="35">IF(Z323="","",
   IF(Z323&lt;=AD323,"Low",
      IF(Z323&lt;=AE323,"Medium","High")
   )
)</f>
        <v>#NUM!</v>
      </c>
    </row>
    <row r="324" spans="1:32" x14ac:dyDescent="0.3">
      <c r="A324" s="31" t="s">
        <v>337</v>
      </c>
      <c r="B324" s="32">
        <v>45340</v>
      </c>
      <c r="C324" s="47">
        <f>EOMONTH(Table2[[#This Row],[OrderDate]],-1)+1</f>
        <v>45323</v>
      </c>
      <c r="D324" s="45">
        <f>EOMONTH(_xlfn.MINIFS(B324:B954,M324:M954,Table2[[#This Row],[Country]]), -1) + 1</f>
        <v>44927</v>
      </c>
      <c r="E324" s="47"/>
      <c r="F324" s="32" t="str">
        <f>"Q"&amp;ROUNDUP(MONTH(B324)/3,0)&amp;"-"&amp;YEAR(B324)</f>
        <v>Q1-2024</v>
      </c>
      <c r="G324" s="32">
        <v>45362</v>
      </c>
      <c r="H324" s="32">
        <f>IF(G324&lt;B324, B324+3, G324)</f>
        <v>45362</v>
      </c>
      <c r="I324" s="33">
        <f>H324-B324</f>
        <v>22</v>
      </c>
      <c r="J324" s="33">
        <f t="shared" si="30"/>
        <v>0</v>
      </c>
      <c r="K324" s="33">
        <f t="shared" si="31"/>
        <v>0</v>
      </c>
      <c r="L324" s="34" t="s">
        <v>648</v>
      </c>
      <c r="M324" s="34" t="s">
        <v>655</v>
      </c>
      <c r="N324" s="34" t="s">
        <v>670</v>
      </c>
      <c r="O324" s="34" t="s">
        <v>704</v>
      </c>
      <c r="P324" s="34" t="s">
        <v>708</v>
      </c>
      <c r="Q324" s="34" t="s">
        <v>720</v>
      </c>
      <c r="R324" s="34" t="s">
        <v>727</v>
      </c>
      <c r="S324" s="34" t="s">
        <v>1057</v>
      </c>
      <c r="T324" s="35">
        <v>80.48</v>
      </c>
      <c r="U324" s="35">
        <v>65.650000000000006</v>
      </c>
      <c r="V324" s="35">
        <f t="shared" si="32"/>
        <v>0.17599999999999999</v>
      </c>
      <c r="W324" s="35">
        <v>0.17599999999999999</v>
      </c>
      <c r="X324" s="33">
        <f>IF(Table2[[#This Row],[DiscountPct]]&gt;0.2,1,0)</f>
        <v>0</v>
      </c>
      <c r="Y324" s="33">
        <v>13</v>
      </c>
      <c r="Z324" s="30">
        <f>Table2[[#This Row],[UnitPrice]]*Y324*(1-V324)</f>
        <v>703.2428000000001</v>
      </c>
      <c r="AA324" s="31">
        <f>T324*Y324</f>
        <v>1046.24</v>
      </c>
      <c r="AB324" s="31">
        <f t="shared" si="33"/>
        <v>-342.99719999999991</v>
      </c>
      <c r="AC324" s="31">
        <f t="shared" si="34"/>
        <v>-0.48773652570634191</v>
      </c>
      <c r="AD324" s="31" t="e">
        <f>_xlfn.PERCENTILE.INC(S:S, 0.33)</f>
        <v>#NUM!</v>
      </c>
      <c r="AE324" s="31" t="e">
        <f>_xlfn.PERCENTILE.INC(S:S, 0.66)</f>
        <v>#NUM!</v>
      </c>
      <c r="AF324" s="30" t="e">
        <f t="shared" si="35"/>
        <v>#NUM!</v>
      </c>
    </row>
    <row r="325" spans="1:32" x14ac:dyDescent="0.3">
      <c r="A325" s="2" t="s">
        <v>338</v>
      </c>
      <c r="B325" s="4">
        <v>45544</v>
      </c>
      <c r="C325" s="46">
        <f>EOMONTH(Table2[[#This Row],[OrderDate]],-1)+1</f>
        <v>45536</v>
      </c>
      <c r="D325" s="45">
        <f>EOMONTH(_xlfn.MINIFS(B325:B955,M325:M955,Table2[[#This Row],[Country]]), -1) + 1</f>
        <v>44927</v>
      </c>
      <c r="E325" s="46"/>
      <c r="F325" s="4" t="str">
        <f>"Q"&amp;ROUNDUP(MONTH(B325)/3,0)&amp;"-"&amp;YEAR(B325)</f>
        <v>Q3-2024</v>
      </c>
      <c r="G325" s="4">
        <v>45573</v>
      </c>
      <c r="H325" s="4">
        <f>IF(G325&lt;B325, B325+3, G325)</f>
        <v>45573</v>
      </c>
      <c r="I325" s="10">
        <f>H325-B325</f>
        <v>29</v>
      </c>
      <c r="J325" s="10">
        <f t="shared" si="30"/>
        <v>0</v>
      </c>
      <c r="K325" s="10">
        <f t="shared" si="31"/>
        <v>0</v>
      </c>
      <c r="L325" s="6" t="s">
        <v>648</v>
      </c>
      <c r="M325" s="6" t="s">
        <v>655</v>
      </c>
      <c r="N325" s="6" t="s">
        <v>670</v>
      </c>
      <c r="O325" s="6" t="s">
        <v>702</v>
      </c>
      <c r="P325" s="6" t="s">
        <v>711</v>
      </c>
      <c r="Q325" s="6" t="s">
        <v>713</v>
      </c>
      <c r="R325" s="6" t="s">
        <v>727</v>
      </c>
      <c r="S325" s="6" t="s">
        <v>1058</v>
      </c>
      <c r="T325" s="8">
        <v>1010.33</v>
      </c>
      <c r="U325" s="8">
        <v>2492.14</v>
      </c>
      <c r="V325" s="8">
        <f t="shared" si="32"/>
        <v>5.0999999999999997E-2</v>
      </c>
      <c r="W325" s="8">
        <v>5.0999999999999997E-2</v>
      </c>
      <c r="X325" s="10">
        <f>IF(Table2[[#This Row],[DiscountPct]]&gt;0.2,1,0)</f>
        <v>0</v>
      </c>
      <c r="Y325" s="10">
        <v>11</v>
      </c>
      <c r="Z325" s="30">
        <f>Table2[[#This Row],[UnitPrice]]*Y325*(1-V325)</f>
        <v>26015.449459999996</v>
      </c>
      <c r="AA325" s="2">
        <f>T325*Y325</f>
        <v>11113.630000000001</v>
      </c>
      <c r="AB325" s="2">
        <f t="shared" si="33"/>
        <v>14901.819459999995</v>
      </c>
      <c r="AC325" s="2">
        <f t="shared" si="34"/>
        <v>0.57280653493656752</v>
      </c>
      <c r="AD325" s="2" t="e">
        <f>_xlfn.PERCENTILE.INC(S:S, 0.33)</f>
        <v>#NUM!</v>
      </c>
      <c r="AE325" s="2" t="e">
        <f>_xlfn.PERCENTILE.INC(S:S, 0.66)</f>
        <v>#NUM!</v>
      </c>
      <c r="AF325" s="30" t="e">
        <f t="shared" si="35"/>
        <v>#NUM!</v>
      </c>
    </row>
    <row r="326" spans="1:32" x14ac:dyDescent="0.3">
      <c r="A326" s="31" t="s">
        <v>339</v>
      </c>
      <c r="B326" s="32">
        <v>45053</v>
      </c>
      <c r="C326" s="47">
        <f>EOMONTH(Table2[[#This Row],[OrderDate]],-1)+1</f>
        <v>45047</v>
      </c>
      <c r="D326" s="45">
        <f>EOMONTH(_xlfn.MINIFS(B326:B956,M326:M956,Table2[[#This Row],[Country]]), -1) + 1</f>
        <v>44927</v>
      </c>
      <c r="E326" s="47"/>
      <c r="F326" s="32" t="str">
        <f>"Q"&amp;ROUNDUP(MONTH(B326)/3,0)&amp;"-"&amp;YEAR(B326)</f>
        <v>Q2-2023</v>
      </c>
      <c r="G326" s="32">
        <v>45075</v>
      </c>
      <c r="H326" s="32">
        <f>IF(G326&lt;B326, B326+3, G326)</f>
        <v>45075</v>
      </c>
      <c r="I326" s="33">
        <f>H326-B326</f>
        <v>22</v>
      </c>
      <c r="J326" s="33">
        <f t="shared" si="30"/>
        <v>0</v>
      </c>
      <c r="K326" s="33">
        <f t="shared" si="31"/>
        <v>0</v>
      </c>
      <c r="L326" s="34" t="s">
        <v>646</v>
      </c>
      <c r="M326" s="34" t="s">
        <v>661</v>
      </c>
      <c r="N326" s="34" t="s">
        <v>687</v>
      </c>
      <c r="O326" s="34" t="s">
        <v>702</v>
      </c>
      <c r="P326" s="34" t="s">
        <v>710</v>
      </c>
      <c r="Q326" s="34" t="s">
        <v>723</v>
      </c>
      <c r="R326" s="34" t="s">
        <v>733</v>
      </c>
      <c r="S326" s="34" t="s">
        <v>1059</v>
      </c>
      <c r="T326" s="35">
        <v>653.86</v>
      </c>
      <c r="U326" s="35">
        <v>931.84</v>
      </c>
      <c r="V326" s="35">
        <f t="shared" si="32"/>
        <v>0.121</v>
      </c>
      <c r="W326" s="35">
        <v>0.121</v>
      </c>
      <c r="X326" s="33">
        <f>IF(Table2[[#This Row],[DiscountPct]]&gt;0.2,1,0)</f>
        <v>0</v>
      </c>
      <c r="Y326" s="33">
        <v>12</v>
      </c>
      <c r="Z326" s="30">
        <f>Table2[[#This Row],[UnitPrice]]*Y326*(1-V326)</f>
        <v>9829.0483199999999</v>
      </c>
      <c r="AA326" s="31">
        <f>T326*Y326</f>
        <v>7846.32</v>
      </c>
      <c r="AB326" s="31">
        <f t="shared" si="33"/>
        <v>1982.7283200000002</v>
      </c>
      <c r="AC326" s="31">
        <f t="shared" si="34"/>
        <v>0.20172129136506273</v>
      </c>
      <c r="AD326" s="31" t="e">
        <f>_xlfn.PERCENTILE.INC(S:S, 0.33)</f>
        <v>#NUM!</v>
      </c>
      <c r="AE326" s="31" t="e">
        <f>_xlfn.PERCENTILE.INC(S:S, 0.66)</f>
        <v>#NUM!</v>
      </c>
      <c r="AF326" s="30" t="e">
        <f t="shared" si="35"/>
        <v>#NUM!</v>
      </c>
    </row>
    <row r="327" spans="1:32" x14ac:dyDescent="0.3">
      <c r="A327" s="2" t="s">
        <v>340</v>
      </c>
      <c r="B327" s="4">
        <v>45303</v>
      </c>
      <c r="C327" s="46">
        <f>EOMONTH(Table2[[#This Row],[OrderDate]],-1)+1</f>
        <v>45292</v>
      </c>
      <c r="D327" s="45">
        <f>EOMONTH(_xlfn.MINIFS(B327:B957,M327:M957,Table2[[#This Row],[Country]]), -1) + 1</f>
        <v>45047</v>
      </c>
      <c r="E327" s="46"/>
      <c r="F327" s="4" t="str">
        <f>"Q"&amp;ROUNDUP(MONTH(B327)/3,0)&amp;"-"&amp;YEAR(B327)</f>
        <v>Q1-2024</v>
      </c>
      <c r="G327" s="4">
        <v>45320</v>
      </c>
      <c r="H327" s="4">
        <f>IF(G327&lt;B327, B327+3, G327)</f>
        <v>45320</v>
      </c>
      <c r="I327" s="10">
        <f>H327-B327</f>
        <v>17</v>
      </c>
      <c r="J327" s="10">
        <f t="shared" si="30"/>
        <v>0</v>
      </c>
      <c r="K327" s="10">
        <f t="shared" si="31"/>
        <v>0</v>
      </c>
      <c r="L327" s="6" t="s">
        <v>647</v>
      </c>
      <c r="M327" s="6" t="s">
        <v>654</v>
      </c>
      <c r="N327" s="6" t="s">
        <v>696</v>
      </c>
      <c r="O327" s="6" t="s">
        <v>705</v>
      </c>
      <c r="P327" s="6" t="s">
        <v>711</v>
      </c>
      <c r="Q327" s="6" t="s">
        <v>717</v>
      </c>
      <c r="R327" s="6" t="s">
        <v>727</v>
      </c>
      <c r="S327" s="6" t="s">
        <v>1060</v>
      </c>
      <c r="T327" s="8">
        <v>310.02</v>
      </c>
      <c r="U327" s="8">
        <v>619.51</v>
      </c>
      <c r="V327" s="8">
        <f t="shared" si="32"/>
        <v>4.2000000000000003E-2</v>
      </c>
      <c r="W327" s="8">
        <v>4.2000000000000003E-2</v>
      </c>
      <c r="X327" s="10">
        <f>IF(Table2[[#This Row],[DiscountPct]]&gt;0.2,1,0)</f>
        <v>0</v>
      </c>
      <c r="Y327" s="10">
        <v>4</v>
      </c>
      <c r="Z327" s="30">
        <f>Table2[[#This Row],[UnitPrice]]*Y327*(1-V327)</f>
        <v>2373.9623200000001</v>
      </c>
      <c r="AA327" s="2">
        <f>T327*Y327</f>
        <v>1240.08</v>
      </c>
      <c r="AB327" s="2">
        <f t="shared" si="33"/>
        <v>1133.8823200000002</v>
      </c>
      <c r="AC327" s="2">
        <f t="shared" si="34"/>
        <v>0.47763282106347843</v>
      </c>
      <c r="AD327" s="2" t="e">
        <f>_xlfn.PERCENTILE.INC(S:S, 0.33)</f>
        <v>#NUM!</v>
      </c>
      <c r="AE327" s="2" t="e">
        <f>_xlfn.PERCENTILE.INC(S:S, 0.66)</f>
        <v>#NUM!</v>
      </c>
      <c r="AF327" s="30" t="e">
        <f t="shared" si="35"/>
        <v>#NUM!</v>
      </c>
    </row>
    <row r="328" spans="1:32" x14ac:dyDescent="0.3">
      <c r="A328" s="31" t="s">
        <v>341</v>
      </c>
      <c r="B328" s="32">
        <v>45087</v>
      </c>
      <c r="C328" s="47">
        <f>EOMONTH(Table2[[#This Row],[OrderDate]],-1)+1</f>
        <v>45078</v>
      </c>
      <c r="D328" s="45">
        <f>EOMONTH(_xlfn.MINIFS(B328:B958,M328:M958,Table2[[#This Row],[Country]]), -1) + 1</f>
        <v>44958</v>
      </c>
      <c r="E328" s="47"/>
      <c r="F328" s="32" t="str">
        <f>"Q"&amp;ROUNDUP(MONTH(B328)/3,0)&amp;"-"&amp;YEAR(B328)</f>
        <v>Q2-2023</v>
      </c>
      <c r="G328" s="32">
        <v>45095</v>
      </c>
      <c r="H328" s="32">
        <f>IF(G328&lt;B328, B328+3, G328)</f>
        <v>45095</v>
      </c>
      <c r="I328" s="33">
        <f>H328-B328</f>
        <v>8</v>
      </c>
      <c r="J328" s="33">
        <f t="shared" si="30"/>
        <v>0</v>
      </c>
      <c r="K328" s="33">
        <f t="shared" si="31"/>
        <v>0</v>
      </c>
      <c r="L328" s="34" t="s">
        <v>646</v>
      </c>
      <c r="M328" s="34" t="s">
        <v>650</v>
      </c>
      <c r="N328" s="34" t="s">
        <v>678</v>
      </c>
      <c r="O328" s="34" t="s">
        <v>706</v>
      </c>
      <c r="P328" s="34" t="s">
        <v>711</v>
      </c>
      <c r="Q328" s="34" t="s">
        <v>722</v>
      </c>
      <c r="R328" s="34" t="s">
        <v>730</v>
      </c>
      <c r="S328" s="34" t="s">
        <v>1061</v>
      </c>
      <c r="T328" s="35">
        <v>894.23</v>
      </c>
      <c r="U328" s="35">
        <v>1421.55</v>
      </c>
      <c r="V328" s="35">
        <f t="shared" si="32"/>
        <v>0.109</v>
      </c>
      <c r="W328" s="35">
        <v>0.109</v>
      </c>
      <c r="X328" s="33">
        <f>IF(Table2[[#This Row],[DiscountPct]]&gt;0.2,1,0)</f>
        <v>0</v>
      </c>
      <c r="Y328" s="33">
        <v>3</v>
      </c>
      <c r="Z328" s="30">
        <f>Table2[[#This Row],[UnitPrice]]*Y328*(1-V328)</f>
        <v>3799.8031499999997</v>
      </c>
      <c r="AA328" s="31">
        <f>T328*Y328</f>
        <v>2682.69</v>
      </c>
      <c r="AB328" s="31">
        <f t="shared" si="33"/>
        <v>1117.1131499999997</v>
      </c>
      <c r="AC328" s="31">
        <f t="shared" si="34"/>
        <v>0.29399237431549574</v>
      </c>
      <c r="AD328" s="31" t="e">
        <f>_xlfn.PERCENTILE.INC(S:S, 0.33)</f>
        <v>#NUM!</v>
      </c>
      <c r="AE328" s="31" t="e">
        <f>_xlfn.PERCENTILE.INC(S:S, 0.66)</f>
        <v>#NUM!</v>
      </c>
      <c r="AF328" s="30" t="e">
        <f t="shared" si="35"/>
        <v>#NUM!</v>
      </c>
    </row>
    <row r="329" spans="1:32" x14ac:dyDescent="0.3">
      <c r="A329" s="2" t="s">
        <v>342</v>
      </c>
      <c r="B329" s="4">
        <v>45796</v>
      </c>
      <c r="C329" s="46">
        <f>EOMONTH(Table2[[#This Row],[OrderDate]],-1)+1</f>
        <v>45778</v>
      </c>
      <c r="D329" s="45">
        <f>EOMONTH(_xlfn.MINIFS(B329:B959,M329:M959,Table2[[#This Row],[Country]]), -1) + 1</f>
        <v>44927</v>
      </c>
      <c r="E329" s="46"/>
      <c r="F329" s="4" t="str">
        <f>"Q"&amp;ROUNDUP(MONTH(B329)/3,0)&amp;"-"&amp;YEAR(B329)</f>
        <v>Q2-2025</v>
      </c>
      <c r="G329" s="4">
        <v>45794</v>
      </c>
      <c r="H329" s="4">
        <f>IF(G329&lt;B329, B329+3, G329)</f>
        <v>45799</v>
      </c>
      <c r="I329" s="10">
        <f>H329-B329</f>
        <v>3</v>
      </c>
      <c r="J329" s="10">
        <f t="shared" si="30"/>
        <v>1</v>
      </c>
      <c r="K329" s="10">
        <f t="shared" si="31"/>
        <v>1</v>
      </c>
      <c r="L329" s="6" t="s">
        <v>648</v>
      </c>
      <c r="M329" s="6" t="s">
        <v>655</v>
      </c>
      <c r="N329" s="6" t="s">
        <v>670</v>
      </c>
      <c r="O329" s="6" t="s">
        <v>705</v>
      </c>
      <c r="P329" s="6" t="s">
        <v>710</v>
      </c>
      <c r="Q329" s="6" t="s">
        <v>716</v>
      </c>
      <c r="R329" s="6" t="s">
        <v>732</v>
      </c>
      <c r="S329" s="6" t="s">
        <v>1062</v>
      </c>
      <c r="T329" s="8">
        <v>383.77</v>
      </c>
      <c r="U329" s="8">
        <v>952.56</v>
      </c>
      <c r="V329" s="8">
        <f t="shared" si="32"/>
        <v>0.3</v>
      </c>
      <c r="W329" s="8">
        <v>0.34599999999999997</v>
      </c>
      <c r="X329" s="10">
        <f>IF(Table2[[#This Row],[DiscountPct]]&gt;0.2,1,0)</f>
        <v>1</v>
      </c>
      <c r="Y329" s="10">
        <v>10</v>
      </c>
      <c r="Z329" s="30">
        <f>Table2[[#This Row],[UnitPrice]]*Y329*(1-V329)</f>
        <v>6667.9199999999983</v>
      </c>
      <c r="AA329" s="2">
        <f>T329*Y329</f>
        <v>3837.7</v>
      </c>
      <c r="AB329" s="2">
        <f t="shared" si="33"/>
        <v>2830.2199999999984</v>
      </c>
      <c r="AC329" s="2">
        <f t="shared" si="34"/>
        <v>0.42445320279787385</v>
      </c>
      <c r="AD329" s="2" t="e">
        <f>_xlfn.PERCENTILE.INC(S:S, 0.33)</f>
        <v>#NUM!</v>
      </c>
      <c r="AE329" s="2" t="e">
        <f>_xlfn.PERCENTILE.INC(S:S, 0.66)</f>
        <v>#NUM!</v>
      </c>
      <c r="AF329" s="30" t="e">
        <f t="shared" si="35"/>
        <v>#NUM!</v>
      </c>
    </row>
    <row r="330" spans="1:32" x14ac:dyDescent="0.3">
      <c r="A330" s="31" t="s">
        <v>343</v>
      </c>
      <c r="B330" s="32">
        <v>45221</v>
      </c>
      <c r="C330" s="47">
        <f>EOMONTH(Table2[[#This Row],[OrderDate]],-1)+1</f>
        <v>45200</v>
      </c>
      <c r="D330" s="45">
        <f>EOMONTH(_xlfn.MINIFS(B330:B960,M330:M960,Table2[[#This Row],[Country]]), -1) + 1</f>
        <v>45017</v>
      </c>
      <c r="E330" s="47"/>
      <c r="F330" s="32" t="str">
        <f>"Q"&amp;ROUNDUP(MONTH(B330)/3,0)&amp;"-"&amp;YEAR(B330)</f>
        <v>Q4-2023</v>
      </c>
      <c r="G330" s="32">
        <v>45246</v>
      </c>
      <c r="H330" s="32">
        <f>IF(G330&lt;B330, B330+3, G330)</f>
        <v>45246</v>
      </c>
      <c r="I330" s="33">
        <f>H330-B330</f>
        <v>25</v>
      </c>
      <c r="J330" s="33">
        <f t="shared" si="30"/>
        <v>0</v>
      </c>
      <c r="K330" s="33">
        <f t="shared" si="31"/>
        <v>0</v>
      </c>
      <c r="L330" s="34" t="s">
        <v>648</v>
      </c>
      <c r="M330" s="34" t="s">
        <v>653</v>
      </c>
      <c r="N330" s="34" t="s">
        <v>667</v>
      </c>
      <c r="O330" s="34" t="s">
        <v>705</v>
      </c>
      <c r="P330" s="34" t="s">
        <v>709</v>
      </c>
      <c r="Q330" s="34" t="s">
        <v>714</v>
      </c>
      <c r="R330" s="34" t="s">
        <v>731</v>
      </c>
      <c r="S330" s="34" t="s">
        <v>1063</v>
      </c>
      <c r="T330" s="35">
        <v>1373.31</v>
      </c>
      <c r="U330" s="35">
        <v>3154.14</v>
      </c>
      <c r="V330" s="35">
        <f t="shared" si="32"/>
        <v>0.2</v>
      </c>
      <c r="W330" s="35">
        <v>0.2</v>
      </c>
      <c r="X330" s="33">
        <f>IF(Table2[[#This Row],[DiscountPct]]&gt;0.2,1,0)</f>
        <v>0</v>
      </c>
      <c r="Y330" s="33">
        <v>11</v>
      </c>
      <c r="Z330" s="30">
        <f>Table2[[#This Row],[UnitPrice]]*Y330*(1-V330)</f>
        <v>27756.432000000001</v>
      </c>
      <c r="AA330" s="31">
        <f>T330*Y330</f>
        <v>15106.41</v>
      </c>
      <c r="AB330" s="31">
        <f t="shared" si="33"/>
        <v>12650.022000000001</v>
      </c>
      <c r="AC330" s="31">
        <f t="shared" si="34"/>
        <v>0.45575101295440279</v>
      </c>
      <c r="AD330" s="31" t="e">
        <f>_xlfn.PERCENTILE.INC(S:S, 0.33)</f>
        <v>#NUM!</v>
      </c>
      <c r="AE330" s="31" t="e">
        <f>_xlfn.PERCENTILE.INC(S:S, 0.66)</f>
        <v>#NUM!</v>
      </c>
      <c r="AF330" s="30" t="e">
        <f t="shared" si="35"/>
        <v>#NUM!</v>
      </c>
    </row>
    <row r="331" spans="1:32" x14ac:dyDescent="0.3">
      <c r="A331" s="2" t="s">
        <v>344</v>
      </c>
      <c r="B331" s="4">
        <v>45668</v>
      </c>
      <c r="C331" s="46">
        <f>EOMONTH(Table2[[#This Row],[OrderDate]],-1)+1</f>
        <v>45658</v>
      </c>
      <c r="D331" s="45">
        <f>EOMONTH(_xlfn.MINIFS(B331:B961,M331:M961,Table2[[#This Row],[Country]]), -1) + 1</f>
        <v>44958</v>
      </c>
      <c r="E331" s="46"/>
      <c r="F331" s="4" t="str">
        <f>"Q"&amp;ROUNDUP(MONTH(B331)/3,0)&amp;"-"&amp;YEAR(B331)</f>
        <v>Q1-2025</v>
      </c>
      <c r="G331" s="4">
        <v>45680</v>
      </c>
      <c r="H331" s="4">
        <f>IF(G331&lt;B331, B331+3, G331)</f>
        <v>45680</v>
      </c>
      <c r="I331" s="10">
        <f>H331-B331</f>
        <v>12</v>
      </c>
      <c r="J331" s="10">
        <f t="shared" si="30"/>
        <v>0</v>
      </c>
      <c r="K331" s="10">
        <f t="shared" si="31"/>
        <v>0</v>
      </c>
      <c r="L331" s="6" t="s">
        <v>648</v>
      </c>
      <c r="M331" s="6" t="s">
        <v>660</v>
      </c>
      <c r="N331" s="6" t="s">
        <v>697</v>
      </c>
      <c r="O331" s="6" t="s">
        <v>704</v>
      </c>
      <c r="P331" s="6" t="s">
        <v>710</v>
      </c>
      <c r="Q331" s="6" t="s">
        <v>722</v>
      </c>
      <c r="R331" s="6" t="s">
        <v>730</v>
      </c>
      <c r="S331" s="6" t="s">
        <v>1064</v>
      </c>
      <c r="T331" s="8">
        <v>100.69</v>
      </c>
      <c r="U331" s="8">
        <v>226.14</v>
      </c>
      <c r="V331" s="8">
        <f t="shared" si="32"/>
        <v>6.5000000000000002E-2</v>
      </c>
      <c r="W331" s="8">
        <v>6.5000000000000002E-2</v>
      </c>
      <c r="X331" s="10">
        <f>IF(Table2[[#This Row],[DiscountPct]]&gt;0.2,1,0)</f>
        <v>0</v>
      </c>
      <c r="Y331" s="10">
        <v>12</v>
      </c>
      <c r="Z331" s="30">
        <f>Table2[[#This Row],[UnitPrice]]*Y331*(1-V331)</f>
        <v>2537.2908000000002</v>
      </c>
      <c r="AA331" s="2">
        <f>T331*Y331</f>
        <v>1208.28</v>
      </c>
      <c r="AB331" s="2">
        <f t="shared" si="33"/>
        <v>1329.0108000000002</v>
      </c>
      <c r="AC331" s="2">
        <f t="shared" si="34"/>
        <v>0.52379128162999689</v>
      </c>
      <c r="AD331" s="2" t="e">
        <f>_xlfn.PERCENTILE.INC(S:S, 0.33)</f>
        <v>#NUM!</v>
      </c>
      <c r="AE331" s="2" t="e">
        <f>_xlfn.PERCENTILE.INC(S:S, 0.66)</f>
        <v>#NUM!</v>
      </c>
      <c r="AF331" s="30" t="e">
        <f t="shared" si="35"/>
        <v>#NUM!</v>
      </c>
    </row>
    <row r="332" spans="1:32" x14ac:dyDescent="0.3">
      <c r="A332" s="31" t="s">
        <v>345</v>
      </c>
      <c r="B332" s="32">
        <v>45914</v>
      </c>
      <c r="C332" s="47">
        <f>EOMONTH(Table2[[#This Row],[OrderDate]],-1)+1</f>
        <v>45901</v>
      </c>
      <c r="D332" s="45">
        <f>EOMONTH(_xlfn.MINIFS(B332:B962,M332:M962,Table2[[#This Row],[Country]]), -1) + 1</f>
        <v>44927</v>
      </c>
      <c r="E332" s="47"/>
      <c r="F332" s="32" t="str">
        <f>"Q"&amp;ROUNDUP(MONTH(B332)/3,0)&amp;"-"&amp;YEAR(B332)</f>
        <v>Q3-2025</v>
      </c>
      <c r="G332" s="32">
        <v>45926</v>
      </c>
      <c r="H332" s="32">
        <f>IF(G332&lt;B332, B332+3, G332)</f>
        <v>45926</v>
      </c>
      <c r="I332" s="33">
        <f>H332-B332</f>
        <v>12</v>
      </c>
      <c r="J332" s="33">
        <f t="shared" si="30"/>
        <v>0</v>
      </c>
      <c r="K332" s="33">
        <f t="shared" si="31"/>
        <v>0</v>
      </c>
      <c r="L332" s="34" t="s">
        <v>649</v>
      </c>
      <c r="M332" s="34" t="s">
        <v>658</v>
      </c>
      <c r="N332" s="34" t="s">
        <v>683</v>
      </c>
      <c r="O332" s="34" t="s">
        <v>705</v>
      </c>
      <c r="P332" s="34" t="s">
        <v>711</v>
      </c>
      <c r="Q332" s="34" t="s">
        <v>725</v>
      </c>
      <c r="R332" s="34" t="s">
        <v>729</v>
      </c>
      <c r="S332" s="34" t="s">
        <v>1065</v>
      </c>
      <c r="T332" s="35">
        <v>425.15</v>
      </c>
      <c r="U332" s="35">
        <v>885.92</v>
      </c>
      <c r="V332" s="35">
        <f t="shared" si="32"/>
        <v>0.23899999999999999</v>
      </c>
      <c r="W332" s="35">
        <v>0.23899999999999999</v>
      </c>
      <c r="X332" s="33">
        <f>IF(Table2[[#This Row],[DiscountPct]]&gt;0.2,1,0)</f>
        <v>1</v>
      </c>
      <c r="Y332" s="33">
        <v>13</v>
      </c>
      <c r="Z332" s="30">
        <f>Table2[[#This Row],[UnitPrice]]*Y332*(1-V332)</f>
        <v>8764.4065599999994</v>
      </c>
      <c r="AA332" s="31">
        <f>T332*Y332</f>
        <v>5526.95</v>
      </c>
      <c r="AB332" s="31">
        <f t="shared" si="33"/>
        <v>3237.4565599999996</v>
      </c>
      <c r="AC332" s="31">
        <f t="shared" si="34"/>
        <v>0.3693868532725848</v>
      </c>
      <c r="AD332" s="31" t="e">
        <f>_xlfn.PERCENTILE.INC(S:S, 0.33)</f>
        <v>#NUM!</v>
      </c>
      <c r="AE332" s="31" t="e">
        <f>_xlfn.PERCENTILE.INC(S:S, 0.66)</f>
        <v>#NUM!</v>
      </c>
      <c r="AF332" s="30" t="e">
        <f t="shared" si="35"/>
        <v>#NUM!</v>
      </c>
    </row>
    <row r="333" spans="1:32" x14ac:dyDescent="0.3">
      <c r="A333" s="2" t="s">
        <v>346</v>
      </c>
      <c r="B333" s="4">
        <v>45168</v>
      </c>
      <c r="C333" s="46">
        <f>EOMONTH(Table2[[#This Row],[OrderDate]],-1)+1</f>
        <v>45139</v>
      </c>
      <c r="D333" s="45">
        <f>EOMONTH(_xlfn.MINIFS(B333:B963,M333:M963,Table2[[#This Row],[Country]]), -1) + 1</f>
        <v>45047</v>
      </c>
      <c r="E333" s="46"/>
      <c r="F333" s="4" t="str">
        <f>"Q"&amp;ROUNDUP(MONTH(B333)/3,0)&amp;"-"&amp;YEAR(B333)</f>
        <v>Q3-2023</v>
      </c>
      <c r="G333" s="4">
        <v>45172</v>
      </c>
      <c r="H333" s="4">
        <f>IF(G333&lt;B333, B333+3, G333)</f>
        <v>45172</v>
      </c>
      <c r="I333" s="10">
        <f>H333-B333</f>
        <v>4</v>
      </c>
      <c r="J333" s="10">
        <f t="shared" si="30"/>
        <v>1</v>
      </c>
      <c r="K333" s="10">
        <f t="shared" si="31"/>
        <v>1</v>
      </c>
      <c r="L333" s="6" t="s">
        <v>647</v>
      </c>
      <c r="M333" s="6" t="s">
        <v>654</v>
      </c>
      <c r="N333" s="6" t="s">
        <v>680</v>
      </c>
      <c r="O333" s="6" t="s">
        <v>705</v>
      </c>
      <c r="P333" s="6" t="s">
        <v>709</v>
      </c>
      <c r="Q333" s="6" t="s">
        <v>716</v>
      </c>
      <c r="R333" s="6" t="s">
        <v>733</v>
      </c>
      <c r="S333" s="6" t="s">
        <v>1066</v>
      </c>
      <c r="T333" s="8">
        <v>1082.25</v>
      </c>
      <c r="U333" s="8">
        <v>2433.34</v>
      </c>
      <c r="V333" s="8">
        <f t="shared" si="32"/>
        <v>0.27</v>
      </c>
      <c r="W333" s="8">
        <v>0.27</v>
      </c>
      <c r="X333" s="10">
        <f>IF(Table2[[#This Row],[DiscountPct]]&gt;0.2,1,0)</f>
        <v>1</v>
      </c>
      <c r="Y333" s="10">
        <v>4</v>
      </c>
      <c r="Z333" s="30">
        <f>Table2[[#This Row],[UnitPrice]]*Y333*(1-V333)</f>
        <v>7105.3528000000006</v>
      </c>
      <c r="AA333" s="2">
        <f>T333*Y333</f>
        <v>4329</v>
      </c>
      <c r="AB333" s="2">
        <f t="shared" si="33"/>
        <v>2776.3528000000006</v>
      </c>
      <c r="AC333" s="2">
        <f t="shared" si="34"/>
        <v>0.3907410199251472</v>
      </c>
      <c r="AD333" s="2" t="e">
        <f>_xlfn.PERCENTILE.INC(S:S, 0.33)</f>
        <v>#NUM!</v>
      </c>
      <c r="AE333" s="2" t="e">
        <f>_xlfn.PERCENTILE.INC(S:S, 0.66)</f>
        <v>#NUM!</v>
      </c>
      <c r="AF333" s="30" t="e">
        <f t="shared" si="35"/>
        <v>#NUM!</v>
      </c>
    </row>
    <row r="334" spans="1:32" x14ac:dyDescent="0.3">
      <c r="A334" s="31" t="s">
        <v>347</v>
      </c>
      <c r="B334" s="32">
        <v>45245</v>
      </c>
      <c r="C334" s="47">
        <f>EOMONTH(Table2[[#This Row],[OrderDate]],-1)+1</f>
        <v>45231</v>
      </c>
      <c r="D334" s="45">
        <f>EOMONTH(_xlfn.MINIFS(B334:B964,M334:M964,Table2[[#This Row],[Country]]), -1) + 1</f>
        <v>44927</v>
      </c>
      <c r="E334" s="47"/>
      <c r="F334" s="32" t="str">
        <f>"Q"&amp;ROUNDUP(MONTH(B334)/3,0)&amp;"-"&amp;YEAR(B334)</f>
        <v>Q4-2023</v>
      </c>
      <c r="G334" s="32">
        <v>45266</v>
      </c>
      <c r="H334" s="32">
        <f>IF(G334&lt;B334, B334+3, G334)</f>
        <v>45266</v>
      </c>
      <c r="I334" s="33">
        <f>H334-B334</f>
        <v>21</v>
      </c>
      <c r="J334" s="33">
        <f t="shared" si="30"/>
        <v>0</v>
      </c>
      <c r="K334" s="33">
        <f t="shared" si="31"/>
        <v>0</v>
      </c>
      <c r="L334" s="34" t="s">
        <v>649</v>
      </c>
      <c r="M334" s="34" t="s">
        <v>658</v>
      </c>
      <c r="N334" s="34" t="s">
        <v>693</v>
      </c>
      <c r="O334" s="34" t="s">
        <v>702</v>
      </c>
      <c r="P334" s="34" t="s">
        <v>711</v>
      </c>
      <c r="Q334" s="34" t="s">
        <v>722</v>
      </c>
      <c r="R334" s="34" t="s">
        <v>733</v>
      </c>
      <c r="S334" s="34" t="s">
        <v>1067</v>
      </c>
      <c r="T334" s="35">
        <v>1184.99</v>
      </c>
      <c r="U334" s="35">
        <v>1154.3399999999999</v>
      </c>
      <c r="V334" s="35">
        <f t="shared" si="32"/>
        <v>2.8000000000000001E-2</v>
      </c>
      <c r="W334" s="35">
        <v>2.8000000000000001E-2</v>
      </c>
      <c r="X334" s="33">
        <f>IF(Table2[[#This Row],[DiscountPct]]&gt;0.2,1,0)</f>
        <v>0</v>
      </c>
      <c r="Y334" s="33">
        <v>5</v>
      </c>
      <c r="Z334" s="30">
        <f>Table2[[#This Row],[UnitPrice]]*Y334*(1-V334)</f>
        <v>5610.0923999999995</v>
      </c>
      <c r="AA334" s="31">
        <f>T334*Y334</f>
        <v>5924.95</v>
      </c>
      <c r="AB334" s="31">
        <f t="shared" si="33"/>
        <v>-314.85760000000028</v>
      </c>
      <c r="AC334" s="31">
        <f t="shared" si="34"/>
        <v>-5.6123424990290764E-2</v>
      </c>
      <c r="AD334" s="31" t="e">
        <f>_xlfn.PERCENTILE.INC(S:S, 0.33)</f>
        <v>#NUM!</v>
      </c>
      <c r="AE334" s="31" t="e">
        <f>_xlfn.PERCENTILE.INC(S:S, 0.66)</f>
        <v>#NUM!</v>
      </c>
      <c r="AF334" s="30" t="e">
        <f t="shared" si="35"/>
        <v>#NUM!</v>
      </c>
    </row>
    <row r="335" spans="1:32" x14ac:dyDescent="0.3">
      <c r="A335" s="2" t="s">
        <v>348</v>
      </c>
      <c r="B335" s="4">
        <v>45774</v>
      </c>
      <c r="C335" s="46">
        <f>EOMONTH(Table2[[#This Row],[OrderDate]],-1)+1</f>
        <v>45748</v>
      </c>
      <c r="D335" s="45">
        <f>EOMONTH(_xlfn.MINIFS(B335:B965,M335:M965,Table2[[#This Row],[Country]]), -1) + 1</f>
        <v>45047</v>
      </c>
      <c r="E335" s="46"/>
      <c r="F335" s="4" t="str">
        <f>"Q"&amp;ROUNDUP(MONTH(B335)/3,0)&amp;"-"&amp;YEAR(B335)</f>
        <v>Q2-2025</v>
      </c>
      <c r="G335" s="4">
        <v>45804</v>
      </c>
      <c r="H335" s="4">
        <f>IF(G335&lt;B335, B335+3, G335)</f>
        <v>45804</v>
      </c>
      <c r="I335" s="10">
        <f>H335-B335</f>
        <v>30</v>
      </c>
      <c r="J335" s="10">
        <f t="shared" si="30"/>
        <v>0</v>
      </c>
      <c r="K335" s="10">
        <f t="shared" si="31"/>
        <v>0</v>
      </c>
      <c r="L335" s="6" t="s">
        <v>647</v>
      </c>
      <c r="M335" s="6" t="s">
        <v>654</v>
      </c>
      <c r="N335" s="6" t="s">
        <v>680</v>
      </c>
      <c r="O335" s="6" t="s">
        <v>706</v>
      </c>
      <c r="P335" s="6" t="s">
        <v>709</v>
      </c>
      <c r="Q335" s="6" t="s">
        <v>722</v>
      </c>
      <c r="R335" s="6" t="s">
        <v>730</v>
      </c>
      <c r="S335" s="6" t="s">
        <v>1068</v>
      </c>
      <c r="T335" s="8">
        <v>481.32</v>
      </c>
      <c r="U335" s="8">
        <v>1135.99</v>
      </c>
      <c r="V335" s="8">
        <f t="shared" si="32"/>
        <v>0.14499999999999999</v>
      </c>
      <c r="W335" s="8">
        <v>0.14499999999999999</v>
      </c>
      <c r="X335" s="10">
        <f>IF(Table2[[#This Row],[DiscountPct]]&gt;0.2,1,0)</f>
        <v>0</v>
      </c>
      <c r="Y335" s="10">
        <v>5</v>
      </c>
      <c r="Z335" s="30">
        <f>Table2[[#This Row],[UnitPrice]]*Y335*(1-V335)</f>
        <v>4856.35725</v>
      </c>
      <c r="AA335" s="2">
        <f>T335*Y335</f>
        <v>2406.6</v>
      </c>
      <c r="AB335" s="2">
        <f t="shared" si="33"/>
        <v>2449.7572500000001</v>
      </c>
      <c r="AC335" s="2">
        <f t="shared" si="34"/>
        <v>0.50444337677175621</v>
      </c>
      <c r="AD335" s="2" t="e">
        <f>_xlfn.PERCENTILE.INC(S:S, 0.33)</f>
        <v>#NUM!</v>
      </c>
      <c r="AE335" s="2" t="e">
        <f>_xlfn.PERCENTILE.INC(S:S, 0.66)</f>
        <v>#NUM!</v>
      </c>
      <c r="AF335" s="30" t="e">
        <f t="shared" si="35"/>
        <v>#NUM!</v>
      </c>
    </row>
    <row r="336" spans="1:32" x14ac:dyDescent="0.3">
      <c r="A336" s="31" t="s">
        <v>349</v>
      </c>
      <c r="B336" s="32">
        <v>45391</v>
      </c>
      <c r="C336" s="47">
        <f>EOMONTH(Table2[[#This Row],[OrderDate]],-1)+1</f>
        <v>45383</v>
      </c>
      <c r="D336" s="45">
        <f>EOMONTH(_xlfn.MINIFS(B336:B966,M336:M966,Table2[[#This Row],[Country]]), -1) + 1</f>
        <v>45017</v>
      </c>
      <c r="E336" s="47"/>
      <c r="F336" s="32" t="str">
        <f>"Q"&amp;ROUNDUP(MONTH(B336)/3,0)&amp;"-"&amp;YEAR(B336)</f>
        <v>Q2-2024</v>
      </c>
      <c r="G336" s="32">
        <v>45400</v>
      </c>
      <c r="H336" s="32">
        <f>IF(G336&lt;B336, B336+3, G336)</f>
        <v>45400</v>
      </c>
      <c r="I336" s="33">
        <f>H336-B336</f>
        <v>9</v>
      </c>
      <c r="J336" s="33">
        <f t="shared" si="30"/>
        <v>0</v>
      </c>
      <c r="K336" s="33">
        <f t="shared" si="31"/>
        <v>0</v>
      </c>
      <c r="L336" s="34" t="s">
        <v>649</v>
      </c>
      <c r="M336" s="34" t="s">
        <v>657</v>
      </c>
      <c r="N336" s="34" t="s">
        <v>679</v>
      </c>
      <c r="O336" s="34" t="s">
        <v>704</v>
      </c>
      <c r="P336" s="34" t="s">
        <v>708</v>
      </c>
      <c r="Q336" s="34" t="s">
        <v>718</v>
      </c>
      <c r="R336" s="34" t="s">
        <v>728</v>
      </c>
      <c r="S336" s="34" t="s">
        <v>1069</v>
      </c>
      <c r="T336" s="35">
        <v>1288.8499999999999</v>
      </c>
      <c r="U336" s="35">
        <v>2751.84</v>
      </c>
      <c r="V336" s="35">
        <f t="shared" si="32"/>
        <v>0.158</v>
      </c>
      <c r="W336" s="35">
        <v>0.158</v>
      </c>
      <c r="X336" s="33">
        <f>IF(Table2[[#This Row],[DiscountPct]]&gt;0.2,1,0)</f>
        <v>0</v>
      </c>
      <c r="Y336" s="33">
        <v>7</v>
      </c>
      <c r="Z336" s="30">
        <f>Table2[[#This Row],[UnitPrice]]*Y336*(1-V336)</f>
        <v>16219.34496</v>
      </c>
      <c r="AA336" s="31">
        <f>T336*Y336</f>
        <v>9021.9499999999989</v>
      </c>
      <c r="AB336" s="31">
        <f t="shared" si="33"/>
        <v>7197.3949600000014</v>
      </c>
      <c r="AC336" s="31">
        <f t="shared" si="34"/>
        <v>0.44375373837538756</v>
      </c>
      <c r="AD336" s="31" t="e">
        <f>_xlfn.PERCENTILE.INC(S:S, 0.33)</f>
        <v>#NUM!</v>
      </c>
      <c r="AE336" s="31" t="e">
        <f>_xlfn.PERCENTILE.INC(S:S, 0.66)</f>
        <v>#NUM!</v>
      </c>
      <c r="AF336" s="30" t="e">
        <f t="shared" si="35"/>
        <v>#NUM!</v>
      </c>
    </row>
    <row r="337" spans="1:32" x14ac:dyDescent="0.3">
      <c r="A337" s="2" t="s">
        <v>350</v>
      </c>
      <c r="B337" s="4">
        <v>45484</v>
      </c>
      <c r="C337" s="46">
        <f>EOMONTH(Table2[[#This Row],[OrderDate]],-1)+1</f>
        <v>45474</v>
      </c>
      <c r="D337" s="45">
        <f>EOMONTH(_xlfn.MINIFS(B337:B967,M337:M967,Table2[[#This Row],[Country]]), -1) + 1</f>
        <v>44927</v>
      </c>
      <c r="E337" s="46"/>
      <c r="F337" s="4" t="str">
        <f>"Q"&amp;ROUNDUP(MONTH(B337)/3,0)&amp;"-"&amp;YEAR(B337)</f>
        <v>Q3-2024</v>
      </c>
      <c r="G337" s="4">
        <v>45504</v>
      </c>
      <c r="H337" s="4">
        <f>IF(G337&lt;B337, B337+3, G337)</f>
        <v>45504</v>
      </c>
      <c r="I337" s="10">
        <f>H337-B337</f>
        <v>20</v>
      </c>
      <c r="J337" s="10">
        <f t="shared" si="30"/>
        <v>0</v>
      </c>
      <c r="K337" s="10">
        <f t="shared" si="31"/>
        <v>0</v>
      </c>
      <c r="L337" s="6" t="s">
        <v>647</v>
      </c>
      <c r="M337" s="6" t="s">
        <v>659</v>
      </c>
      <c r="N337" s="6" t="s">
        <v>676</v>
      </c>
      <c r="O337" s="6" t="s">
        <v>704</v>
      </c>
      <c r="P337" s="6" t="s">
        <v>708</v>
      </c>
      <c r="Q337" s="6" t="s">
        <v>715</v>
      </c>
      <c r="R337" s="6" t="s">
        <v>730</v>
      </c>
      <c r="S337" s="6" t="s">
        <v>1070</v>
      </c>
      <c r="T337" s="8">
        <v>647.26</v>
      </c>
      <c r="U337" s="8">
        <v>1374.72</v>
      </c>
      <c r="V337" s="8">
        <f t="shared" si="32"/>
        <v>6.6000000000000003E-2</v>
      </c>
      <c r="W337" s="8">
        <v>6.6000000000000003E-2</v>
      </c>
      <c r="X337" s="10">
        <f>IF(Table2[[#This Row],[DiscountPct]]&gt;0.2,1,0)</f>
        <v>0</v>
      </c>
      <c r="Y337" s="10">
        <v>22</v>
      </c>
      <c r="Z337" s="30">
        <f>Table2[[#This Row],[UnitPrice]]*Y337*(1-V337)</f>
        <v>28247.74656</v>
      </c>
      <c r="AA337" s="2">
        <f>T337*Y337</f>
        <v>14239.72</v>
      </c>
      <c r="AB337" s="2">
        <f t="shared" si="33"/>
        <v>14008.02656</v>
      </c>
      <c r="AC337" s="2">
        <f t="shared" si="34"/>
        <v>0.49589890401508901</v>
      </c>
      <c r="AD337" s="2" t="e">
        <f>_xlfn.PERCENTILE.INC(S:S, 0.33)</f>
        <v>#NUM!</v>
      </c>
      <c r="AE337" s="2" t="e">
        <f>_xlfn.PERCENTILE.INC(S:S, 0.66)</f>
        <v>#NUM!</v>
      </c>
      <c r="AF337" s="30" t="e">
        <f t="shared" si="35"/>
        <v>#NUM!</v>
      </c>
    </row>
    <row r="338" spans="1:32" x14ac:dyDescent="0.3">
      <c r="A338" s="31" t="s">
        <v>351</v>
      </c>
      <c r="B338" s="32">
        <v>45340</v>
      </c>
      <c r="C338" s="47">
        <f>EOMONTH(Table2[[#This Row],[OrderDate]],-1)+1</f>
        <v>45323</v>
      </c>
      <c r="D338" s="45">
        <f>EOMONTH(_xlfn.MINIFS(B338:B968,M338:M968,Table2[[#This Row],[Country]]), -1) + 1</f>
        <v>44927</v>
      </c>
      <c r="E338" s="47"/>
      <c r="F338" s="32" t="str">
        <f>"Q"&amp;ROUNDUP(MONTH(B338)/3,0)&amp;"-"&amp;YEAR(B338)</f>
        <v>Q1-2024</v>
      </c>
      <c r="G338" s="32">
        <v>45354</v>
      </c>
      <c r="H338" s="32">
        <f>IF(G338&lt;B338, B338+3, G338)</f>
        <v>45354</v>
      </c>
      <c r="I338" s="33">
        <f>H338-B338</f>
        <v>14</v>
      </c>
      <c r="J338" s="33">
        <f t="shared" si="30"/>
        <v>0</v>
      </c>
      <c r="K338" s="33">
        <f t="shared" si="31"/>
        <v>0</v>
      </c>
      <c r="L338" s="34" t="s">
        <v>648</v>
      </c>
      <c r="M338" s="34" t="s">
        <v>655</v>
      </c>
      <c r="N338" s="34" t="s">
        <v>670</v>
      </c>
      <c r="O338" s="34" t="s">
        <v>706</v>
      </c>
      <c r="P338" s="34" t="s">
        <v>710</v>
      </c>
      <c r="Q338" s="34" t="s">
        <v>720</v>
      </c>
      <c r="R338" s="34" t="s">
        <v>728</v>
      </c>
      <c r="S338" s="34" t="s">
        <v>1071</v>
      </c>
      <c r="T338" s="35">
        <v>624.23</v>
      </c>
      <c r="U338" s="35">
        <v>1318.37</v>
      </c>
      <c r="V338" s="35">
        <f t="shared" si="32"/>
        <v>0.21</v>
      </c>
      <c r="W338" s="35">
        <v>0.21</v>
      </c>
      <c r="X338" s="33">
        <f>IF(Table2[[#This Row],[DiscountPct]]&gt;0.2,1,0)</f>
        <v>1</v>
      </c>
      <c r="Y338" s="33">
        <v>37</v>
      </c>
      <c r="Z338" s="30">
        <f>Table2[[#This Row],[UnitPrice]]*Y338*(1-V338)</f>
        <v>38535.955099999999</v>
      </c>
      <c r="AA338" s="31">
        <f>T338*Y338</f>
        <v>23096.510000000002</v>
      </c>
      <c r="AB338" s="31">
        <f t="shared" si="33"/>
        <v>15439.445099999997</v>
      </c>
      <c r="AC338" s="31">
        <f t="shared" si="34"/>
        <v>0.40065038118128793</v>
      </c>
      <c r="AD338" s="31" t="e">
        <f>_xlfn.PERCENTILE.INC(S:S, 0.33)</f>
        <v>#NUM!</v>
      </c>
      <c r="AE338" s="31" t="e">
        <f>_xlfn.PERCENTILE.INC(S:S, 0.66)</f>
        <v>#NUM!</v>
      </c>
      <c r="AF338" s="30" t="e">
        <f t="shared" si="35"/>
        <v>#NUM!</v>
      </c>
    </row>
    <row r="339" spans="1:32" x14ac:dyDescent="0.3">
      <c r="A339" s="2" t="s">
        <v>352</v>
      </c>
      <c r="B339" s="4">
        <v>45132</v>
      </c>
      <c r="C339" s="46">
        <f>EOMONTH(Table2[[#This Row],[OrderDate]],-1)+1</f>
        <v>45108</v>
      </c>
      <c r="D339" s="45">
        <f>EOMONTH(_xlfn.MINIFS(B339:B969,M339:M969,Table2[[#This Row],[Country]]), -1) + 1</f>
        <v>44958</v>
      </c>
      <c r="E339" s="46"/>
      <c r="F339" s="4" t="str">
        <f>"Q"&amp;ROUNDUP(MONTH(B339)/3,0)&amp;"-"&amp;YEAR(B339)</f>
        <v>Q3-2023</v>
      </c>
      <c r="G339" s="4">
        <v>45148</v>
      </c>
      <c r="H339" s="4">
        <f>IF(G339&lt;B339, B339+3, G339)</f>
        <v>45148</v>
      </c>
      <c r="I339" s="10">
        <f>H339-B339</f>
        <v>16</v>
      </c>
      <c r="J339" s="10">
        <f t="shared" si="30"/>
        <v>0</v>
      </c>
      <c r="K339" s="10">
        <f t="shared" si="31"/>
        <v>0</v>
      </c>
      <c r="L339" s="6" t="s">
        <v>646</v>
      </c>
      <c r="M339" s="6" t="s">
        <v>651</v>
      </c>
      <c r="N339" s="6" t="s">
        <v>663</v>
      </c>
      <c r="O339" s="6" t="s">
        <v>701</v>
      </c>
      <c r="P339" s="6" t="s">
        <v>710</v>
      </c>
      <c r="Q339" s="6" t="s">
        <v>714</v>
      </c>
      <c r="R339" s="6" t="s">
        <v>733</v>
      </c>
      <c r="S339" s="6" t="s">
        <v>1072</v>
      </c>
      <c r="T339" s="8">
        <v>506.83</v>
      </c>
      <c r="U339" s="8">
        <v>441.74</v>
      </c>
      <c r="V339" s="8">
        <f t="shared" si="32"/>
        <v>0.24</v>
      </c>
      <c r="W339" s="8">
        <v>0.24</v>
      </c>
      <c r="X339" s="10">
        <f>IF(Table2[[#This Row],[DiscountPct]]&gt;0.2,1,0)</f>
        <v>1</v>
      </c>
      <c r="Y339" s="10">
        <v>9</v>
      </c>
      <c r="Z339" s="30">
        <f>Table2[[#This Row],[UnitPrice]]*Y339*(1-V339)</f>
        <v>3021.5016000000001</v>
      </c>
      <c r="AA339" s="2">
        <f>T339*Y339</f>
        <v>4561.47</v>
      </c>
      <c r="AB339" s="2">
        <f t="shared" si="33"/>
        <v>-1539.9684000000002</v>
      </c>
      <c r="AC339" s="2">
        <f t="shared" si="34"/>
        <v>-0.50966989393618067</v>
      </c>
      <c r="AD339" s="2" t="e">
        <f>_xlfn.PERCENTILE.INC(S:S, 0.33)</f>
        <v>#NUM!</v>
      </c>
      <c r="AE339" s="2" t="e">
        <f>_xlfn.PERCENTILE.INC(S:S, 0.66)</f>
        <v>#NUM!</v>
      </c>
      <c r="AF339" s="30" t="e">
        <f t="shared" si="35"/>
        <v>#NUM!</v>
      </c>
    </row>
    <row r="340" spans="1:32" x14ac:dyDescent="0.3">
      <c r="A340" s="31" t="s">
        <v>353</v>
      </c>
      <c r="B340" s="32">
        <v>45121</v>
      </c>
      <c r="C340" s="47">
        <f>EOMONTH(Table2[[#This Row],[OrderDate]],-1)+1</f>
        <v>45108</v>
      </c>
      <c r="D340" s="45">
        <f>EOMONTH(_xlfn.MINIFS(B340:B970,M340:M970,Table2[[#This Row],[Country]]), -1) + 1</f>
        <v>44927</v>
      </c>
      <c r="E340" s="47"/>
      <c r="F340" s="32" t="str">
        <f>"Q"&amp;ROUNDUP(MONTH(B340)/3,0)&amp;"-"&amp;YEAR(B340)</f>
        <v>Q3-2023</v>
      </c>
      <c r="G340" s="32">
        <v>45128</v>
      </c>
      <c r="H340" s="32">
        <f>IF(G340&lt;B340, B340+3, G340)</f>
        <v>45128</v>
      </c>
      <c r="I340" s="33">
        <f>H340-B340</f>
        <v>7</v>
      </c>
      <c r="J340" s="33">
        <f t="shared" si="30"/>
        <v>1</v>
      </c>
      <c r="K340" s="33">
        <f t="shared" si="31"/>
        <v>1</v>
      </c>
      <c r="L340" s="34" t="s">
        <v>646</v>
      </c>
      <c r="M340" s="34" t="s">
        <v>661</v>
      </c>
      <c r="N340" s="34" t="s">
        <v>687</v>
      </c>
      <c r="O340" s="34" t="s">
        <v>706</v>
      </c>
      <c r="P340" s="34" t="s">
        <v>709</v>
      </c>
      <c r="Q340" s="34" t="s">
        <v>1438</v>
      </c>
      <c r="R340" s="34" t="s">
        <v>732</v>
      </c>
      <c r="S340" s="34" t="s">
        <v>1073</v>
      </c>
      <c r="T340" s="35">
        <v>620.74</v>
      </c>
      <c r="U340" s="35">
        <v>1330.07</v>
      </c>
      <c r="V340" s="35">
        <f t="shared" si="32"/>
        <v>0.29899999999999999</v>
      </c>
      <c r="W340" s="35">
        <v>0.29899999999999999</v>
      </c>
      <c r="X340" s="33">
        <f>IF(Table2[[#This Row],[DiscountPct]]&gt;0.2,1,0)</f>
        <v>1</v>
      </c>
      <c r="Y340" s="33">
        <v>28</v>
      </c>
      <c r="Z340" s="30">
        <f>Table2[[#This Row],[UnitPrice]]*Y340*(1-V340)</f>
        <v>26106.613960000002</v>
      </c>
      <c r="AA340" s="31">
        <f>T340*Y340</f>
        <v>17380.72</v>
      </c>
      <c r="AB340" s="31">
        <f t="shared" si="33"/>
        <v>8725.8939600000012</v>
      </c>
      <c r="AC340" s="31">
        <f t="shared" si="34"/>
        <v>0.33424073965967516</v>
      </c>
      <c r="AD340" s="31" t="e">
        <f>_xlfn.PERCENTILE.INC(S:S, 0.33)</f>
        <v>#NUM!</v>
      </c>
      <c r="AE340" s="31" t="e">
        <f>_xlfn.PERCENTILE.INC(S:S, 0.66)</f>
        <v>#NUM!</v>
      </c>
      <c r="AF340" s="30" t="e">
        <f t="shared" si="35"/>
        <v>#NUM!</v>
      </c>
    </row>
    <row r="341" spans="1:32" x14ac:dyDescent="0.3">
      <c r="A341" s="2" t="s">
        <v>354</v>
      </c>
      <c r="B341" s="4">
        <v>45131</v>
      </c>
      <c r="C341" s="46">
        <f>EOMONTH(Table2[[#This Row],[OrderDate]],-1)+1</f>
        <v>45108</v>
      </c>
      <c r="D341" s="45">
        <f>EOMONTH(_xlfn.MINIFS(B341:B971,M341:M971,Table2[[#This Row],[Country]]), -1) + 1</f>
        <v>44958</v>
      </c>
      <c r="E341" s="46"/>
      <c r="F341" s="4" t="str">
        <f>"Q"&amp;ROUNDUP(MONTH(B341)/3,0)&amp;"-"&amp;YEAR(B341)</f>
        <v>Q3-2023</v>
      </c>
      <c r="G341" s="4">
        <v>45157</v>
      </c>
      <c r="H341" s="4">
        <f>IF(G341&lt;B341, B341+3, G341)</f>
        <v>45157</v>
      </c>
      <c r="I341" s="10">
        <f>H341-B341</f>
        <v>26</v>
      </c>
      <c r="J341" s="10">
        <f t="shared" si="30"/>
        <v>0</v>
      </c>
      <c r="K341" s="10">
        <f t="shared" si="31"/>
        <v>0</v>
      </c>
      <c r="L341" s="6" t="s">
        <v>646</v>
      </c>
      <c r="M341" s="6" t="s">
        <v>650</v>
      </c>
      <c r="N341" s="6" t="s">
        <v>664</v>
      </c>
      <c r="O341" s="6" t="s">
        <v>706</v>
      </c>
      <c r="P341" s="6" t="s">
        <v>710</v>
      </c>
      <c r="Q341" s="6" t="s">
        <v>724</v>
      </c>
      <c r="R341" s="6" t="s">
        <v>733</v>
      </c>
      <c r="S341" s="6" t="s">
        <v>1074</v>
      </c>
      <c r="T341" s="8">
        <v>661.45</v>
      </c>
      <c r="U341" s="8">
        <v>1634.86</v>
      </c>
      <c r="V341" s="8">
        <f t="shared" si="32"/>
        <v>0.3</v>
      </c>
      <c r="W341" s="8">
        <v>0.56499999999999995</v>
      </c>
      <c r="X341" s="10">
        <f>IF(Table2[[#This Row],[DiscountPct]]&gt;0.2,1,0)</f>
        <v>1</v>
      </c>
      <c r="Y341" s="10">
        <v>24</v>
      </c>
      <c r="Z341" s="30">
        <f>Table2[[#This Row],[UnitPrice]]*Y341*(1-V341)</f>
        <v>27465.647999999997</v>
      </c>
      <c r="AA341" s="2">
        <f>T341*Y341</f>
        <v>15874.800000000001</v>
      </c>
      <c r="AB341" s="2">
        <f t="shared" si="33"/>
        <v>11590.847999999996</v>
      </c>
      <c r="AC341" s="2">
        <f t="shared" si="34"/>
        <v>0.42201254454291404</v>
      </c>
      <c r="AD341" s="2" t="e">
        <f>_xlfn.PERCENTILE.INC(S:S, 0.33)</f>
        <v>#NUM!</v>
      </c>
      <c r="AE341" s="2" t="e">
        <f>_xlfn.PERCENTILE.INC(S:S, 0.66)</f>
        <v>#NUM!</v>
      </c>
      <c r="AF341" s="30" t="e">
        <f t="shared" si="35"/>
        <v>#NUM!</v>
      </c>
    </row>
    <row r="342" spans="1:32" x14ac:dyDescent="0.3">
      <c r="A342" s="31" t="s">
        <v>355</v>
      </c>
      <c r="B342" s="32">
        <v>45029</v>
      </c>
      <c r="C342" s="47">
        <f>EOMONTH(Table2[[#This Row],[OrderDate]],-1)+1</f>
        <v>45017</v>
      </c>
      <c r="D342" s="45">
        <f>EOMONTH(_xlfn.MINIFS(B342:B972,M342:M972,Table2[[#This Row],[Country]]), -1) + 1</f>
        <v>44958</v>
      </c>
      <c r="E342" s="47"/>
      <c r="F342" s="32" t="str">
        <f>"Q"&amp;ROUNDUP(MONTH(B342)/3,0)&amp;"-"&amp;YEAR(B342)</f>
        <v>Q2-2023</v>
      </c>
      <c r="G342" s="32">
        <v>45027</v>
      </c>
      <c r="H342" s="32">
        <f>IF(G342&lt;B342, B342+3, G342)</f>
        <v>45032</v>
      </c>
      <c r="I342" s="33">
        <f>H342-B342</f>
        <v>3</v>
      </c>
      <c r="J342" s="33">
        <f t="shared" si="30"/>
        <v>1</v>
      </c>
      <c r="K342" s="33">
        <f t="shared" si="31"/>
        <v>1</v>
      </c>
      <c r="L342" s="34" t="s">
        <v>648</v>
      </c>
      <c r="M342" s="34" t="s">
        <v>660</v>
      </c>
      <c r="N342" s="34" t="s">
        <v>686</v>
      </c>
      <c r="O342" s="34" t="s">
        <v>702</v>
      </c>
      <c r="P342" s="34" t="s">
        <v>709</v>
      </c>
      <c r="Q342" s="34" t="s">
        <v>715</v>
      </c>
      <c r="R342" s="34" t="s">
        <v>729</v>
      </c>
      <c r="S342" s="34" t="s">
        <v>1075</v>
      </c>
      <c r="T342" s="35">
        <v>32.1</v>
      </c>
      <c r="U342" s="35">
        <v>70.599999999999994</v>
      </c>
      <c r="V342" s="35">
        <f t="shared" si="32"/>
        <v>0.28199999999999997</v>
      </c>
      <c r="W342" s="35">
        <v>0.28199999999999997</v>
      </c>
      <c r="X342" s="33">
        <f>IF(Table2[[#This Row],[DiscountPct]]&gt;0.2,1,0)</f>
        <v>1</v>
      </c>
      <c r="Y342" s="33">
        <v>22</v>
      </c>
      <c r="Z342" s="30">
        <f>Table2[[#This Row],[UnitPrice]]*Y342*(1-V342)</f>
        <v>1115.1975999999997</v>
      </c>
      <c r="AA342" s="31">
        <f>T342*Y342</f>
        <v>706.2</v>
      </c>
      <c r="AB342" s="31">
        <f t="shared" si="33"/>
        <v>408.99759999999969</v>
      </c>
      <c r="AC342" s="31">
        <f t="shared" si="34"/>
        <v>0.36674899587301818</v>
      </c>
      <c r="AD342" s="31" t="e">
        <f>_xlfn.PERCENTILE.INC(S:S, 0.33)</f>
        <v>#NUM!</v>
      </c>
      <c r="AE342" s="31" t="e">
        <f>_xlfn.PERCENTILE.INC(S:S, 0.66)</f>
        <v>#NUM!</v>
      </c>
      <c r="AF342" s="30" t="e">
        <f t="shared" si="35"/>
        <v>#NUM!</v>
      </c>
    </row>
    <row r="343" spans="1:32" x14ac:dyDescent="0.3">
      <c r="A343" s="2" t="s">
        <v>356</v>
      </c>
      <c r="B343" s="4">
        <v>45594</v>
      </c>
      <c r="C343" s="46">
        <f>EOMONTH(Table2[[#This Row],[OrderDate]],-1)+1</f>
        <v>45566</v>
      </c>
      <c r="D343" s="45">
        <f>EOMONTH(_xlfn.MINIFS(B343:B973,M343:M973,Table2[[#This Row],[Country]]), -1) + 1</f>
        <v>44958</v>
      </c>
      <c r="E343" s="46"/>
      <c r="F343" s="4" t="str">
        <f>"Q"&amp;ROUNDUP(MONTH(B343)/3,0)&amp;"-"&amp;YEAR(B343)</f>
        <v>Q4-2024</v>
      </c>
      <c r="G343" s="4">
        <v>45600</v>
      </c>
      <c r="H343" s="4">
        <f>IF(G343&lt;B343, B343+3, G343)</f>
        <v>45600</v>
      </c>
      <c r="I343" s="10">
        <f>H343-B343</f>
        <v>6</v>
      </c>
      <c r="J343" s="10">
        <f t="shared" si="30"/>
        <v>1</v>
      </c>
      <c r="K343" s="10">
        <f t="shared" si="31"/>
        <v>1</v>
      </c>
      <c r="L343" s="6" t="s">
        <v>646</v>
      </c>
      <c r="M343" s="6" t="s">
        <v>650</v>
      </c>
      <c r="N343" s="6" t="s">
        <v>664</v>
      </c>
      <c r="O343" s="6" t="s">
        <v>701</v>
      </c>
      <c r="P343" s="6" t="s">
        <v>710</v>
      </c>
      <c r="Q343" s="6" t="s">
        <v>724</v>
      </c>
      <c r="R343" s="6" t="s">
        <v>728</v>
      </c>
      <c r="S343" s="6" t="s">
        <v>1076</v>
      </c>
      <c r="T343" s="8">
        <v>805.81</v>
      </c>
      <c r="U343" s="8">
        <v>1823.04</v>
      </c>
      <c r="V343" s="8">
        <f t="shared" si="32"/>
        <v>0</v>
      </c>
      <c r="W343" s="8">
        <v>0</v>
      </c>
      <c r="X343" s="10">
        <f>IF(Table2[[#This Row],[DiscountPct]]&gt;0.2,1,0)</f>
        <v>0</v>
      </c>
      <c r="Y343" s="10">
        <v>11</v>
      </c>
      <c r="Z343" s="30">
        <f>Table2[[#This Row],[UnitPrice]]*Y343*(1-V343)</f>
        <v>20053.439999999999</v>
      </c>
      <c r="AA343" s="2">
        <f>T343*Y343</f>
        <v>8863.91</v>
      </c>
      <c r="AB343" s="2">
        <f t="shared" si="33"/>
        <v>11189.529999999999</v>
      </c>
      <c r="AC343" s="2">
        <f t="shared" si="34"/>
        <v>0.55798556257679477</v>
      </c>
      <c r="AD343" s="2" t="e">
        <f>_xlfn.PERCENTILE.INC(S:S, 0.33)</f>
        <v>#NUM!</v>
      </c>
      <c r="AE343" s="2" t="e">
        <f>_xlfn.PERCENTILE.INC(S:S, 0.66)</f>
        <v>#NUM!</v>
      </c>
      <c r="AF343" s="30" t="e">
        <f t="shared" si="35"/>
        <v>#NUM!</v>
      </c>
    </row>
    <row r="344" spans="1:32" x14ac:dyDescent="0.3">
      <c r="A344" s="31" t="s">
        <v>357</v>
      </c>
      <c r="B344" s="32">
        <v>45339</v>
      </c>
      <c r="C344" s="47">
        <f>EOMONTH(Table2[[#This Row],[OrderDate]],-1)+1</f>
        <v>45323</v>
      </c>
      <c r="D344" s="45">
        <f>EOMONTH(_xlfn.MINIFS(B344:B974,M344:M974,Table2[[#This Row],[Country]]), -1) + 1</f>
        <v>45047</v>
      </c>
      <c r="E344" s="47"/>
      <c r="F344" s="32" t="str">
        <f>"Q"&amp;ROUNDUP(MONTH(B344)/3,0)&amp;"-"&amp;YEAR(B344)</f>
        <v>Q1-2024</v>
      </c>
      <c r="G344" s="32">
        <v>45355</v>
      </c>
      <c r="H344" s="32">
        <f>IF(G344&lt;B344, B344+3, G344)</f>
        <v>45355</v>
      </c>
      <c r="I344" s="33">
        <f>H344-B344</f>
        <v>16</v>
      </c>
      <c r="J344" s="33">
        <f t="shared" si="30"/>
        <v>0</v>
      </c>
      <c r="K344" s="33">
        <f t="shared" si="31"/>
        <v>0</v>
      </c>
      <c r="L344" s="34" t="s">
        <v>647</v>
      </c>
      <c r="M344" s="34" t="s">
        <v>654</v>
      </c>
      <c r="N344" s="34" t="s">
        <v>680</v>
      </c>
      <c r="O344" s="34" t="s">
        <v>705</v>
      </c>
      <c r="P344" s="34" t="s">
        <v>709</v>
      </c>
      <c r="Q344" s="34" t="s">
        <v>721</v>
      </c>
      <c r="R344" s="34" t="s">
        <v>730</v>
      </c>
      <c r="S344" s="34" t="s">
        <v>1077</v>
      </c>
      <c r="T344" s="35">
        <v>1231.8</v>
      </c>
      <c r="U344" s="35">
        <v>2015.99</v>
      </c>
      <c r="V344" s="35">
        <f t="shared" si="32"/>
        <v>0.26100000000000001</v>
      </c>
      <c r="W344" s="35">
        <v>0.26100000000000001</v>
      </c>
      <c r="X344" s="33">
        <f>IF(Table2[[#This Row],[DiscountPct]]&gt;0.2,1,0)</f>
        <v>1</v>
      </c>
      <c r="Y344" s="33">
        <v>6</v>
      </c>
      <c r="Z344" s="30">
        <f>Table2[[#This Row],[UnitPrice]]*Y344*(1-V344)</f>
        <v>8938.8996600000009</v>
      </c>
      <c r="AA344" s="31">
        <f>T344*Y344</f>
        <v>7390.7999999999993</v>
      </c>
      <c r="AB344" s="31">
        <f t="shared" si="33"/>
        <v>1548.0996600000017</v>
      </c>
      <c r="AC344" s="31">
        <f t="shared" si="34"/>
        <v>0.17318682599464391</v>
      </c>
      <c r="AD344" s="31" t="e">
        <f>_xlfn.PERCENTILE.INC(S:S, 0.33)</f>
        <v>#NUM!</v>
      </c>
      <c r="AE344" s="31" t="e">
        <f>_xlfn.PERCENTILE.INC(S:S, 0.66)</f>
        <v>#NUM!</v>
      </c>
      <c r="AF344" s="30" t="e">
        <f t="shared" si="35"/>
        <v>#NUM!</v>
      </c>
    </row>
    <row r="345" spans="1:32" x14ac:dyDescent="0.3">
      <c r="A345" s="2" t="s">
        <v>358</v>
      </c>
      <c r="B345" s="4">
        <v>45486</v>
      </c>
      <c r="C345" s="46">
        <f>EOMONTH(Table2[[#This Row],[OrderDate]],-1)+1</f>
        <v>45474</v>
      </c>
      <c r="D345" s="45">
        <f>EOMONTH(_xlfn.MINIFS(B345:B975,M345:M975,Table2[[#This Row],[Country]]), -1) + 1</f>
        <v>44986</v>
      </c>
      <c r="E345" s="46"/>
      <c r="F345" s="4" t="str">
        <f>"Q"&amp;ROUNDUP(MONTH(B345)/3,0)&amp;"-"&amp;YEAR(B345)</f>
        <v>Q3-2024</v>
      </c>
      <c r="G345" s="4">
        <v>45485</v>
      </c>
      <c r="H345" s="4">
        <f>IF(G345&lt;B345, B345+3, G345)</f>
        <v>45489</v>
      </c>
      <c r="I345" s="10">
        <f>H345-B345</f>
        <v>3</v>
      </c>
      <c r="J345" s="10">
        <f t="shared" si="30"/>
        <v>1</v>
      </c>
      <c r="K345" s="10">
        <f t="shared" si="31"/>
        <v>1</v>
      </c>
      <c r="L345" s="6" t="s">
        <v>647</v>
      </c>
      <c r="M345" s="6" t="s">
        <v>652</v>
      </c>
      <c r="N345" s="6" t="s">
        <v>694</v>
      </c>
      <c r="O345" s="6" t="s">
        <v>705</v>
      </c>
      <c r="P345" s="6" t="s">
        <v>709</v>
      </c>
      <c r="Q345" s="6" t="s">
        <v>721</v>
      </c>
      <c r="R345" s="6" t="s">
        <v>729</v>
      </c>
      <c r="S345" s="6" t="s">
        <v>1078</v>
      </c>
      <c r="T345" s="8">
        <v>105.13</v>
      </c>
      <c r="U345" s="8">
        <v>244.13</v>
      </c>
      <c r="V345" s="8">
        <f t="shared" si="32"/>
        <v>7.0999999999999994E-2</v>
      </c>
      <c r="W345" s="8">
        <v>7.0999999999999994E-2</v>
      </c>
      <c r="X345" s="10">
        <f>IF(Table2[[#This Row],[DiscountPct]]&gt;0.2,1,0)</f>
        <v>0</v>
      </c>
      <c r="Y345" s="10">
        <v>14</v>
      </c>
      <c r="Z345" s="30">
        <f>Table2[[#This Row],[UnitPrice]]*Y345*(1-V345)</f>
        <v>3175.1547799999998</v>
      </c>
      <c r="AA345" s="2">
        <f>T345*Y345</f>
        <v>1471.82</v>
      </c>
      <c r="AB345" s="2">
        <f t="shared" si="33"/>
        <v>1703.3347799999999</v>
      </c>
      <c r="AC345" s="2">
        <f t="shared" si="34"/>
        <v>0.53645724319618837</v>
      </c>
      <c r="AD345" s="2" t="e">
        <f>_xlfn.PERCENTILE.INC(S:S, 0.33)</f>
        <v>#NUM!</v>
      </c>
      <c r="AE345" s="2" t="e">
        <f>_xlfn.PERCENTILE.INC(S:S, 0.66)</f>
        <v>#NUM!</v>
      </c>
      <c r="AF345" s="30" t="e">
        <f t="shared" si="35"/>
        <v>#NUM!</v>
      </c>
    </row>
    <row r="346" spans="1:32" x14ac:dyDescent="0.3">
      <c r="A346" s="31" t="s">
        <v>359</v>
      </c>
      <c r="B346" s="32">
        <v>45261</v>
      </c>
      <c r="C346" s="47">
        <f>EOMONTH(Table2[[#This Row],[OrderDate]],-1)+1</f>
        <v>45261</v>
      </c>
      <c r="D346" s="45">
        <f>EOMONTH(_xlfn.MINIFS(B346:B976,M346:M976,Table2[[#This Row],[Country]]), -1) + 1</f>
        <v>44986</v>
      </c>
      <c r="E346" s="47"/>
      <c r="F346" s="32" t="str">
        <f>"Q"&amp;ROUNDUP(MONTH(B346)/3,0)&amp;"-"&amp;YEAR(B346)</f>
        <v>Q4-2023</v>
      </c>
      <c r="G346" s="32">
        <v>45278</v>
      </c>
      <c r="H346" s="32">
        <f>IF(G346&lt;B346, B346+3, G346)</f>
        <v>45278</v>
      </c>
      <c r="I346" s="33">
        <f>H346-B346</f>
        <v>17</v>
      </c>
      <c r="J346" s="33">
        <f t="shared" si="30"/>
        <v>0</v>
      </c>
      <c r="K346" s="33">
        <f t="shared" si="31"/>
        <v>0</v>
      </c>
      <c r="L346" s="34" t="s">
        <v>647</v>
      </c>
      <c r="M346" s="34" t="s">
        <v>652</v>
      </c>
      <c r="N346" s="34" t="s">
        <v>694</v>
      </c>
      <c r="O346" s="34" t="s">
        <v>705</v>
      </c>
      <c r="P346" s="34" t="s">
        <v>711</v>
      </c>
      <c r="Q346" s="34" t="s">
        <v>725</v>
      </c>
      <c r="R346" s="34" t="s">
        <v>731</v>
      </c>
      <c r="S346" s="34" t="s">
        <v>1079</v>
      </c>
      <c r="T346" s="35">
        <v>1495.79</v>
      </c>
      <c r="U346" s="35">
        <v>2783.12</v>
      </c>
      <c r="V346" s="35">
        <f t="shared" si="32"/>
        <v>0.02</v>
      </c>
      <c r="W346" s="35">
        <v>0.02</v>
      </c>
      <c r="X346" s="33">
        <f>IF(Table2[[#This Row],[DiscountPct]]&gt;0.2,1,0)</f>
        <v>0</v>
      </c>
      <c r="Y346" s="33">
        <v>5</v>
      </c>
      <c r="Z346" s="30">
        <f>Table2[[#This Row],[UnitPrice]]*Y346*(1-V346)</f>
        <v>13637.287999999999</v>
      </c>
      <c r="AA346" s="31">
        <f>T346*Y346</f>
        <v>7478.95</v>
      </c>
      <c r="AB346" s="31">
        <f t="shared" si="33"/>
        <v>6158.3379999999988</v>
      </c>
      <c r="AC346" s="31">
        <f t="shared" si="34"/>
        <v>0.45158084217331185</v>
      </c>
      <c r="AD346" s="31" t="e">
        <f>_xlfn.PERCENTILE.INC(S:S, 0.33)</f>
        <v>#NUM!</v>
      </c>
      <c r="AE346" s="31" t="e">
        <f>_xlfn.PERCENTILE.INC(S:S, 0.66)</f>
        <v>#NUM!</v>
      </c>
      <c r="AF346" s="30" t="e">
        <f t="shared" si="35"/>
        <v>#NUM!</v>
      </c>
    </row>
    <row r="347" spans="1:32" x14ac:dyDescent="0.3">
      <c r="A347" s="2" t="s">
        <v>360</v>
      </c>
      <c r="B347" s="4">
        <v>45498</v>
      </c>
      <c r="C347" s="46">
        <f>EOMONTH(Table2[[#This Row],[OrderDate]],-1)+1</f>
        <v>45474</v>
      </c>
      <c r="D347" s="45">
        <f>EOMONTH(_xlfn.MINIFS(B347:B977,M347:M977,Table2[[#This Row],[Country]]), -1) + 1</f>
        <v>45017</v>
      </c>
      <c r="E347" s="46"/>
      <c r="F347" s="4" t="str">
        <f>"Q"&amp;ROUNDUP(MONTH(B347)/3,0)&amp;"-"&amp;YEAR(B347)</f>
        <v>Q3-2024</v>
      </c>
      <c r="G347" s="4">
        <v>45506</v>
      </c>
      <c r="H347" s="4">
        <f>IF(G347&lt;B347, B347+3, G347)</f>
        <v>45506</v>
      </c>
      <c r="I347" s="10">
        <f>H347-B347</f>
        <v>8</v>
      </c>
      <c r="J347" s="10">
        <f t="shared" si="30"/>
        <v>0</v>
      </c>
      <c r="K347" s="10">
        <f t="shared" si="31"/>
        <v>0</v>
      </c>
      <c r="L347" s="6" t="s">
        <v>648</v>
      </c>
      <c r="M347" s="6" t="s">
        <v>653</v>
      </c>
      <c r="N347" s="6" t="s">
        <v>681</v>
      </c>
      <c r="O347" s="6" t="s">
        <v>704</v>
      </c>
      <c r="P347" s="6" t="s">
        <v>711</v>
      </c>
      <c r="Q347" s="6" t="s">
        <v>713</v>
      </c>
      <c r="R347" s="6" t="s">
        <v>733</v>
      </c>
      <c r="S347" s="6" t="s">
        <v>1080</v>
      </c>
      <c r="T347" s="8">
        <v>986.81</v>
      </c>
      <c r="U347" s="8">
        <v>2050.31</v>
      </c>
      <c r="V347" s="8">
        <f t="shared" si="32"/>
        <v>0.10299999999999999</v>
      </c>
      <c r="W347" s="8">
        <v>0.10299999999999999</v>
      </c>
      <c r="X347" s="10">
        <f>IF(Table2[[#This Row],[DiscountPct]]&gt;0.2,1,0)</f>
        <v>0</v>
      </c>
      <c r="Y347" s="10">
        <v>43</v>
      </c>
      <c r="Z347" s="30">
        <f>Table2[[#This Row],[UnitPrice]]*Y347*(1-V347)</f>
        <v>79082.507010000001</v>
      </c>
      <c r="AA347" s="2">
        <f>T347*Y347</f>
        <v>42432.829999999994</v>
      </c>
      <c r="AB347" s="2">
        <f t="shared" si="33"/>
        <v>36649.677010000007</v>
      </c>
      <c r="AC347" s="2">
        <f t="shared" si="34"/>
        <v>0.46343595310358138</v>
      </c>
      <c r="AD347" s="2" t="e">
        <f>_xlfn.PERCENTILE.INC(S:S, 0.33)</f>
        <v>#NUM!</v>
      </c>
      <c r="AE347" s="2" t="e">
        <f>_xlfn.PERCENTILE.INC(S:S, 0.66)</f>
        <v>#NUM!</v>
      </c>
      <c r="AF347" s="30" t="e">
        <f t="shared" si="35"/>
        <v>#NUM!</v>
      </c>
    </row>
    <row r="348" spans="1:32" x14ac:dyDescent="0.3">
      <c r="A348" s="31" t="s">
        <v>361</v>
      </c>
      <c r="B348" s="32">
        <v>45050</v>
      </c>
      <c r="C348" s="47">
        <f>EOMONTH(Table2[[#This Row],[OrderDate]],-1)+1</f>
        <v>45047</v>
      </c>
      <c r="D348" s="45">
        <f>EOMONTH(_xlfn.MINIFS(B348:B978,M348:M978,Table2[[#This Row],[Country]]), -1) + 1</f>
        <v>44958</v>
      </c>
      <c r="E348" s="47"/>
      <c r="F348" s="32" t="str">
        <f>"Q"&amp;ROUNDUP(MONTH(B348)/3,0)&amp;"-"&amp;YEAR(B348)</f>
        <v>Q2-2023</v>
      </c>
      <c r="G348" s="32">
        <v>45062</v>
      </c>
      <c r="H348" s="32">
        <f>IF(G348&lt;B348, B348+3, G348)</f>
        <v>45062</v>
      </c>
      <c r="I348" s="33">
        <f>H348-B348</f>
        <v>12</v>
      </c>
      <c r="J348" s="33">
        <f t="shared" si="30"/>
        <v>0</v>
      </c>
      <c r="K348" s="33">
        <f t="shared" si="31"/>
        <v>0</v>
      </c>
      <c r="L348" s="34" t="s">
        <v>646</v>
      </c>
      <c r="M348" s="34" t="s">
        <v>651</v>
      </c>
      <c r="N348" s="34" t="s">
        <v>669</v>
      </c>
      <c r="O348" s="34" t="s">
        <v>705</v>
      </c>
      <c r="P348" s="34" t="s">
        <v>709</v>
      </c>
      <c r="Q348" s="34" t="s">
        <v>713</v>
      </c>
      <c r="R348" s="34" t="s">
        <v>730</v>
      </c>
      <c r="S348" s="34" t="s">
        <v>1081</v>
      </c>
      <c r="T348" s="35">
        <v>77.739999999999995</v>
      </c>
      <c r="U348" s="35">
        <v>147.12</v>
      </c>
      <c r="V348" s="35">
        <f t="shared" si="32"/>
        <v>0</v>
      </c>
      <c r="W348" s="35">
        <v>0</v>
      </c>
      <c r="X348" s="33">
        <f>IF(Table2[[#This Row],[DiscountPct]]&gt;0.2,1,0)</f>
        <v>0</v>
      </c>
      <c r="Y348" s="33">
        <v>15</v>
      </c>
      <c r="Z348" s="30">
        <f>Table2[[#This Row],[UnitPrice]]*Y348*(1-V348)</f>
        <v>2206.8000000000002</v>
      </c>
      <c r="AA348" s="31">
        <f>T348*Y348</f>
        <v>1166.0999999999999</v>
      </c>
      <c r="AB348" s="31">
        <f t="shared" si="33"/>
        <v>1040.7000000000003</v>
      </c>
      <c r="AC348" s="31">
        <f t="shared" si="34"/>
        <v>0.47158781946710177</v>
      </c>
      <c r="AD348" s="31" t="e">
        <f>_xlfn.PERCENTILE.INC(S:S, 0.33)</f>
        <v>#NUM!</v>
      </c>
      <c r="AE348" s="31" t="e">
        <f>_xlfn.PERCENTILE.INC(S:S, 0.66)</f>
        <v>#NUM!</v>
      </c>
      <c r="AF348" s="30" t="e">
        <f t="shared" si="35"/>
        <v>#NUM!</v>
      </c>
    </row>
    <row r="349" spans="1:32" x14ac:dyDescent="0.3">
      <c r="A349" s="2" t="s">
        <v>362</v>
      </c>
      <c r="B349" s="4">
        <v>45281</v>
      </c>
      <c r="C349" s="46">
        <f>EOMONTH(Table2[[#This Row],[OrderDate]],-1)+1</f>
        <v>45261</v>
      </c>
      <c r="D349" s="45">
        <f>EOMONTH(_xlfn.MINIFS(B349:B979,M349:M979,Table2[[#This Row],[Country]]), -1) + 1</f>
        <v>44958</v>
      </c>
      <c r="E349" s="46"/>
      <c r="F349" s="4" t="str">
        <f>"Q"&amp;ROUNDUP(MONTH(B349)/3,0)&amp;"-"&amp;YEAR(B349)</f>
        <v>Q4-2023</v>
      </c>
      <c r="G349" s="4">
        <v>45297</v>
      </c>
      <c r="H349" s="4">
        <f>IF(G349&lt;B349, B349+3, G349)</f>
        <v>45297</v>
      </c>
      <c r="I349" s="10">
        <f>H349-B349</f>
        <v>16</v>
      </c>
      <c r="J349" s="10">
        <f t="shared" si="30"/>
        <v>0</v>
      </c>
      <c r="K349" s="10">
        <f t="shared" si="31"/>
        <v>0</v>
      </c>
      <c r="L349" s="6" t="s">
        <v>646</v>
      </c>
      <c r="M349" s="6" t="s">
        <v>651</v>
      </c>
      <c r="N349" s="6" t="s">
        <v>669</v>
      </c>
      <c r="O349" s="6" t="s">
        <v>701</v>
      </c>
      <c r="P349" s="6" t="s">
        <v>709</v>
      </c>
      <c r="Q349" s="6" t="s">
        <v>723</v>
      </c>
      <c r="R349" s="6" t="s">
        <v>727</v>
      </c>
      <c r="S349" s="6" t="s">
        <v>1082</v>
      </c>
      <c r="T349" s="8">
        <v>932.61</v>
      </c>
      <c r="U349" s="8">
        <v>1982.98</v>
      </c>
      <c r="V349" s="8">
        <f t="shared" si="32"/>
        <v>0.14399999999999999</v>
      </c>
      <c r="W349" s="8">
        <v>0.14399999999999999</v>
      </c>
      <c r="X349" s="10">
        <f>IF(Table2[[#This Row],[DiscountPct]]&gt;0.2,1,0)</f>
        <v>0</v>
      </c>
      <c r="Y349" s="10">
        <v>16</v>
      </c>
      <c r="Z349" s="30">
        <f>Table2[[#This Row],[UnitPrice]]*Y349*(1-V349)</f>
        <v>27158.894079999998</v>
      </c>
      <c r="AA349" s="2">
        <f>T349*Y349</f>
        <v>14921.76</v>
      </c>
      <c r="AB349" s="2">
        <f t="shared" si="33"/>
        <v>12237.134079999998</v>
      </c>
      <c r="AC349" s="2">
        <f t="shared" si="34"/>
        <v>0.45057556629345635</v>
      </c>
      <c r="AD349" s="2" t="e">
        <f>_xlfn.PERCENTILE.INC(S:S, 0.33)</f>
        <v>#NUM!</v>
      </c>
      <c r="AE349" s="2" t="e">
        <f>_xlfn.PERCENTILE.INC(S:S, 0.66)</f>
        <v>#NUM!</v>
      </c>
      <c r="AF349" s="30" t="e">
        <f t="shared" si="35"/>
        <v>#NUM!</v>
      </c>
    </row>
    <row r="350" spans="1:32" x14ac:dyDescent="0.3">
      <c r="A350" s="31" t="s">
        <v>363</v>
      </c>
      <c r="B350" s="32">
        <v>45825</v>
      </c>
      <c r="C350" s="47">
        <f>EOMONTH(Table2[[#This Row],[OrderDate]],-1)+1</f>
        <v>45809</v>
      </c>
      <c r="D350" s="45">
        <f>EOMONTH(_xlfn.MINIFS(B350:B980,M350:M980,Table2[[#This Row],[Country]]), -1) + 1</f>
        <v>45047</v>
      </c>
      <c r="E350" s="47"/>
      <c r="F350" s="32" t="str">
        <f>"Q"&amp;ROUNDUP(MONTH(B350)/3,0)&amp;"-"&amp;YEAR(B350)</f>
        <v>Q2-2025</v>
      </c>
      <c r="G350" s="32">
        <v>45843</v>
      </c>
      <c r="H350" s="32">
        <f>IF(G350&lt;B350, B350+3, G350)</f>
        <v>45843</v>
      </c>
      <c r="I350" s="33">
        <f>H350-B350</f>
        <v>18</v>
      </c>
      <c r="J350" s="33">
        <f t="shared" si="30"/>
        <v>0</v>
      </c>
      <c r="K350" s="33">
        <f t="shared" si="31"/>
        <v>0</v>
      </c>
      <c r="L350" s="34" t="s">
        <v>647</v>
      </c>
      <c r="M350" s="34" t="s">
        <v>654</v>
      </c>
      <c r="N350" s="34" t="s">
        <v>680</v>
      </c>
      <c r="O350" s="34" t="s">
        <v>704</v>
      </c>
      <c r="P350" s="34" t="s">
        <v>709</v>
      </c>
      <c r="Q350" s="34" t="s">
        <v>716</v>
      </c>
      <c r="R350" s="34" t="s">
        <v>731</v>
      </c>
      <c r="S350" s="34" t="s">
        <v>1083</v>
      </c>
      <c r="T350" s="35">
        <v>982.93</v>
      </c>
      <c r="U350" s="35">
        <v>2299.3000000000002</v>
      </c>
      <c r="V350" s="35">
        <f t="shared" si="32"/>
        <v>0.113</v>
      </c>
      <c r="W350" s="35">
        <v>0.113</v>
      </c>
      <c r="X350" s="33">
        <f>IF(Table2[[#This Row],[DiscountPct]]&gt;0.2,1,0)</f>
        <v>0</v>
      </c>
      <c r="Y350" s="33">
        <v>6</v>
      </c>
      <c r="Z350" s="30">
        <f>Table2[[#This Row],[UnitPrice]]*Y350*(1-V350)</f>
        <v>12236.874600000001</v>
      </c>
      <c r="AA350" s="31">
        <f>T350*Y350</f>
        <v>5897.58</v>
      </c>
      <c r="AB350" s="31">
        <f t="shared" si="33"/>
        <v>6339.2946000000011</v>
      </c>
      <c r="AC350" s="31">
        <f t="shared" si="34"/>
        <v>0.51804850562087157</v>
      </c>
      <c r="AD350" s="31" t="e">
        <f>_xlfn.PERCENTILE.INC(S:S, 0.33)</f>
        <v>#NUM!</v>
      </c>
      <c r="AE350" s="31" t="e">
        <f>_xlfn.PERCENTILE.INC(S:S, 0.66)</f>
        <v>#NUM!</v>
      </c>
      <c r="AF350" s="30" t="e">
        <f t="shared" si="35"/>
        <v>#NUM!</v>
      </c>
    </row>
    <row r="351" spans="1:32" x14ac:dyDescent="0.3">
      <c r="A351" s="2" t="s">
        <v>364</v>
      </c>
      <c r="B351" s="4">
        <v>44980</v>
      </c>
      <c r="C351" s="46">
        <f>EOMONTH(Table2[[#This Row],[OrderDate]],-1)+1</f>
        <v>44958</v>
      </c>
      <c r="D351" s="45">
        <f>EOMONTH(_xlfn.MINIFS(B351:B981,M351:M981,Table2[[#This Row],[Country]]), -1) + 1</f>
        <v>44927</v>
      </c>
      <c r="E351" s="46"/>
      <c r="F351" s="4" t="str">
        <f>"Q"&amp;ROUNDUP(MONTH(B351)/3,0)&amp;"-"&amp;YEAR(B351)</f>
        <v>Q1-2023</v>
      </c>
      <c r="G351" s="4">
        <v>44993</v>
      </c>
      <c r="H351" s="4">
        <f>IF(G351&lt;B351, B351+3, G351)</f>
        <v>44993</v>
      </c>
      <c r="I351" s="10">
        <f>H351-B351</f>
        <v>13</v>
      </c>
      <c r="J351" s="10">
        <f t="shared" si="30"/>
        <v>0</v>
      </c>
      <c r="K351" s="10">
        <f t="shared" si="31"/>
        <v>0</v>
      </c>
      <c r="L351" s="6" t="s">
        <v>649</v>
      </c>
      <c r="M351" s="6" t="s">
        <v>658</v>
      </c>
      <c r="N351" s="6" t="s">
        <v>693</v>
      </c>
      <c r="O351" s="6" t="s">
        <v>705</v>
      </c>
      <c r="P351" s="6" t="s">
        <v>711</v>
      </c>
      <c r="Q351" s="6" t="s">
        <v>712</v>
      </c>
      <c r="R351" s="6" t="s">
        <v>728</v>
      </c>
      <c r="S351" s="6" t="s">
        <v>1084</v>
      </c>
      <c r="T351" s="8">
        <v>307.37</v>
      </c>
      <c r="U351" s="8">
        <v>462.61</v>
      </c>
      <c r="V351" s="8">
        <f t="shared" si="32"/>
        <v>0.188</v>
      </c>
      <c r="W351" s="8">
        <v>0.188</v>
      </c>
      <c r="X351" s="10">
        <f>IF(Table2[[#This Row],[DiscountPct]]&gt;0.2,1,0)</f>
        <v>0</v>
      </c>
      <c r="Y351" s="10">
        <v>11</v>
      </c>
      <c r="Z351" s="30">
        <f>Table2[[#This Row],[UnitPrice]]*Y351*(1-V351)</f>
        <v>4132.0325200000007</v>
      </c>
      <c r="AA351" s="2">
        <f>T351*Y351</f>
        <v>3381.07</v>
      </c>
      <c r="AB351" s="2">
        <f t="shared" si="33"/>
        <v>750.9625200000005</v>
      </c>
      <c r="AC351" s="2">
        <f t="shared" si="34"/>
        <v>0.18174167709599739</v>
      </c>
      <c r="AD351" s="2" t="e">
        <f>_xlfn.PERCENTILE.INC(S:S, 0.33)</f>
        <v>#NUM!</v>
      </c>
      <c r="AE351" s="2" t="e">
        <f>_xlfn.PERCENTILE.INC(S:S, 0.66)</f>
        <v>#NUM!</v>
      </c>
      <c r="AF351" s="30" t="e">
        <f t="shared" si="35"/>
        <v>#NUM!</v>
      </c>
    </row>
    <row r="352" spans="1:32" x14ac:dyDescent="0.3">
      <c r="A352" s="31" t="s">
        <v>365</v>
      </c>
      <c r="B352" s="32">
        <v>45262</v>
      </c>
      <c r="C352" s="47">
        <f>EOMONTH(Table2[[#This Row],[OrderDate]],-1)+1</f>
        <v>45261</v>
      </c>
      <c r="D352" s="45">
        <f>EOMONTH(_xlfn.MINIFS(B352:B982,M352:M982,Table2[[#This Row],[Country]]), -1) + 1</f>
        <v>44927</v>
      </c>
      <c r="E352" s="47"/>
      <c r="F352" s="32" t="str">
        <f>"Q"&amp;ROUNDUP(MONTH(B352)/3,0)&amp;"-"&amp;YEAR(B352)</f>
        <v>Q4-2023</v>
      </c>
      <c r="G352" s="32">
        <v>45276</v>
      </c>
      <c r="H352" s="32">
        <f>IF(G352&lt;B352, B352+3, G352)</f>
        <v>45276</v>
      </c>
      <c r="I352" s="33">
        <f>H352-B352</f>
        <v>14</v>
      </c>
      <c r="J352" s="33">
        <f t="shared" si="30"/>
        <v>0</v>
      </c>
      <c r="K352" s="33">
        <f t="shared" si="31"/>
        <v>0</v>
      </c>
      <c r="L352" s="34" t="s">
        <v>649</v>
      </c>
      <c r="M352" s="34" t="s">
        <v>656</v>
      </c>
      <c r="N352" s="34" t="s">
        <v>698</v>
      </c>
      <c r="O352" s="34" t="s">
        <v>702</v>
      </c>
      <c r="P352" s="34" t="s">
        <v>711</v>
      </c>
      <c r="Q352" s="34" t="s">
        <v>725</v>
      </c>
      <c r="R352" s="34" t="s">
        <v>732</v>
      </c>
      <c r="S352" s="34" t="s">
        <v>1085</v>
      </c>
      <c r="T352" s="35">
        <v>879.08</v>
      </c>
      <c r="U352" s="35">
        <v>1093.3900000000001</v>
      </c>
      <c r="V352" s="35">
        <f t="shared" si="32"/>
        <v>0.113</v>
      </c>
      <c r="W352" s="35">
        <v>0.113</v>
      </c>
      <c r="X352" s="33">
        <f>IF(Table2[[#This Row],[DiscountPct]]&gt;0.2,1,0)</f>
        <v>0</v>
      </c>
      <c r="Y352" s="33">
        <v>17</v>
      </c>
      <c r="Z352" s="30">
        <f>Table2[[#This Row],[UnitPrice]]*Y352*(1-V352)</f>
        <v>16487.22781</v>
      </c>
      <c r="AA352" s="31">
        <f>T352*Y352</f>
        <v>14944.36</v>
      </c>
      <c r="AB352" s="31">
        <f t="shared" si="33"/>
        <v>1542.8678099999997</v>
      </c>
      <c r="AC352" s="31">
        <f t="shared" si="34"/>
        <v>9.3579577341935186E-2</v>
      </c>
      <c r="AD352" s="31" t="e">
        <f>_xlfn.PERCENTILE.INC(S:S, 0.33)</f>
        <v>#NUM!</v>
      </c>
      <c r="AE352" s="31" t="e">
        <f>_xlfn.PERCENTILE.INC(S:S, 0.66)</f>
        <v>#NUM!</v>
      </c>
      <c r="AF352" s="30" t="e">
        <f t="shared" si="35"/>
        <v>#NUM!</v>
      </c>
    </row>
    <row r="353" spans="1:32" x14ac:dyDescent="0.3">
      <c r="A353" s="2" t="s">
        <v>366</v>
      </c>
      <c r="B353" s="4">
        <v>45121</v>
      </c>
      <c r="C353" s="46">
        <f>EOMONTH(Table2[[#This Row],[OrderDate]],-1)+1</f>
        <v>45108</v>
      </c>
      <c r="D353" s="45">
        <f>EOMONTH(_xlfn.MINIFS(B353:B983,M353:M983,Table2[[#This Row],[Country]]), -1) + 1</f>
        <v>44958</v>
      </c>
      <c r="E353" s="46"/>
      <c r="F353" s="4" t="str">
        <f>"Q"&amp;ROUNDUP(MONTH(B353)/3,0)&amp;"-"&amp;YEAR(B353)</f>
        <v>Q3-2023</v>
      </c>
      <c r="G353" s="4">
        <v>45121</v>
      </c>
      <c r="H353" s="4">
        <f>IF(G353&lt;B353, B353+3, G353)</f>
        <v>45121</v>
      </c>
      <c r="I353" s="10">
        <f>H353-B353</f>
        <v>0</v>
      </c>
      <c r="J353" s="10">
        <f t="shared" si="30"/>
        <v>1</v>
      </c>
      <c r="K353" s="10">
        <f t="shared" si="31"/>
        <v>1</v>
      </c>
      <c r="L353" s="6" t="s">
        <v>646</v>
      </c>
      <c r="M353" s="6" t="s">
        <v>651</v>
      </c>
      <c r="N353" s="6" t="s">
        <v>665</v>
      </c>
      <c r="O353" s="6" t="s">
        <v>702</v>
      </c>
      <c r="P353" s="6" t="s">
        <v>707</v>
      </c>
      <c r="Q353" s="6" t="s">
        <v>714</v>
      </c>
      <c r="R353" s="6" t="s">
        <v>733</v>
      </c>
      <c r="S353" s="6" t="s">
        <v>1086</v>
      </c>
      <c r="T353" s="8">
        <v>956.38</v>
      </c>
      <c r="U353" s="8">
        <v>1454.22</v>
      </c>
      <c r="V353" s="8">
        <f t="shared" si="32"/>
        <v>3.9E-2</v>
      </c>
      <c r="W353" s="8">
        <v>3.9E-2</v>
      </c>
      <c r="X353" s="10">
        <f>IF(Table2[[#This Row],[DiscountPct]]&gt;0.2,1,0)</f>
        <v>0</v>
      </c>
      <c r="Y353" s="10">
        <v>19</v>
      </c>
      <c r="Z353" s="30">
        <f>Table2[[#This Row],[UnitPrice]]*Y353*(1-V353)</f>
        <v>26552.60298</v>
      </c>
      <c r="AA353" s="2">
        <f>T353*Y353</f>
        <v>18171.22</v>
      </c>
      <c r="AB353" s="2">
        <f t="shared" si="33"/>
        <v>8381.3829799999985</v>
      </c>
      <c r="AC353" s="2">
        <f t="shared" si="34"/>
        <v>0.31565202802576603</v>
      </c>
      <c r="AD353" s="2" t="e">
        <f>_xlfn.PERCENTILE.INC(S:S, 0.33)</f>
        <v>#NUM!</v>
      </c>
      <c r="AE353" s="2" t="e">
        <f>_xlfn.PERCENTILE.INC(S:S, 0.66)</f>
        <v>#NUM!</v>
      </c>
      <c r="AF353" s="30" t="e">
        <f t="shared" si="35"/>
        <v>#NUM!</v>
      </c>
    </row>
    <row r="354" spans="1:32" x14ac:dyDescent="0.3">
      <c r="A354" s="31" t="s">
        <v>367</v>
      </c>
      <c r="B354" s="32">
        <v>45512</v>
      </c>
      <c r="C354" s="47">
        <f>EOMONTH(Table2[[#This Row],[OrderDate]],-1)+1</f>
        <v>45505</v>
      </c>
      <c r="D354" s="45">
        <f>EOMONTH(_xlfn.MINIFS(B354:B984,M354:M984,Table2[[#This Row],[Country]]), -1) + 1</f>
        <v>44986</v>
      </c>
      <c r="E354" s="47"/>
      <c r="F354" s="32" t="str">
        <f>"Q"&amp;ROUNDUP(MONTH(B354)/3,0)&amp;"-"&amp;YEAR(B354)</f>
        <v>Q3-2024</v>
      </c>
      <c r="G354" s="32">
        <v>45524</v>
      </c>
      <c r="H354" s="32">
        <f>IF(G354&lt;B354, B354+3, G354)</f>
        <v>45524</v>
      </c>
      <c r="I354" s="33">
        <f>H354-B354</f>
        <v>12</v>
      </c>
      <c r="J354" s="33">
        <f t="shared" si="30"/>
        <v>0</v>
      </c>
      <c r="K354" s="33">
        <f t="shared" si="31"/>
        <v>0</v>
      </c>
      <c r="L354" s="34" t="s">
        <v>647</v>
      </c>
      <c r="M354" s="34" t="s">
        <v>652</v>
      </c>
      <c r="N354" s="34" t="s">
        <v>666</v>
      </c>
      <c r="O354" s="34" t="s">
        <v>705</v>
      </c>
      <c r="P354" s="34" t="s">
        <v>707</v>
      </c>
      <c r="Q354" s="34" t="s">
        <v>722</v>
      </c>
      <c r="R354" s="34" t="s">
        <v>729</v>
      </c>
      <c r="S354" s="34" t="s">
        <v>1087</v>
      </c>
      <c r="T354" s="35">
        <v>1233.3599999999999</v>
      </c>
      <c r="U354" s="35">
        <v>2120.4</v>
      </c>
      <c r="V354" s="35">
        <f t="shared" si="32"/>
        <v>0.17899999999999999</v>
      </c>
      <c r="W354" s="35">
        <v>0.17899999999999999</v>
      </c>
      <c r="X354" s="33">
        <f>IF(Table2[[#This Row],[DiscountPct]]&gt;0.2,1,0)</f>
        <v>0</v>
      </c>
      <c r="Y354" s="33">
        <v>20</v>
      </c>
      <c r="Z354" s="30">
        <f>Table2[[#This Row],[UnitPrice]]*Y354*(1-V354)</f>
        <v>34816.968000000001</v>
      </c>
      <c r="AA354" s="31">
        <f>T354*Y354</f>
        <v>24667.199999999997</v>
      </c>
      <c r="AB354" s="31">
        <f t="shared" si="33"/>
        <v>10149.768000000004</v>
      </c>
      <c r="AC354" s="31">
        <f t="shared" si="34"/>
        <v>0.29151785991244278</v>
      </c>
      <c r="AD354" s="31" t="e">
        <f>_xlfn.PERCENTILE.INC(S:S, 0.33)</f>
        <v>#NUM!</v>
      </c>
      <c r="AE354" s="31" t="e">
        <f>_xlfn.PERCENTILE.INC(S:S, 0.66)</f>
        <v>#NUM!</v>
      </c>
      <c r="AF354" s="30" t="e">
        <f t="shared" si="35"/>
        <v>#NUM!</v>
      </c>
    </row>
    <row r="355" spans="1:32" x14ac:dyDescent="0.3">
      <c r="A355" s="2" t="s">
        <v>368</v>
      </c>
      <c r="B355" s="4">
        <v>45603</v>
      </c>
      <c r="C355" s="46">
        <f>EOMONTH(Table2[[#This Row],[OrderDate]],-1)+1</f>
        <v>45597</v>
      </c>
      <c r="D355" s="45">
        <f>EOMONTH(_xlfn.MINIFS(B355:B985,M355:M985,Table2[[#This Row],[Country]]), -1) + 1</f>
        <v>44927</v>
      </c>
      <c r="E355" s="46"/>
      <c r="F355" s="4" t="str">
        <f>"Q"&amp;ROUNDUP(MONTH(B355)/3,0)&amp;"-"&amp;YEAR(B355)</f>
        <v>Q4-2024</v>
      </c>
      <c r="G355" s="4">
        <v>45622</v>
      </c>
      <c r="H355" s="4">
        <f>IF(G355&lt;B355, B355+3, G355)</f>
        <v>45622</v>
      </c>
      <c r="I355" s="10">
        <f>H355-B355</f>
        <v>19</v>
      </c>
      <c r="J355" s="10">
        <f t="shared" si="30"/>
        <v>0</v>
      </c>
      <c r="K355" s="10">
        <f t="shared" si="31"/>
        <v>0</v>
      </c>
      <c r="L355" s="6" t="s">
        <v>648</v>
      </c>
      <c r="M355" s="6" t="s">
        <v>655</v>
      </c>
      <c r="N355" s="6" t="s">
        <v>692</v>
      </c>
      <c r="O355" s="6" t="s">
        <v>703</v>
      </c>
      <c r="P355" s="6" t="s">
        <v>710</v>
      </c>
      <c r="Q355" s="6" t="s">
        <v>713</v>
      </c>
      <c r="R355" s="6" t="s">
        <v>728</v>
      </c>
      <c r="S355" s="6" t="s">
        <v>1088</v>
      </c>
      <c r="T355" s="8">
        <v>55.35</v>
      </c>
      <c r="U355" s="8">
        <v>128.68</v>
      </c>
      <c r="V355" s="8">
        <f t="shared" si="32"/>
        <v>0.128</v>
      </c>
      <c r="W355" s="8">
        <v>0.128</v>
      </c>
      <c r="X355" s="10">
        <f>IF(Table2[[#This Row],[DiscountPct]]&gt;0.2,1,0)</f>
        <v>0</v>
      </c>
      <c r="Y355" s="10">
        <v>10</v>
      </c>
      <c r="Z355" s="30">
        <f>Table2[[#This Row],[UnitPrice]]*Y355*(1-V355)</f>
        <v>1122.0896000000002</v>
      </c>
      <c r="AA355" s="2">
        <f>T355*Y355</f>
        <v>553.5</v>
      </c>
      <c r="AB355" s="2">
        <f t="shared" si="33"/>
        <v>568.58960000000025</v>
      </c>
      <c r="AC355" s="2">
        <f t="shared" si="34"/>
        <v>0.50672388372550647</v>
      </c>
      <c r="AD355" s="2" t="e">
        <f>_xlfn.PERCENTILE.INC(S:S, 0.33)</f>
        <v>#NUM!</v>
      </c>
      <c r="AE355" s="2" t="e">
        <f>_xlfn.PERCENTILE.INC(S:S, 0.66)</f>
        <v>#NUM!</v>
      </c>
      <c r="AF355" s="30" t="e">
        <f t="shared" si="35"/>
        <v>#NUM!</v>
      </c>
    </row>
    <row r="356" spans="1:32" x14ac:dyDescent="0.3">
      <c r="A356" s="31" t="s">
        <v>369</v>
      </c>
      <c r="B356" s="32">
        <v>45292</v>
      </c>
      <c r="C356" s="47">
        <f>EOMONTH(Table2[[#This Row],[OrderDate]],-1)+1</f>
        <v>45292</v>
      </c>
      <c r="D356" s="45">
        <f>EOMONTH(_xlfn.MINIFS(B356:B986,M356:M986,Table2[[#This Row],[Country]]), -1) + 1</f>
        <v>44927</v>
      </c>
      <c r="E356" s="47"/>
      <c r="F356" s="32" t="str">
        <f>"Q"&amp;ROUNDUP(MONTH(B356)/3,0)&amp;"-"&amp;YEAR(B356)</f>
        <v>Q1-2024</v>
      </c>
      <c r="G356" s="32">
        <v>45318</v>
      </c>
      <c r="H356" s="32">
        <f>IF(G356&lt;B356, B356+3, G356)</f>
        <v>45318</v>
      </c>
      <c r="I356" s="33">
        <f>H356-B356</f>
        <v>26</v>
      </c>
      <c r="J356" s="33">
        <f t="shared" si="30"/>
        <v>0</v>
      </c>
      <c r="K356" s="33">
        <f t="shared" si="31"/>
        <v>0</v>
      </c>
      <c r="L356" s="34" t="s">
        <v>649</v>
      </c>
      <c r="M356" s="34" t="s">
        <v>658</v>
      </c>
      <c r="N356" s="34" t="s">
        <v>693</v>
      </c>
      <c r="O356" s="34" t="s">
        <v>702</v>
      </c>
      <c r="P356" s="34" t="s">
        <v>710</v>
      </c>
      <c r="Q356" s="34" t="s">
        <v>726</v>
      </c>
      <c r="R356" s="34" t="s">
        <v>733</v>
      </c>
      <c r="S356" s="34" t="s">
        <v>1089</v>
      </c>
      <c r="T356" s="35">
        <v>657.45</v>
      </c>
      <c r="U356" s="35">
        <v>1325.96</v>
      </c>
      <c r="V356" s="35">
        <f t="shared" si="32"/>
        <v>0.16700000000000001</v>
      </c>
      <c r="W356" s="35">
        <v>0.16700000000000001</v>
      </c>
      <c r="X356" s="33">
        <f>IF(Table2[[#This Row],[DiscountPct]]&gt;0.2,1,0)</f>
        <v>0</v>
      </c>
      <c r="Y356" s="33">
        <v>21</v>
      </c>
      <c r="Z356" s="30">
        <f>Table2[[#This Row],[UnitPrice]]*Y356*(1-V356)</f>
        <v>23195.01828</v>
      </c>
      <c r="AA356" s="31">
        <f>T356*Y356</f>
        <v>13806.45</v>
      </c>
      <c r="AB356" s="31">
        <f t="shared" si="33"/>
        <v>9388.5682799999995</v>
      </c>
      <c r="AC356" s="31">
        <f t="shared" si="34"/>
        <v>0.40476658249048808</v>
      </c>
      <c r="AD356" s="31" t="e">
        <f>_xlfn.PERCENTILE.INC(S:S, 0.33)</f>
        <v>#NUM!</v>
      </c>
      <c r="AE356" s="31" t="e">
        <f>_xlfn.PERCENTILE.INC(S:S, 0.66)</f>
        <v>#NUM!</v>
      </c>
      <c r="AF356" s="30" t="e">
        <f t="shared" si="35"/>
        <v>#NUM!</v>
      </c>
    </row>
    <row r="357" spans="1:32" x14ac:dyDescent="0.3">
      <c r="A357" s="2" t="s">
        <v>370</v>
      </c>
      <c r="B357" s="4">
        <v>45883</v>
      </c>
      <c r="C357" s="46">
        <f>EOMONTH(Table2[[#This Row],[OrderDate]],-1)+1</f>
        <v>45870</v>
      </c>
      <c r="D357" s="45">
        <f>EOMONTH(_xlfn.MINIFS(B357:B987,M357:M987,Table2[[#This Row],[Country]]), -1) + 1</f>
        <v>44927</v>
      </c>
      <c r="E357" s="46"/>
      <c r="F357" s="4" t="str">
        <f>"Q"&amp;ROUNDUP(MONTH(B357)/3,0)&amp;"-"&amp;YEAR(B357)</f>
        <v>Q3-2025</v>
      </c>
      <c r="G357" s="4">
        <v>45911</v>
      </c>
      <c r="H357" s="4">
        <f>IF(G357&lt;B357, B357+3, G357)</f>
        <v>45911</v>
      </c>
      <c r="I357" s="10">
        <f>H357-B357</f>
        <v>28</v>
      </c>
      <c r="J357" s="10">
        <f t="shared" si="30"/>
        <v>0</v>
      </c>
      <c r="K357" s="10">
        <f t="shared" si="31"/>
        <v>0</v>
      </c>
      <c r="L357" s="6" t="s">
        <v>648</v>
      </c>
      <c r="M357" s="6" t="s">
        <v>655</v>
      </c>
      <c r="N357" s="6" t="s">
        <v>670</v>
      </c>
      <c r="O357" s="6" t="s">
        <v>703</v>
      </c>
      <c r="P357" s="6" t="s">
        <v>711</v>
      </c>
      <c r="Q357" s="6" t="s">
        <v>721</v>
      </c>
      <c r="R357" s="6" t="s">
        <v>728</v>
      </c>
      <c r="S357" s="6" t="s">
        <v>1090</v>
      </c>
      <c r="T357" s="8">
        <v>1203.02</v>
      </c>
      <c r="U357" s="8">
        <v>2439.33</v>
      </c>
      <c r="V357" s="8">
        <f t="shared" si="32"/>
        <v>0</v>
      </c>
      <c r="W357" s="8">
        <v>0</v>
      </c>
      <c r="X357" s="10">
        <f>IF(Table2[[#This Row],[DiscountPct]]&gt;0.2,1,0)</f>
        <v>0</v>
      </c>
      <c r="Y357" s="10">
        <v>18</v>
      </c>
      <c r="Z357" s="30">
        <f>Table2[[#This Row],[UnitPrice]]*Y357*(1-V357)</f>
        <v>43907.94</v>
      </c>
      <c r="AA357" s="2">
        <f>T357*Y357</f>
        <v>21654.36</v>
      </c>
      <c r="AB357" s="2">
        <f t="shared" si="33"/>
        <v>22253.58</v>
      </c>
      <c r="AC357" s="2">
        <f t="shared" si="34"/>
        <v>0.50682359500354612</v>
      </c>
      <c r="AD357" s="2" t="e">
        <f>_xlfn.PERCENTILE.INC(S:S, 0.33)</f>
        <v>#NUM!</v>
      </c>
      <c r="AE357" s="2" t="e">
        <f>_xlfn.PERCENTILE.INC(S:S, 0.66)</f>
        <v>#NUM!</v>
      </c>
      <c r="AF357" s="30" t="e">
        <f t="shared" si="35"/>
        <v>#NUM!</v>
      </c>
    </row>
    <row r="358" spans="1:32" x14ac:dyDescent="0.3">
      <c r="A358" s="31" t="s">
        <v>371</v>
      </c>
      <c r="B358" s="32">
        <v>45385</v>
      </c>
      <c r="C358" s="47">
        <f>EOMONTH(Table2[[#This Row],[OrderDate]],-1)+1</f>
        <v>45383</v>
      </c>
      <c r="D358" s="45">
        <f>EOMONTH(_xlfn.MINIFS(B358:B988,M358:M988,Table2[[#This Row],[Country]]), -1) + 1</f>
        <v>44927</v>
      </c>
      <c r="E358" s="47"/>
      <c r="F358" s="32" t="str">
        <f>"Q"&amp;ROUNDUP(MONTH(B358)/3,0)&amp;"-"&amp;YEAR(B358)</f>
        <v>Q2-2024</v>
      </c>
      <c r="G358" s="32">
        <v>45403</v>
      </c>
      <c r="H358" s="32">
        <f>IF(G358&lt;B358, B358+3, G358)</f>
        <v>45403</v>
      </c>
      <c r="I358" s="33">
        <f>H358-B358</f>
        <v>18</v>
      </c>
      <c r="J358" s="33">
        <f t="shared" si="30"/>
        <v>0</v>
      </c>
      <c r="K358" s="33">
        <f t="shared" si="31"/>
        <v>0</v>
      </c>
      <c r="L358" s="34" t="s">
        <v>648</v>
      </c>
      <c r="M358" s="34" t="s">
        <v>655</v>
      </c>
      <c r="N358" s="34" t="s">
        <v>672</v>
      </c>
      <c r="O358" s="34" t="s">
        <v>705</v>
      </c>
      <c r="P358" s="34" t="s">
        <v>710</v>
      </c>
      <c r="Q358" s="34" t="s">
        <v>717</v>
      </c>
      <c r="R358" s="34" t="s">
        <v>729</v>
      </c>
      <c r="S358" s="34" t="s">
        <v>1091</v>
      </c>
      <c r="T358" s="35">
        <v>1176.69</v>
      </c>
      <c r="U358" s="35">
        <v>2201.54</v>
      </c>
      <c r="V358" s="35">
        <f t="shared" si="32"/>
        <v>0.17</v>
      </c>
      <c r="W358" s="35">
        <v>0.17</v>
      </c>
      <c r="X358" s="33">
        <f>IF(Table2[[#This Row],[DiscountPct]]&gt;0.2,1,0)</f>
        <v>0</v>
      </c>
      <c r="Y358" s="33">
        <v>27</v>
      </c>
      <c r="Z358" s="30">
        <f>Table2[[#This Row],[UnitPrice]]*Y358*(1-V358)</f>
        <v>49336.511399999996</v>
      </c>
      <c r="AA358" s="31">
        <f>T358*Y358</f>
        <v>31770.63</v>
      </c>
      <c r="AB358" s="31">
        <f t="shared" si="33"/>
        <v>17565.881399999995</v>
      </c>
      <c r="AC358" s="31">
        <f t="shared" si="34"/>
        <v>0.35604222717701106</v>
      </c>
      <c r="AD358" s="31" t="e">
        <f>_xlfn.PERCENTILE.INC(S:S, 0.33)</f>
        <v>#NUM!</v>
      </c>
      <c r="AE358" s="31" t="e">
        <f>_xlfn.PERCENTILE.INC(S:S, 0.66)</f>
        <v>#NUM!</v>
      </c>
      <c r="AF358" s="30" t="e">
        <f t="shared" si="35"/>
        <v>#NUM!</v>
      </c>
    </row>
    <row r="359" spans="1:32" x14ac:dyDescent="0.3">
      <c r="A359" s="2" t="s">
        <v>372</v>
      </c>
      <c r="B359" s="4">
        <v>45621</v>
      </c>
      <c r="C359" s="46">
        <f>EOMONTH(Table2[[#This Row],[OrderDate]],-1)+1</f>
        <v>45597</v>
      </c>
      <c r="D359" s="45">
        <f>EOMONTH(_xlfn.MINIFS(B359:B989,M359:M989,Table2[[#This Row],[Country]]), -1) + 1</f>
        <v>44927</v>
      </c>
      <c r="E359" s="46"/>
      <c r="F359" s="4" t="str">
        <f>"Q"&amp;ROUNDUP(MONTH(B359)/3,0)&amp;"-"&amp;YEAR(B359)</f>
        <v>Q4-2024</v>
      </c>
      <c r="G359" s="4">
        <v>45633</v>
      </c>
      <c r="H359" s="4">
        <f>IF(G359&lt;B359, B359+3, G359)</f>
        <v>45633</v>
      </c>
      <c r="I359" s="10">
        <f>H359-B359</f>
        <v>12</v>
      </c>
      <c r="J359" s="10">
        <f t="shared" si="30"/>
        <v>0</v>
      </c>
      <c r="K359" s="10">
        <f t="shared" si="31"/>
        <v>0</v>
      </c>
      <c r="L359" s="6" t="s">
        <v>647</v>
      </c>
      <c r="M359" s="6" t="s">
        <v>659</v>
      </c>
      <c r="N359" s="6" t="s">
        <v>685</v>
      </c>
      <c r="O359" s="6" t="s">
        <v>701</v>
      </c>
      <c r="P359" s="6" t="s">
        <v>710</v>
      </c>
      <c r="Q359" s="6" t="s">
        <v>720</v>
      </c>
      <c r="R359" s="6" t="s">
        <v>733</v>
      </c>
      <c r="S359" s="6" t="s">
        <v>1092</v>
      </c>
      <c r="T359" s="8">
        <v>769.9</v>
      </c>
      <c r="U359" s="8">
        <v>814.36</v>
      </c>
      <c r="V359" s="8">
        <f t="shared" si="32"/>
        <v>0</v>
      </c>
      <c r="W359" s="8">
        <v>0</v>
      </c>
      <c r="X359" s="10">
        <f>IF(Table2[[#This Row],[DiscountPct]]&gt;0.2,1,0)</f>
        <v>0</v>
      </c>
      <c r="Y359" s="10">
        <v>5</v>
      </c>
      <c r="Z359" s="30">
        <f>Table2[[#This Row],[UnitPrice]]*Y359*(1-V359)</f>
        <v>4071.8</v>
      </c>
      <c r="AA359" s="2">
        <f>T359*Y359</f>
        <v>3849.5</v>
      </c>
      <c r="AB359" s="2">
        <f t="shared" si="33"/>
        <v>222.30000000000018</v>
      </c>
      <c r="AC359" s="2">
        <f t="shared" si="34"/>
        <v>5.4595019401738831E-2</v>
      </c>
      <c r="AD359" s="2" t="e">
        <f>_xlfn.PERCENTILE.INC(S:S, 0.33)</f>
        <v>#NUM!</v>
      </c>
      <c r="AE359" s="2" t="e">
        <f>_xlfn.PERCENTILE.INC(S:S, 0.66)</f>
        <v>#NUM!</v>
      </c>
      <c r="AF359" s="30" t="e">
        <f t="shared" si="35"/>
        <v>#NUM!</v>
      </c>
    </row>
    <row r="360" spans="1:32" x14ac:dyDescent="0.3">
      <c r="A360" s="31" t="s">
        <v>373</v>
      </c>
      <c r="B360" s="32">
        <v>45309</v>
      </c>
      <c r="C360" s="47">
        <f>EOMONTH(Table2[[#This Row],[OrderDate]],-1)+1</f>
        <v>45292</v>
      </c>
      <c r="D360" s="45">
        <f>EOMONTH(_xlfn.MINIFS(B360:B990,M360:M990,Table2[[#This Row],[Country]]), -1) + 1</f>
        <v>44927</v>
      </c>
      <c r="E360" s="47"/>
      <c r="F360" s="32" t="str">
        <f>"Q"&amp;ROUNDUP(MONTH(B360)/3,0)&amp;"-"&amp;YEAR(B360)</f>
        <v>Q1-2024</v>
      </c>
      <c r="G360" s="32">
        <v>45325</v>
      </c>
      <c r="H360" s="32">
        <f>IF(G360&lt;B360, B360+3, G360)</f>
        <v>45325</v>
      </c>
      <c r="I360" s="33">
        <f>H360-B360</f>
        <v>16</v>
      </c>
      <c r="J360" s="33">
        <f t="shared" si="30"/>
        <v>0</v>
      </c>
      <c r="K360" s="33">
        <f t="shared" si="31"/>
        <v>0</v>
      </c>
      <c r="L360" s="34" t="s">
        <v>646</v>
      </c>
      <c r="M360" s="34" t="s">
        <v>661</v>
      </c>
      <c r="N360" s="34" t="s">
        <v>695</v>
      </c>
      <c r="O360" s="34" t="s">
        <v>703</v>
      </c>
      <c r="P360" s="34" t="s">
        <v>710</v>
      </c>
      <c r="Q360" s="34" t="s">
        <v>716</v>
      </c>
      <c r="R360" s="34" t="s">
        <v>728</v>
      </c>
      <c r="S360" s="34" t="s">
        <v>1093</v>
      </c>
      <c r="T360" s="35">
        <v>666.23</v>
      </c>
      <c r="U360" s="35">
        <v>1382.91</v>
      </c>
      <c r="V360" s="35">
        <f t="shared" si="32"/>
        <v>0.17599999999999999</v>
      </c>
      <c r="W360" s="35">
        <v>0.17599999999999999</v>
      </c>
      <c r="X360" s="33">
        <f>IF(Table2[[#This Row],[DiscountPct]]&gt;0.2,1,0)</f>
        <v>0</v>
      </c>
      <c r="Y360" s="33">
        <v>13</v>
      </c>
      <c r="Z360" s="30">
        <f>Table2[[#This Row],[UnitPrice]]*Y360*(1-V360)</f>
        <v>14813.731920000002</v>
      </c>
      <c r="AA360" s="31">
        <f>T360*Y360</f>
        <v>8660.99</v>
      </c>
      <c r="AB360" s="31">
        <f t="shared" si="33"/>
        <v>6152.7419200000022</v>
      </c>
      <c r="AC360" s="31">
        <f t="shared" si="34"/>
        <v>0.41534043907553048</v>
      </c>
      <c r="AD360" s="31" t="e">
        <f>_xlfn.PERCENTILE.INC(S:S, 0.33)</f>
        <v>#NUM!</v>
      </c>
      <c r="AE360" s="31" t="e">
        <f>_xlfn.PERCENTILE.INC(S:S, 0.66)</f>
        <v>#NUM!</v>
      </c>
      <c r="AF360" s="30" t="e">
        <f t="shared" si="35"/>
        <v>#NUM!</v>
      </c>
    </row>
    <row r="361" spans="1:32" x14ac:dyDescent="0.3">
      <c r="A361" s="2" t="s">
        <v>374</v>
      </c>
      <c r="B361" s="4">
        <v>45466</v>
      </c>
      <c r="C361" s="46">
        <f>EOMONTH(Table2[[#This Row],[OrderDate]],-1)+1</f>
        <v>45444</v>
      </c>
      <c r="D361" s="45">
        <f>EOMONTH(_xlfn.MINIFS(B361:B991,M361:M991,Table2[[#This Row],[Country]]), -1) + 1</f>
        <v>44927</v>
      </c>
      <c r="E361" s="46"/>
      <c r="F361" s="4" t="str">
        <f>"Q"&amp;ROUNDUP(MONTH(B361)/3,0)&amp;"-"&amp;YEAR(B361)</f>
        <v>Q2-2024</v>
      </c>
      <c r="G361" s="4">
        <v>45468</v>
      </c>
      <c r="H361" s="4">
        <f>IF(G361&lt;B361, B361+3, G361)</f>
        <v>45468</v>
      </c>
      <c r="I361" s="10">
        <f>H361-B361</f>
        <v>2</v>
      </c>
      <c r="J361" s="10">
        <f t="shared" si="30"/>
        <v>1</v>
      </c>
      <c r="K361" s="10">
        <f t="shared" si="31"/>
        <v>1</v>
      </c>
      <c r="L361" s="6" t="s">
        <v>649</v>
      </c>
      <c r="M361" s="6" t="s">
        <v>658</v>
      </c>
      <c r="N361" s="6" t="s">
        <v>674</v>
      </c>
      <c r="O361" s="6" t="s">
        <v>705</v>
      </c>
      <c r="P361" s="6" t="s">
        <v>709</v>
      </c>
      <c r="Q361" s="6" t="s">
        <v>716</v>
      </c>
      <c r="R361" s="6" t="s">
        <v>733</v>
      </c>
      <c r="S361" s="6" t="s">
        <v>1094</v>
      </c>
      <c r="T361" s="8">
        <v>951.44</v>
      </c>
      <c r="U361" s="8">
        <v>1646.43</v>
      </c>
      <c r="V361" s="8">
        <f t="shared" si="32"/>
        <v>0.11</v>
      </c>
      <c r="W361" s="8">
        <v>0.11</v>
      </c>
      <c r="X361" s="10">
        <f>IF(Table2[[#This Row],[DiscountPct]]&gt;0.2,1,0)</f>
        <v>0</v>
      </c>
      <c r="Y361" s="10">
        <v>24</v>
      </c>
      <c r="Z361" s="30">
        <f>Table2[[#This Row],[UnitPrice]]*Y361*(1-V361)</f>
        <v>35167.7448</v>
      </c>
      <c r="AA361" s="2">
        <f>T361*Y361</f>
        <v>22834.560000000001</v>
      </c>
      <c r="AB361" s="2">
        <f t="shared" si="33"/>
        <v>12333.184799999999</v>
      </c>
      <c r="AC361" s="2">
        <f t="shared" si="34"/>
        <v>0.35069592520473475</v>
      </c>
      <c r="AD361" s="2" t="e">
        <f>_xlfn.PERCENTILE.INC(S:S, 0.33)</f>
        <v>#NUM!</v>
      </c>
      <c r="AE361" s="2" t="e">
        <f>_xlfn.PERCENTILE.INC(S:S, 0.66)</f>
        <v>#NUM!</v>
      </c>
      <c r="AF361" s="30" t="e">
        <f t="shared" si="35"/>
        <v>#NUM!</v>
      </c>
    </row>
    <row r="362" spans="1:32" x14ac:dyDescent="0.3">
      <c r="A362" s="31" t="s">
        <v>375</v>
      </c>
      <c r="B362" s="32">
        <v>45833</v>
      </c>
      <c r="C362" s="47">
        <f>EOMONTH(Table2[[#This Row],[OrderDate]],-1)+1</f>
        <v>45809</v>
      </c>
      <c r="D362" s="45">
        <f>EOMONTH(_xlfn.MINIFS(B362:B992,M362:M992,Table2[[#This Row],[Country]]), -1) + 1</f>
        <v>44927</v>
      </c>
      <c r="E362" s="47"/>
      <c r="F362" s="32" t="str">
        <f>"Q"&amp;ROUNDUP(MONTH(B362)/3,0)&amp;"-"&amp;YEAR(B362)</f>
        <v>Q2-2025</v>
      </c>
      <c r="G362" s="32">
        <v>45848</v>
      </c>
      <c r="H362" s="32">
        <f>IF(G362&lt;B362, B362+3, G362)</f>
        <v>45848</v>
      </c>
      <c r="I362" s="33">
        <f>H362-B362</f>
        <v>15</v>
      </c>
      <c r="J362" s="33">
        <f t="shared" si="30"/>
        <v>0</v>
      </c>
      <c r="K362" s="33">
        <f t="shared" si="31"/>
        <v>0</v>
      </c>
      <c r="L362" s="34" t="s">
        <v>649</v>
      </c>
      <c r="M362" s="34" t="s">
        <v>658</v>
      </c>
      <c r="N362" s="34" t="s">
        <v>674</v>
      </c>
      <c r="O362" s="34" t="s">
        <v>703</v>
      </c>
      <c r="P362" s="34" t="s">
        <v>709</v>
      </c>
      <c r="Q362" s="34" t="s">
        <v>726</v>
      </c>
      <c r="R362" s="34" t="s">
        <v>730</v>
      </c>
      <c r="S362" s="34" t="s">
        <v>1095</v>
      </c>
      <c r="T362" s="35">
        <v>546.83000000000004</v>
      </c>
      <c r="U362" s="35">
        <v>400.84</v>
      </c>
      <c r="V362" s="35">
        <f t="shared" si="32"/>
        <v>7.8E-2</v>
      </c>
      <c r="W362" s="35">
        <v>7.8E-2</v>
      </c>
      <c r="X362" s="33">
        <f>IF(Table2[[#This Row],[DiscountPct]]&gt;0.2,1,0)</f>
        <v>0</v>
      </c>
      <c r="Y362" s="33">
        <v>13</v>
      </c>
      <c r="Z362" s="30">
        <f>Table2[[#This Row],[UnitPrice]]*Y362*(1-V362)</f>
        <v>4804.4682400000002</v>
      </c>
      <c r="AA362" s="31">
        <f>T362*Y362</f>
        <v>7108.7900000000009</v>
      </c>
      <c r="AB362" s="31">
        <f t="shared" si="33"/>
        <v>-2304.3217600000007</v>
      </c>
      <c r="AC362" s="31">
        <f t="shared" si="34"/>
        <v>-0.47962056254533608</v>
      </c>
      <c r="AD362" s="31" t="e">
        <f>_xlfn.PERCENTILE.INC(S:S, 0.33)</f>
        <v>#NUM!</v>
      </c>
      <c r="AE362" s="31" t="e">
        <f>_xlfn.PERCENTILE.INC(S:S, 0.66)</f>
        <v>#NUM!</v>
      </c>
      <c r="AF362" s="30" t="e">
        <f t="shared" si="35"/>
        <v>#NUM!</v>
      </c>
    </row>
    <row r="363" spans="1:32" x14ac:dyDescent="0.3">
      <c r="A363" s="2" t="s">
        <v>376</v>
      </c>
      <c r="B363" s="4">
        <v>45108</v>
      </c>
      <c r="C363" s="46">
        <f>EOMONTH(Table2[[#This Row],[OrderDate]],-1)+1</f>
        <v>45108</v>
      </c>
      <c r="D363" s="45">
        <f>EOMONTH(_xlfn.MINIFS(B363:B993,M363:M993,Table2[[#This Row],[Country]]), -1) + 1</f>
        <v>44958</v>
      </c>
      <c r="E363" s="46"/>
      <c r="F363" s="4" t="str">
        <f>"Q"&amp;ROUNDUP(MONTH(B363)/3,0)&amp;"-"&amp;YEAR(B363)</f>
        <v>Q3-2023</v>
      </c>
      <c r="G363" s="4">
        <v>45115</v>
      </c>
      <c r="H363" s="4">
        <f>IF(G363&lt;B363, B363+3, G363)</f>
        <v>45115</v>
      </c>
      <c r="I363" s="10">
        <f>H363-B363</f>
        <v>7</v>
      </c>
      <c r="J363" s="10">
        <f t="shared" si="30"/>
        <v>1</v>
      </c>
      <c r="K363" s="10">
        <f t="shared" si="31"/>
        <v>1</v>
      </c>
      <c r="L363" s="6" t="s">
        <v>646</v>
      </c>
      <c r="M363" s="6" t="s">
        <v>651</v>
      </c>
      <c r="N363" s="6" t="s">
        <v>663</v>
      </c>
      <c r="O363" s="6" t="s">
        <v>701</v>
      </c>
      <c r="P363" s="6" t="s">
        <v>707</v>
      </c>
      <c r="Q363" s="6" t="s">
        <v>720</v>
      </c>
      <c r="R363" s="6" t="s">
        <v>731</v>
      </c>
      <c r="S363" s="6" t="s">
        <v>1096</v>
      </c>
      <c r="T363" s="8">
        <v>834.26</v>
      </c>
      <c r="U363" s="8">
        <v>1780.56</v>
      </c>
      <c r="V363" s="8">
        <f t="shared" si="32"/>
        <v>1.4E-2</v>
      </c>
      <c r="W363" s="8">
        <v>1.4E-2</v>
      </c>
      <c r="X363" s="10">
        <f>IF(Table2[[#This Row],[DiscountPct]]&gt;0.2,1,0)</f>
        <v>0</v>
      </c>
      <c r="Y363" s="10">
        <v>47</v>
      </c>
      <c r="Z363" s="30">
        <f>Table2[[#This Row],[UnitPrice]]*Y363*(1-V363)</f>
        <v>82514.711519999997</v>
      </c>
      <c r="AA363" s="2">
        <f>T363*Y363</f>
        <v>39210.22</v>
      </c>
      <c r="AB363" s="2">
        <f t="shared" si="33"/>
        <v>43304.491519999996</v>
      </c>
      <c r="AC363" s="2">
        <f t="shared" si="34"/>
        <v>0.5248093427497933</v>
      </c>
      <c r="AD363" s="2" t="e">
        <f>_xlfn.PERCENTILE.INC(S:S, 0.33)</f>
        <v>#NUM!</v>
      </c>
      <c r="AE363" s="2" t="e">
        <f>_xlfn.PERCENTILE.INC(S:S, 0.66)</f>
        <v>#NUM!</v>
      </c>
      <c r="AF363" s="30" t="e">
        <f t="shared" si="35"/>
        <v>#NUM!</v>
      </c>
    </row>
    <row r="364" spans="1:32" x14ac:dyDescent="0.3">
      <c r="A364" s="31" t="s">
        <v>377</v>
      </c>
      <c r="B364" s="32">
        <v>45360</v>
      </c>
      <c r="C364" s="47">
        <f>EOMONTH(Table2[[#This Row],[OrderDate]],-1)+1</f>
        <v>45352</v>
      </c>
      <c r="D364" s="45">
        <f>EOMONTH(_xlfn.MINIFS(B364:B994,M364:M994,Table2[[#This Row],[Country]]), -1) + 1</f>
        <v>44927</v>
      </c>
      <c r="E364" s="47"/>
      <c r="F364" s="32" t="str">
        <f>"Q"&amp;ROUNDUP(MONTH(B364)/3,0)&amp;"-"&amp;YEAR(B364)</f>
        <v>Q1-2024</v>
      </c>
      <c r="G364" s="32">
        <v>45377</v>
      </c>
      <c r="H364" s="32">
        <f>IF(G364&lt;B364, B364+3, G364)</f>
        <v>45377</v>
      </c>
      <c r="I364" s="33">
        <f>H364-B364</f>
        <v>17</v>
      </c>
      <c r="J364" s="33">
        <f t="shared" si="30"/>
        <v>0</v>
      </c>
      <c r="K364" s="33">
        <f t="shared" si="31"/>
        <v>0</v>
      </c>
      <c r="L364" s="34" t="s">
        <v>647</v>
      </c>
      <c r="M364" s="34" t="s">
        <v>659</v>
      </c>
      <c r="N364" s="34" t="s">
        <v>676</v>
      </c>
      <c r="O364" s="34" t="s">
        <v>706</v>
      </c>
      <c r="P364" s="34" t="s">
        <v>708</v>
      </c>
      <c r="Q364" s="34" t="s">
        <v>723</v>
      </c>
      <c r="R364" s="34" t="s">
        <v>732</v>
      </c>
      <c r="S364" s="34" t="s">
        <v>1097</v>
      </c>
      <c r="T364" s="35">
        <v>1029.67</v>
      </c>
      <c r="U364" s="35">
        <v>1118.43</v>
      </c>
      <c r="V364" s="35">
        <f t="shared" si="32"/>
        <v>0.27200000000000002</v>
      </c>
      <c r="W364" s="35">
        <v>0.27200000000000002</v>
      </c>
      <c r="X364" s="33">
        <f>IF(Table2[[#This Row],[DiscountPct]]&gt;0.2,1,0)</f>
        <v>1</v>
      </c>
      <c r="Y364" s="33">
        <v>9</v>
      </c>
      <c r="Z364" s="30">
        <f>Table2[[#This Row],[UnitPrice]]*Y364*(1-V364)</f>
        <v>7327.9533600000004</v>
      </c>
      <c r="AA364" s="31">
        <f>T364*Y364</f>
        <v>9267.0300000000007</v>
      </c>
      <c r="AB364" s="31">
        <f t="shared" si="33"/>
        <v>-1939.0766400000002</v>
      </c>
      <c r="AC364" s="31">
        <f t="shared" si="34"/>
        <v>-0.26461367106736061</v>
      </c>
      <c r="AD364" s="31" t="e">
        <f>_xlfn.PERCENTILE.INC(S:S, 0.33)</f>
        <v>#NUM!</v>
      </c>
      <c r="AE364" s="31" t="e">
        <f>_xlfn.PERCENTILE.INC(S:S, 0.66)</f>
        <v>#NUM!</v>
      </c>
      <c r="AF364" s="30" t="e">
        <f t="shared" si="35"/>
        <v>#NUM!</v>
      </c>
    </row>
    <row r="365" spans="1:32" x14ac:dyDescent="0.3">
      <c r="A365" s="2" t="s">
        <v>378</v>
      </c>
      <c r="B365" s="4">
        <v>45082</v>
      </c>
      <c r="C365" s="46">
        <f>EOMONTH(Table2[[#This Row],[OrderDate]],-1)+1</f>
        <v>45078</v>
      </c>
      <c r="D365" s="45">
        <f>EOMONTH(_xlfn.MINIFS(B365:B995,M365:M995,Table2[[#This Row],[Country]]), -1) + 1</f>
        <v>44927</v>
      </c>
      <c r="E365" s="46"/>
      <c r="F365" s="4" t="str">
        <f>"Q"&amp;ROUNDUP(MONTH(B365)/3,0)&amp;"-"&amp;YEAR(B365)</f>
        <v>Q2-2023</v>
      </c>
      <c r="G365" s="4">
        <v>45105</v>
      </c>
      <c r="H365" s="4">
        <f>IF(G365&lt;B365, B365+3, G365)</f>
        <v>45105</v>
      </c>
      <c r="I365" s="10">
        <f>H365-B365</f>
        <v>23</v>
      </c>
      <c r="J365" s="10">
        <f t="shared" si="30"/>
        <v>0</v>
      </c>
      <c r="K365" s="10">
        <f t="shared" si="31"/>
        <v>0</v>
      </c>
      <c r="L365" s="6" t="s">
        <v>649</v>
      </c>
      <c r="M365" s="6" t="s">
        <v>658</v>
      </c>
      <c r="N365" s="6" t="s">
        <v>674</v>
      </c>
      <c r="O365" s="6" t="s">
        <v>701</v>
      </c>
      <c r="P365" s="6" t="s">
        <v>711</v>
      </c>
      <c r="Q365" s="6" t="s">
        <v>723</v>
      </c>
      <c r="R365" s="6" t="s">
        <v>728</v>
      </c>
      <c r="S365" s="6" t="s">
        <v>1098</v>
      </c>
      <c r="T365" s="8">
        <v>605.82000000000005</v>
      </c>
      <c r="U365" s="8">
        <v>771.12</v>
      </c>
      <c r="V365" s="8">
        <f t="shared" si="32"/>
        <v>0.13200000000000001</v>
      </c>
      <c r="W365" s="8">
        <v>0.13200000000000001</v>
      </c>
      <c r="X365" s="10">
        <f>IF(Table2[[#This Row],[DiscountPct]]&gt;0.2,1,0)</f>
        <v>0</v>
      </c>
      <c r="Y365" s="10">
        <v>19</v>
      </c>
      <c r="Z365" s="30">
        <f>Table2[[#This Row],[UnitPrice]]*Y365*(1-V365)</f>
        <v>12717.311040000001</v>
      </c>
      <c r="AA365" s="2">
        <f>T365*Y365</f>
        <v>11510.580000000002</v>
      </c>
      <c r="AB365" s="2">
        <f t="shared" si="33"/>
        <v>1206.7310399999988</v>
      </c>
      <c r="AC365" s="2">
        <f t="shared" si="34"/>
        <v>9.4888851597986767E-2</v>
      </c>
      <c r="AD365" s="2" t="e">
        <f>_xlfn.PERCENTILE.INC(S:S, 0.33)</f>
        <v>#NUM!</v>
      </c>
      <c r="AE365" s="2" t="e">
        <f>_xlfn.PERCENTILE.INC(S:S, 0.66)</f>
        <v>#NUM!</v>
      </c>
      <c r="AF365" s="30" t="e">
        <f t="shared" si="35"/>
        <v>#NUM!</v>
      </c>
    </row>
    <row r="366" spans="1:32" x14ac:dyDescent="0.3">
      <c r="A366" s="31" t="s">
        <v>379</v>
      </c>
      <c r="B366" s="32">
        <v>45737</v>
      </c>
      <c r="C366" s="47">
        <f>EOMONTH(Table2[[#This Row],[OrderDate]],-1)+1</f>
        <v>45717</v>
      </c>
      <c r="D366" s="45">
        <f>EOMONTH(_xlfn.MINIFS(B366:B996,M366:M996,Table2[[#This Row],[Country]]), -1) + 1</f>
        <v>44986</v>
      </c>
      <c r="E366" s="47"/>
      <c r="F366" s="32" t="str">
        <f>"Q"&amp;ROUNDUP(MONTH(B366)/3,0)&amp;"-"&amp;YEAR(B366)</f>
        <v>Q1-2025</v>
      </c>
      <c r="G366" s="32">
        <v>45756</v>
      </c>
      <c r="H366" s="32">
        <f>IF(G366&lt;B366, B366+3, G366)</f>
        <v>45756</v>
      </c>
      <c r="I366" s="33">
        <f>H366-B366</f>
        <v>19</v>
      </c>
      <c r="J366" s="33">
        <f t="shared" si="30"/>
        <v>0</v>
      </c>
      <c r="K366" s="33">
        <f t="shared" si="31"/>
        <v>0</v>
      </c>
      <c r="L366" s="34" t="s">
        <v>647</v>
      </c>
      <c r="M366" s="34" t="s">
        <v>652</v>
      </c>
      <c r="N366" s="34" t="s">
        <v>689</v>
      </c>
      <c r="O366" s="34" t="s">
        <v>705</v>
      </c>
      <c r="P366" s="34" t="s">
        <v>710</v>
      </c>
      <c r="Q366" s="34" t="s">
        <v>718</v>
      </c>
      <c r="R366" s="34" t="s">
        <v>727</v>
      </c>
      <c r="S366" s="34" t="s">
        <v>1099</v>
      </c>
      <c r="T366" s="35">
        <v>1055.45</v>
      </c>
      <c r="U366" s="35">
        <v>1210.04</v>
      </c>
      <c r="V366" s="35">
        <f t="shared" si="32"/>
        <v>8.9999999999999993E-3</v>
      </c>
      <c r="W366" s="35">
        <v>8.9999999999999993E-3</v>
      </c>
      <c r="X366" s="33">
        <f>IF(Table2[[#This Row],[DiscountPct]]&gt;0.2,1,0)</f>
        <v>0</v>
      </c>
      <c r="Y366" s="33">
        <v>18</v>
      </c>
      <c r="Z366" s="30">
        <f>Table2[[#This Row],[UnitPrice]]*Y366*(1-V366)</f>
        <v>21584.693520000001</v>
      </c>
      <c r="AA366" s="31">
        <f>T366*Y366</f>
        <v>18998.100000000002</v>
      </c>
      <c r="AB366" s="31">
        <f t="shared" si="33"/>
        <v>2586.5935199999985</v>
      </c>
      <c r="AC366" s="31">
        <f t="shared" si="34"/>
        <v>0.1198346188053727</v>
      </c>
      <c r="AD366" s="31" t="e">
        <f>_xlfn.PERCENTILE.INC(S:S, 0.33)</f>
        <v>#NUM!</v>
      </c>
      <c r="AE366" s="31" t="e">
        <f>_xlfn.PERCENTILE.INC(S:S, 0.66)</f>
        <v>#NUM!</v>
      </c>
      <c r="AF366" s="30" t="e">
        <f t="shared" si="35"/>
        <v>#NUM!</v>
      </c>
    </row>
    <row r="367" spans="1:32" x14ac:dyDescent="0.3">
      <c r="A367" s="2" t="s">
        <v>380</v>
      </c>
      <c r="B367" s="4">
        <v>45445</v>
      </c>
      <c r="C367" s="46">
        <f>EOMONTH(Table2[[#This Row],[OrderDate]],-1)+1</f>
        <v>45444</v>
      </c>
      <c r="D367" s="45">
        <f>EOMONTH(_xlfn.MINIFS(B367:B997,M367:M997,Table2[[#This Row],[Country]]), -1) + 1</f>
        <v>44958</v>
      </c>
      <c r="E367" s="46"/>
      <c r="F367" s="4" t="str">
        <f>"Q"&amp;ROUNDUP(MONTH(B367)/3,0)&amp;"-"&amp;YEAR(B367)</f>
        <v>Q2-2024</v>
      </c>
      <c r="G367" s="4">
        <v>45458</v>
      </c>
      <c r="H367" s="4">
        <f>IF(G367&lt;B367, B367+3, G367)</f>
        <v>45458</v>
      </c>
      <c r="I367" s="10">
        <f>H367-B367</f>
        <v>13</v>
      </c>
      <c r="J367" s="10">
        <f t="shared" si="30"/>
        <v>0</v>
      </c>
      <c r="K367" s="10">
        <f t="shared" si="31"/>
        <v>0</v>
      </c>
      <c r="L367" s="6" t="s">
        <v>646</v>
      </c>
      <c r="M367" s="6" t="s">
        <v>650</v>
      </c>
      <c r="N367" s="6" t="s">
        <v>675</v>
      </c>
      <c r="O367" s="6" t="s">
        <v>702</v>
      </c>
      <c r="P367" s="6" t="s">
        <v>708</v>
      </c>
      <c r="Q367" s="6" t="s">
        <v>719</v>
      </c>
      <c r="R367" s="6" t="s">
        <v>730</v>
      </c>
      <c r="S367" s="6" t="s">
        <v>1100</v>
      </c>
      <c r="T367" s="8">
        <v>1295.18</v>
      </c>
      <c r="U367" s="8">
        <v>3024.03</v>
      </c>
      <c r="V367" s="8">
        <f t="shared" si="32"/>
        <v>0.192</v>
      </c>
      <c r="W367" s="8">
        <v>0.192</v>
      </c>
      <c r="X367" s="10">
        <f>IF(Table2[[#This Row],[DiscountPct]]&gt;0.2,1,0)</f>
        <v>0</v>
      </c>
      <c r="Y367" s="10">
        <v>8</v>
      </c>
      <c r="Z367" s="30">
        <f>Table2[[#This Row],[UnitPrice]]*Y367*(1-V367)</f>
        <v>19547.329920000004</v>
      </c>
      <c r="AA367" s="2">
        <f>T367*Y367</f>
        <v>10361.44</v>
      </c>
      <c r="AB367" s="2">
        <f t="shared" si="33"/>
        <v>9185.8899200000033</v>
      </c>
      <c r="AC367" s="2">
        <f t="shared" si="34"/>
        <v>0.46993067378483178</v>
      </c>
      <c r="AD367" s="2" t="e">
        <f>_xlfn.PERCENTILE.INC(S:S, 0.33)</f>
        <v>#NUM!</v>
      </c>
      <c r="AE367" s="2" t="e">
        <f>_xlfn.PERCENTILE.INC(S:S, 0.66)</f>
        <v>#NUM!</v>
      </c>
      <c r="AF367" s="30" t="e">
        <f t="shared" si="35"/>
        <v>#NUM!</v>
      </c>
    </row>
    <row r="368" spans="1:32" x14ac:dyDescent="0.3">
      <c r="A368" s="31" t="s">
        <v>381</v>
      </c>
      <c r="B368" s="32">
        <v>45731</v>
      </c>
      <c r="C368" s="47">
        <f>EOMONTH(Table2[[#This Row],[OrderDate]],-1)+1</f>
        <v>45717</v>
      </c>
      <c r="D368" s="45">
        <f>EOMONTH(_xlfn.MINIFS(B368:B998,M368:M998,Table2[[#This Row],[Country]]), -1) + 1</f>
        <v>45047</v>
      </c>
      <c r="E368" s="47"/>
      <c r="F368" s="32" t="str">
        <f>"Q"&amp;ROUNDUP(MONTH(B368)/3,0)&amp;"-"&amp;YEAR(B368)</f>
        <v>Q1-2025</v>
      </c>
      <c r="G368" s="32">
        <v>45745</v>
      </c>
      <c r="H368" s="32">
        <f>IF(G368&lt;B368, B368+3, G368)</f>
        <v>45745</v>
      </c>
      <c r="I368" s="33">
        <f>H368-B368</f>
        <v>14</v>
      </c>
      <c r="J368" s="33">
        <f t="shared" si="30"/>
        <v>0</v>
      </c>
      <c r="K368" s="33">
        <f t="shared" si="31"/>
        <v>0</v>
      </c>
      <c r="L368" s="34" t="s">
        <v>647</v>
      </c>
      <c r="M368" s="34" t="s">
        <v>654</v>
      </c>
      <c r="N368" s="34" t="s">
        <v>691</v>
      </c>
      <c r="O368" s="34" t="s">
        <v>706</v>
      </c>
      <c r="P368" s="34" t="s">
        <v>711</v>
      </c>
      <c r="Q368" s="34" t="s">
        <v>712</v>
      </c>
      <c r="R368" s="34" t="s">
        <v>727</v>
      </c>
      <c r="S368" s="34" t="s">
        <v>1101</v>
      </c>
      <c r="T368" s="35">
        <v>935.83</v>
      </c>
      <c r="U368" s="35">
        <v>2303.46</v>
      </c>
      <c r="V368" s="35">
        <f t="shared" si="32"/>
        <v>0.105</v>
      </c>
      <c r="W368" s="35">
        <v>0.105</v>
      </c>
      <c r="X368" s="33">
        <f>IF(Table2[[#This Row],[DiscountPct]]&gt;0.2,1,0)</f>
        <v>0</v>
      </c>
      <c r="Y368" s="33">
        <v>9</v>
      </c>
      <c r="Z368" s="30">
        <f>Table2[[#This Row],[UnitPrice]]*Y368*(1-V368)</f>
        <v>18554.370299999999</v>
      </c>
      <c r="AA368" s="31">
        <f>T368*Y368</f>
        <v>8422.4700000000012</v>
      </c>
      <c r="AB368" s="31">
        <f t="shared" si="33"/>
        <v>10131.900299999998</v>
      </c>
      <c r="AC368" s="31">
        <f t="shared" si="34"/>
        <v>0.54606543559174292</v>
      </c>
      <c r="AD368" s="31" t="e">
        <f>_xlfn.PERCENTILE.INC(S:S, 0.33)</f>
        <v>#NUM!</v>
      </c>
      <c r="AE368" s="31" t="e">
        <f>_xlfn.PERCENTILE.INC(S:S, 0.66)</f>
        <v>#NUM!</v>
      </c>
      <c r="AF368" s="30" t="e">
        <f t="shared" si="35"/>
        <v>#NUM!</v>
      </c>
    </row>
    <row r="369" spans="1:32" x14ac:dyDescent="0.3">
      <c r="A369" s="2" t="s">
        <v>382</v>
      </c>
      <c r="B369" s="4">
        <v>45194</v>
      </c>
      <c r="C369" s="46">
        <f>EOMONTH(Table2[[#This Row],[OrderDate]],-1)+1</f>
        <v>45170</v>
      </c>
      <c r="D369" s="45">
        <f>EOMONTH(_xlfn.MINIFS(B369:B999,M369:M999,Table2[[#This Row],[Country]]), -1) + 1</f>
        <v>44958</v>
      </c>
      <c r="E369" s="46"/>
      <c r="F369" s="4" t="str">
        <f>"Q"&amp;ROUNDUP(MONTH(B369)/3,0)&amp;"-"&amp;YEAR(B369)</f>
        <v>Q3-2023</v>
      </c>
      <c r="G369" s="4">
        <v>45208</v>
      </c>
      <c r="H369" s="4">
        <f>IF(G369&lt;B369, B369+3, G369)</f>
        <v>45208</v>
      </c>
      <c r="I369" s="10">
        <f>H369-B369</f>
        <v>14</v>
      </c>
      <c r="J369" s="10">
        <f t="shared" si="30"/>
        <v>0</v>
      </c>
      <c r="K369" s="10">
        <f t="shared" si="31"/>
        <v>0</v>
      </c>
      <c r="L369" s="6" t="s">
        <v>648</v>
      </c>
      <c r="M369" s="6" t="s">
        <v>660</v>
      </c>
      <c r="N369" s="6" t="s">
        <v>700</v>
      </c>
      <c r="O369" s="6" t="s">
        <v>705</v>
      </c>
      <c r="P369" s="6" t="s">
        <v>709</v>
      </c>
      <c r="Q369" s="6" t="s">
        <v>713</v>
      </c>
      <c r="R369" s="6" t="s">
        <v>731</v>
      </c>
      <c r="S369" s="6" t="s">
        <v>1102</v>
      </c>
      <c r="T369" s="8">
        <v>1279.56</v>
      </c>
      <c r="U369" s="8">
        <v>3083.8</v>
      </c>
      <c r="V369" s="8">
        <f t="shared" si="32"/>
        <v>0.106</v>
      </c>
      <c r="W369" s="8">
        <v>0.106</v>
      </c>
      <c r="X369" s="10">
        <f>IF(Table2[[#This Row],[DiscountPct]]&gt;0.2,1,0)</f>
        <v>0</v>
      </c>
      <c r="Y369" s="10">
        <v>5</v>
      </c>
      <c r="Z369" s="30">
        <f>Table2[[#This Row],[UnitPrice]]*Y369*(1-V369)</f>
        <v>13784.586000000001</v>
      </c>
      <c r="AA369" s="2">
        <f>T369*Y369</f>
        <v>6397.7999999999993</v>
      </c>
      <c r="AB369" s="2">
        <f t="shared" si="33"/>
        <v>7386.7860000000019</v>
      </c>
      <c r="AC369" s="2">
        <f t="shared" si="34"/>
        <v>0.53587289455047848</v>
      </c>
      <c r="AD369" s="2" t="e">
        <f>_xlfn.PERCENTILE.INC(S:S, 0.33)</f>
        <v>#NUM!</v>
      </c>
      <c r="AE369" s="2" t="e">
        <f>_xlfn.PERCENTILE.INC(S:S, 0.66)</f>
        <v>#NUM!</v>
      </c>
      <c r="AF369" s="30" t="e">
        <f t="shared" si="35"/>
        <v>#NUM!</v>
      </c>
    </row>
    <row r="370" spans="1:32" x14ac:dyDescent="0.3">
      <c r="A370" s="31" t="s">
        <v>383</v>
      </c>
      <c r="B370" s="32">
        <v>45832</v>
      </c>
      <c r="C370" s="47">
        <f>EOMONTH(Table2[[#This Row],[OrderDate]],-1)+1</f>
        <v>45809</v>
      </c>
      <c r="D370" s="45">
        <f>EOMONTH(_xlfn.MINIFS(B370:B1000,M370:M1000,Table2[[#This Row],[Country]]), -1) + 1</f>
        <v>45017</v>
      </c>
      <c r="E370" s="47"/>
      <c r="F370" s="32" t="str">
        <f>"Q"&amp;ROUNDUP(MONTH(B370)/3,0)&amp;"-"&amp;YEAR(B370)</f>
        <v>Q2-2025</v>
      </c>
      <c r="G370" s="32">
        <v>45861</v>
      </c>
      <c r="H370" s="32">
        <f>IF(G370&lt;B370, B370+3, G370)</f>
        <v>45861</v>
      </c>
      <c r="I370" s="33">
        <f>H370-B370</f>
        <v>29</v>
      </c>
      <c r="J370" s="33">
        <f t="shared" si="30"/>
        <v>0</v>
      </c>
      <c r="K370" s="33">
        <f t="shared" si="31"/>
        <v>0</v>
      </c>
      <c r="L370" s="34" t="s">
        <v>648</v>
      </c>
      <c r="M370" s="34" t="s">
        <v>653</v>
      </c>
      <c r="N370" s="34" t="s">
        <v>688</v>
      </c>
      <c r="O370" s="34" t="s">
        <v>703</v>
      </c>
      <c r="P370" s="34" t="s">
        <v>709</v>
      </c>
      <c r="Q370" s="34" t="s">
        <v>714</v>
      </c>
      <c r="R370" s="34" t="s">
        <v>728</v>
      </c>
      <c r="S370" s="34" t="s">
        <v>1103</v>
      </c>
      <c r="T370" s="35">
        <v>255.4</v>
      </c>
      <c r="U370" s="35">
        <v>322.70999999999998</v>
      </c>
      <c r="V370" s="35">
        <f t="shared" si="32"/>
        <v>0.115</v>
      </c>
      <c r="W370" s="35">
        <v>0.115</v>
      </c>
      <c r="X370" s="33">
        <f>IF(Table2[[#This Row],[DiscountPct]]&gt;0.2,1,0)</f>
        <v>0</v>
      </c>
      <c r="Y370" s="33">
        <v>16</v>
      </c>
      <c r="Z370" s="30">
        <f>Table2[[#This Row],[UnitPrice]]*Y370*(1-V370)</f>
        <v>4569.5735999999997</v>
      </c>
      <c r="AA370" s="31">
        <f>T370*Y370</f>
        <v>4086.4</v>
      </c>
      <c r="AB370" s="31">
        <f t="shared" si="33"/>
        <v>483.17359999999962</v>
      </c>
      <c r="AC370" s="31">
        <f t="shared" si="34"/>
        <v>0.10573713048412212</v>
      </c>
      <c r="AD370" s="31" t="e">
        <f>_xlfn.PERCENTILE.INC(S:S, 0.33)</f>
        <v>#NUM!</v>
      </c>
      <c r="AE370" s="31" t="e">
        <f>_xlfn.PERCENTILE.INC(S:S, 0.66)</f>
        <v>#NUM!</v>
      </c>
      <c r="AF370" s="30" t="e">
        <f t="shared" si="35"/>
        <v>#NUM!</v>
      </c>
    </row>
    <row r="371" spans="1:32" x14ac:dyDescent="0.3">
      <c r="A371" s="2" t="s">
        <v>384</v>
      </c>
      <c r="B371" s="4">
        <v>45286</v>
      </c>
      <c r="C371" s="46">
        <f>EOMONTH(Table2[[#This Row],[OrderDate]],-1)+1</f>
        <v>45261</v>
      </c>
      <c r="D371" s="45">
        <f>EOMONTH(_xlfn.MINIFS(B371:B1001,M371:M1001,Table2[[#This Row],[Country]]), -1) + 1</f>
        <v>45017</v>
      </c>
      <c r="E371" s="46"/>
      <c r="F371" s="4" t="str">
        <f>"Q"&amp;ROUNDUP(MONTH(B371)/3,0)&amp;"-"&amp;YEAR(B371)</f>
        <v>Q4-2023</v>
      </c>
      <c r="G371" s="4">
        <v>45294</v>
      </c>
      <c r="H371" s="4">
        <f>IF(G371&lt;B371, B371+3, G371)</f>
        <v>45294</v>
      </c>
      <c r="I371" s="10">
        <f>H371-B371</f>
        <v>8</v>
      </c>
      <c r="J371" s="10">
        <f t="shared" si="30"/>
        <v>0</v>
      </c>
      <c r="K371" s="10">
        <f t="shared" si="31"/>
        <v>0</v>
      </c>
      <c r="L371" s="6" t="s">
        <v>649</v>
      </c>
      <c r="M371" s="6" t="s">
        <v>657</v>
      </c>
      <c r="N371" s="6" t="s">
        <v>679</v>
      </c>
      <c r="O371" s="6" t="s">
        <v>705</v>
      </c>
      <c r="P371" s="6" t="s">
        <v>707</v>
      </c>
      <c r="Q371" s="6" t="s">
        <v>724</v>
      </c>
      <c r="R371" s="6" t="s">
        <v>731</v>
      </c>
      <c r="S371" s="6" t="s">
        <v>1104</v>
      </c>
      <c r="T371" s="8">
        <v>492.75</v>
      </c>
      <c r="U371" s="8">
        <v>731.29</v>
      </c>
      <c r="V371" s="8">
        <f t="shared" si="32"/>
        <v>5.8000000000000003E-2</v>
      </c>
      <c r="W371" s="8">
        <v>5.8000000000000003E-2</v>
      </c>
      <c r="X371" s="10">
        <f>IF(Table2[[#This Row],[DiscountPct]]&gt;0.2,1,0)</f>
        <v>0</v>
      </c>
      <c r="Y371" s="10">
        <v>6</v>
      </c>
      <c r="Z371" s="30">
        <f>Table2[[#This Row],[UnitPrice]]*Y371*(1-V371)</f>
        <v>4133.25108</v>
      </c>
      <c r="AA371" s="2">
        <f>T371*Y371</f>
        <v>2956.5</v>
      </c>
      <c r="AB371" s="2">
        <f t="shared" si="33"/>
        <v>1176.75108</v>
      </c>
      <c r="AC371" s="2">
        <f t="shared" si="34"/>
        <v>0.28470350753528384</v>
      </c>
      <c r="AD371" s="2" t="e">
        <f>_xlfn.PERCENTILE.INC(S:S, 0.33)</f>
        <v>#NUM!</v>
      </c>
      <c r="AE371" s="2" t="e">
        <f>_xlfn.PERCENTILE.INC(S:S, 0.66)</f>
        <v>#NUM!</v>
      </c>
      <c r="AF371" s="30" t="e">
        <f t="shared" si="35"/>
        <v>#NUM!</v>
      </c>
    </row>
    <row r="372" spans="1:32" x14ac:dyDescent="0.3">
      <c r="A372" s="31" t="s">
        <v>385</v>
      </c>
      <c r="B372" s="32">
        <v>44962</v>
      </c>
      <c r="C372" s="47">
        <f>EOMONTH(Table2[[#This Row],[OrderDate]],-1)+1</f>
        <v>44958</v>
      </c>
      <c r="D372" s="45">
        <f>EOMONTH(_xlfn.MINIFS(B372:B1002,M372:M1002,Table2[[#This Row],[Country]]), -1) + 1</f>
        <v>44958</v>
      </c>
      <c r="E372" s="47"/>
      <c r="F372" s="32" t="str">
        <f>"Q"&amp;ROUNDUP(MONTH(B372)/3,0)&amp;"-"&amp;YEAR(B372)</f>
        <v>Q1-2023</v>
      </c>
      <c r="G372" s="32">
        <v>44985</v>
      </c>
      <c r="H372" s="32">
        <f>IF(G372&lt;B372, B372+3, G372)</f>
        <v>44985</v>
      </c>
      <c r="I372" s="33">
        <f>H372-B372</f>
        <v>23</v>
      </c>
      <c r="J372" s="33">
        <f t="shared" si="30"/>
        <v>0</v>
      </c>
      <c r="K372" s="33">
        <f t="shared" si="31"/>
        <v>0</v>
      </c>
      <c r="L372" s="34" t="s">
        <v>648</v>
      </c>
      <c r="M372" s="34" t="s">
        <v>660</v>
      </c>
      <c r="N372" s="34" t="s">
        <v>697</v>
      </c>
      <c r="O372" s="34" t="s">
        <v>703</v>
      </c>
      <c r="P372" s="34" t="s">
        <v>710</v>
      </c>
      <c r="Q372" s="34" t="s">
        <v>716</v>
      </c>
      <c r="R372" s="34" t="s">
        <v>730</v>
      </c>
      <c r="S372" s="34" t="s">
        <v>1105</v>
      </c>
      <c r="T372" s="35">
        <v>1214.49</v>
      </c>
      <c r="U372" s="35">
        <v>1533.95</v>
      </c>
      <c r="V372" s="35">
        <f t="shared" si="32"/>
        <v>0</v>
      </c>
      <c r="W372" s="35">
        <v>0</v>
      </c>
      <c r="X372" s="33">
        <f>IF(Table2[[#This Row],[DiscountPct]]&gt;0.2,1,0)</f>
        <v>0</v>
      </c>
      <c r="Y372" s="33">
        <v>11</v>
      </c>
      <c r="Z372" s="30">
        <f>Table2[[#This Row],[UnitPrice]]*Y372*(1-V372)</f>
        <v>16873.45</v>
      </c>
      <c r="AA372" s="31">
        <f>T372*Y372</f>
        <v>13359.39</v>
      </c>
      <c r="AB372" s="31">
        <f t="shared" si="33"/>
        <v>3514.0600000000013</v>
      </c>
      <c r="AC372" s="31">
        <f t="shared" si="34"/>
        <v>0.20825972163369086</v>
      </c>
      <c r="AD372" s="31" t="e">
        <f>_xlfn.PERCENTILE.INC(S:S, 0.33)</f>
        <v>#NUM!</v>
      </c>
      <c r="AE372" s="31" t="e">
        <f>_xlfn.PERCENTILE.INC(S:S, 0.66)</f>
        <v>#NUM!</v>
      </c>
      <c r="AF372" s="30" t="e">
        <f t="shared" si="35"/>
        <v>#NUM!</v>
      </c>
    </row>
    <row r="373" spans="1:32" x14ac:dyDescent="0.3">
      <c r="A373" s="2" t="s">
        <v>386</v>
      </c>
      <c r="B373" s="4">
        <v>45022</v>
      </c>
      <c r="C373" s="46">
        <f>EOMONTH(Table2[[#This Row],[OrderDate]],-1)+1</f>
        <v>45017</v>
      </c>
      <c r="D373" s="45">
        <f>EOMONTH(_xlfn.MINIFS(B373:B1003,M373:M1003,Table2[[#This Row],[Country]]), -1) + 1</f>
        <v>44958</v>
      </c>
      <c r="E373" s="46"/>
      <c r="F373" s="4" t="str">
        <f>"Q"&amp;ROUNDUP(MONTH(B373)/3,0)&amp;"-"&amp;YEAR(B373)</f>
        <v>Q2-2023</v>
      </c>
      <c r="G373" s="4">
        <v>45024</v>
      </c>
      <c r="H373" s="4">
        <f>IF(G373&lt;B373, B373+3, G373)</f>
        <v>45024</v>
      </c>
      <c r="I373" s="10">
        <f>H373-B373</f>
        <v>2</v>
      </c>
      <c r="J373" s="10">
        <f t="shared" si="30"/>
        <v>1</v>
      </c>
      <c r="K373" s="10">
        <f t="shared" si="31"/>
        <v>1</v>
      </c>
      <c r="L373" s="6" t="s">
        <v>646</v>
      </c>
      <c r="M373" s="6" t="s">
        <v>651</v>
      </c>
      <c r="N373" s="6" t="s">
        <v>669</v>
      </c>
      <c r="O373" s="6" t="s">
        <v>705</v>
      </c>
      <c r="P373" s="6" t="s">
        <v>709</v>
      </c>
      <c r="Q373" s="6" t="s">
        <v>723</v>
      </c>
      <c r="R373" s="6" t="s">
        <v>732</v>
      </c>
      <c r="S373" s="6" t="s">
        <v>1106</v>
      </c>
      <c r="T373" s="8">
        <v>720.35</v>
      </c>
      <c r="U373" s="8">
        <v>1571.66</v>
      </c>
      <c r="V373" s="8">
        <f t="shared" si="32"/>
        <v>0.107</v>
      </c>
      <c r="W373" s="8">
        <v>0.107</v>
      </c>
      <c r="X373" s="10">
        <f>IF(Table2[[#This Row],[DiscountPct]]&gt;0.2,1,0)</f>
        <v>0</v>
      </c>
      <c r="Y373" s="10">
        <v>23</v>
      </c>
      <c r="Z373" s="30">
        <f>Table2[[#This Row],[UnitPrice]]*Y373*(1-V373)</f>
        <v>32280.32474</v>
      </c>
      <c r="AA373" s="2">
        <f>T373*Y373</f>
        <v>16568.05</v>
      </c>
      <c r="AB373" s="2">
        <f t="shared" si="33"/>
        <v>15712.274740000001</v>
      </c>
      <c r="AC373" s="2">
        <f t="shared" si="34"/>
        <v>0.4867446305622265</v>
      </c>
      <c r="AD373" s="2" t="e">
        <f>_xlfn.PERCENTILE.INC(S:S, 0.33)</f>
        <v>#NUM!</v>
      </c>
      <c r="AE373" s="2" t="e">
        <f>_xlfn.PERCENTILE.INC(S:S, 0.66)</f>
        <v>#NUM!</v>
      </c>
      <c r="AF373" s="30" t="e">
        <f t="shared" si="35"/>
        <v>#NUM!</v>
      </c>
    </row>
    <row r="374" spans="1:32" x14ac:dyDescent="0.3">
      <c r="A374" s="31" t="s">
        <v>387</v>
      </c>
      <c r="B374" s="32">
        <v>45751</v>
      </c>
      <c r="C374" s="47">
        <f>EOMONTH(Table2[[#This Row],[OrderDate]],-1)+1</f>
        <v>45748</v>
      </c>
      <c r="D374" s="45">
        <f>EOMONTH(_xlfn.MINIFS(B374:B1004,M374:M1004,Table2[[#This Row],[Country]]), -1) + 1</f>
        <v>44927</v>
      </c>
      <c r="E374" s="47"/>
      <c r="F374" s="32" t="str">
        <f>"Q"&amp;ROUNDUP(MONTH(B374)/3,0)&amp;"-"&amp;YEAR(B374)</f>
        <v>Q2-2025</v>
      </c>
      <c r="G374" s="32">
        <v>45757</v>
      </c>
      <c r="H374" s="32">
        <f>IF(G374&lt;B374, B374+3, G374)</f>
        <v>45757</v>
      </c>
      <c r="I374" s="33">
        <f>H374-B374</f>
        <v>6</v>
      </c>
      <c r="J374" s="33">
        <f t="shared" si="30"/>
        <v>1</v>
      </c>
      <c r="K374" s="33">
        <f t="shared" si="31"/>
        <v>1</v>
      </c>
      <c r="L374" s="34" t="s">
        <v>649</v>
      </c>
      <c r="M374" s="34" t="s">
        <v>658</v>
      </c>
      <c r="N374" s="34" t="s">
        <v>674</v>
      </c>
      <c r="O374" s="34" t="s">
        <v>703</v>
      </c>
      <c r="P374" s="34" t="s">
        <v>711</v>
      </c>
      <c r="Q374" s="34" t="s">
        <v>725</v>
      </c>
      <c r="R374" s="34" t="s">
        <v>728</v>
      </c>
      <c r="S374" s="34" t="s">
        <v>1107</v>
      </c>
      <c r="T374" s="35">
        <v>290.14</v>
      </c>
      <c r="U374" s="35">
        <v>250.73</v>
      </c>
      <c r="V374" s="35">
        <f t="shared" si="32"/>
        <v>3.4000000000000002E-2</v>
      </c>
      <c r="W374" s="35">
        <v>3.4000000000000002E-2</v>
      </c>
      <c r="X374" s="33">
        <f>IF(Table2[[#This Row],[DiscountPct]]&gt;0.2,1,0)</f>
        <v>0</v>
      </c>
      <c r="Y374" s="33">
        <v>17</v>
      </c>
      <c r="Z374" s="30">
        <f>Table2[[#This Row],[UnitPrice]]*Y374*(1-V374)</f>
        <v>4117.4880599999997</v>
      </c>
      <c r="AA374" s="31">
        <f>T374*Y374</f>
        <v>4932.38</v>
      </c>
      <c r="AB374" s="31">
        <f t="shared" si="33"/>
        <v>-814.89194000000043</v>
      </c>
      <c r="AC374" s="31">
        <f t="shared" si="34"/>
        <v>-0.19790997038131072</v>
      </c>
      <c r="AD374" s="31" t="e">
        <f>_xlfn.PERCENTILE.INC(S:S, 0.33)</f>
        <v>#NUM!</v>
      </c>
      <c r="AE374" s="31" t="e">
        <f>_xlfn.PERCENTILE.INC(S:S, 0.66)</f>
        <v>#NUM!</v>
      </c>
      <c r="AF374" s="30" t="e">
        <f t="shared" si="35"/>
        <v>#NUM!</v>
      </c>
    </row>
    <row r="375" spans="1:32" x14ac:dyDescent="0.3">
      <c r="A375" s="2" t="s">
        <v>388</v>
      </c>
      <c r="B375" s="4">
        <v>45429</v>
      </c>
      <c r="C375" s="46">
        <f>EOMONTH(Table2[[#This Row],[OrderDate]],-1)+1</f>
        <v>45413</v>
      </c>
      <c r="D375" s="45">
        <f>EOMONTH(_xlfn.MINIFS(B375:B1005,M375:M1005,Table2[[#This Row],[Country]]), -1) + 1</f>
        <v>44958</v>
      </c>
      <c r="E375" s="46"/>
      <c r="F375" s="4" t="str">
        <f>"Q"&amp;ROUNDUP(MONTH(B375)/3,0)&amp;"-"&amp;YEAR(B375)</f>
        <v>Q2-2024</v>
      </c>
      <c r="G375" s="4">
        <v>45439</v>
      </c>
      <c r="H375" s="4">
        <f>IF(G375&lt;B375, B375+3, G375)</f>
        <v>45439</v>
      </c>
      <c r="I375" s="10">
        <f>H375-B375</f>
        <v>10</v>
      </c>
      <c r="J375" s="10">
        <f t="shared" si="30"/>
        <v>0</v>
      </c>
      <c r="K375" s="10">
        <f t="shared" si="31"/>
        <v>0</v>
      </c>
      <c r="L375" s="6" t="s">
        <v>648</v>
      </c>
      <c r="M375" s="6" t="s">
        <v>660</v>
      </c>
      <c r="N375" s="6" t="s">
        <v>697</v>
      </c>
      <c r="O375" s="6" t="s">
        <v>703</v>
      </c>
      <c r="P375" s="6" t="s">
        <v>708</v>
      </c>
      <c r="Q375" s="6" t="s">
        <v>712</v>
      </c>
      <c r="R375" s="6" t="s">
        <v>730</v>
      </c>
      <c r="S375" s="6" t="s">
        <v>1108</v>
      </c>
      <c r="T375" s="8">
        <v>1484.23</v>
      </c>
      <c r="U375" s="8">
        <v>3472.81</v>
      </c>
      <c r="V375" s="8">
        <f t="shared" si="32"/>
        <v>0.25600000000000001</v>
      </c>
      <c r="W375" s="8">
        <v>0.25600000000000001</v>
      </c>
      <c r="X375" s="10">
        <f>IF(Table2[[#This Row],[DiscountPct]]&gt;0.2,1,0)</f>
        <v>1</v>
      </c>
      <c r="Y375" s="10">
        <v>12</v>
      </c>
      <c r="Z375" s="30">
        <f>Table2[[#This Row],[UnitPrice]]*Y375*(1-V375)</f>
        <v>31005.24768</v>
      </c>
      <c r="AA375" s="2">
        <f>T375*Y375</f>
        <v>17810.760000000002</v>
      </c>
      <c r="AB375" s="2">
        <f t="shared" si="33"/>
        <v>13194.487679999998</v>
      </c>
      <c r="AC375" s="2">
        <f t="shared" si="34"/>
        <v>0.42555659661803413</v>
      </c>
      <c r="AD375" s="2" t="e">
        <f>_xlfn.PERCENTILE.INC(S:S, 0.33)</f>
        <v>#NUM!</v>
      </c>
      <c r="AE375" s="2" t="e">
        <f>_xlfn.PERCENTILE.INC(S:S, 0.66)</f>
        <v>#NUM!</v>
      </c>
      <c r="AF375" s="30" t="e">
        <f t="shared" si="35"/>
        <v>#NUM!</v>
      </c>
    </row>
    <row r="376" spans="1:32" x14ac:dyDescent="0.3">
      <c r="A376" s="31" t="s">
        <v>389</v>
      </c>
      <c r="B376" s="32">
        <v>45354</v>
      </c>
      <c r="C376" s="47">
        <f>EOMONTH(Table2[[#This Row],[OrderDate]],-1)+1</f>
        <v>45352</v>
      </c>
      <c r="D376" s="45">
        <f>EOMONTH(_xlfn.MINIFS(B376:B1006,M376:M1006,Table2[[#This Row],[Country]]), -1) + 1</f>
        <v>44927</v>
      </c>
      <c r="E376" s="47"/>
      <c r="F376" s="32" t="str">
        <f>"Q"&amp;ROUNDUP(MONTH(B376)/3,0)&amp;"-"&amp;YEAR(B376)</f>
        <v>Q1-2024</v>
      </c>
      <c r="G376" s="32">
        <v>45370</v>
      </c>
      <c r="H376" s="32">
        <f>IF(G376&lt;B376, B376+3, G376)</f>
        <v>45370</v>
      </c>
      <c r="I376" s="33">
        <f>H376-B376</f>
        <v>16</v>
      </c>
      <c r="J376" s="33">
        <f t="shared" si="30"/>
        <v>0</v>
      </c>
      <c r="K376" s="33">
        <f t="shared" si="31"/>
        <v>0</v>
      </c>
      <c r="L376" s="34" t="s">
        <v>647</v>
      </c>
      <c r="M376" s="34" t="s">
        <v>659</v>
      </c>
      <c r="N376" s="34" t="s">
        <v>699</v>
      </c>
      <c r="O376" s="34" t="s">
        <v>704</v>
      </c>
      <c r="P376" s="34" t="s">
        <v>710</v>
      </c>
      <c r="Q376" s="34" t="s">
        <v>715</v>
      </c>
      <c r="R376" s="34" t="s">
        <v>730</v>
      </c>
      <c r="S376" s="34" t="s">
        <v>1109</v>
      </c>
      <c r="T376" s="35">
        <v>988.83</v>
      </c>
      <c r="U376" s="35">
        <v>1206.04</v>
      </c>
      <c r="V376" s="35">
        <f t="shared" si="32"/>
        <v>6.3E-2</v>
      </c>
      <c r="W376" s="35">
        <v>6.3E-2</v>
      </c>
      <c r="X376" s="33">
        <f>IF(Table2[[#This Row],[DiscountPct]]&gt;0.2,1,0)</f>
        <v>0</v>
      </c>
      <c r="Y376" s="33">
        <v>34</v>
      </c>
      <c r="Z376" s="30">
        <f>Table2[[#This Row],[UnitPrice]]*Y376*(1-V376)</f>
        <v>38422.022320000004</v>
      </c>
      <c r="AA376" s="31">
        <f>T376*Y376</f>
        <v>33620.22</v>
      </c>
      <c r="AB376" s="31">
        <f t="shared" si="33"/>
        <v>4801.8023200000025</v>
      </c>
      <c r="AC376" s="31">
        <f t="shared" si="34"/>
        <v>0.12497526236406606</v>
      </c>
      <c r="AD376" s="31" t="e">
        <f>_xlfn.PERCENTILE.INC(S:S, 0.33)</f>
        <v>#NUM!</v>
      </c>
      <c r="AE376" s="31" t="e">
        <f>_xlfn.PERCENTILE.INC(S:S, 0.66)</f>
        <v>#NUM!</v>
      </c>
      <c r="AF376" s="30" t="e">
        <f t="shared" si="35"/>
        <v>#NUM!</v>
      </c>
    </row>
    <row r="377" spans="1:32" x14ac:dyDescent="0.3">
      <c r="A377" s="2" t="s">
        <v>390</v>
      </c>
      <c r="B377" s="4">
        <v>45835</v>
      </c>
      <c r="C377" s="46">
        <f>EOMONTH(Table2[[#This Row],[OrderDate]],-1)+1</f>
        <v>45809</v>
      </c>
      <c r="D377" s="45">
        <f>EOMONTH(_xlfn.MINIFS(B377:B1007,M377:M1007,Table2[[#This Row],[Country]]), -1) + 1</f>
        <v>44927</v>
      </c>
      <c r="E377" s="46"/>
      <c r="F377" s="4" t="str">
        <f>"Q"&amp;ROUNDUP(MONTH(B377)/3,0)&amp;"-"&amp;YEAR(B377)</f>
        <v>Q2-2025</v>
      </c>
      <c r="G377" s="4">
        <v>45849</v>
      </c>
      <c r="H377" s="4">
        <f>IF(G377&lt;B377, B377+3, G377)</f>
        <v>45849</v>
      </c>
      <c r="I377" s="10">
        <f>H377-B377</f>
        <v>14</v>
      </c>
      <c r="J377" s="10">
        <f t="shared" si="30"/>
        <v>0</v>
      </c>
      <c r="K377" s="10">
        <f t="shared" si="31"/>
        <v>0</v>
      </c>
      <c r="L377" s="6" t="s">
        <v>647</v>
      </c>
      <c r="M377" s="6" t="s">
        <v>659</v>
      </c>
      <c r="N377" s="6" t="s">
        <v>685</v>
      </c>
      <c r="O377" s="6" t="s">
        <v>705</v>
      </c>
      <c r="P377" s="6" t="s">
        <v>709</v>
      </c>
      <c r="Q377" s="6" t="s">
        <v>716</v>
      </c>
      <c r="R377" s="6" t="s">
        <v>729</v>
      </c>
      <c r="S377" s="6" t="s">
        <v>1110</v>
      </c>
      <c r="T377" s="8">
        <v>1227.7</v>
      </c>
      <c r="U377" s="8">
        <v>2197.23</v>
      </c>
      <c r="V377" s="8">
        <f t="shared" si="32"/>
        <v>9.9000000000000005E-2</v>
      </c>
      <c r="W377" s="8">
        <v>9.9000000000000005E-2</v>
      </c>
      <c r="X377" s="10">
        <f>IF(Table2[[#This Row],[DiscountPct]]&gt;0.2,1,0)</f>
        <v>0</v>
      </c>
      <c r="Y377" s="10">
        <v>22</v>
      </c>
      <c r="Z377" s="30">
        <f>Table2[[#This Row],[UnitPrice]]*Y377*(1-V377)</f>
        <v>43553.493060000001</v>
      </c>
      <c r="AA377" s="2">
        <f>T377*Y377</f>
        <v>27009.4</v>
      </c>
      <c r="AB377" s="2">
        <f t="shared" si="33"/>
        <v>16544.093059999999</v>
      </c>
      <c r="AC377" s="2">
        <f t="shared" si="34"/>
        <v>0.37985685871873898</v>
      </c>
      <c r="AD377" s="2" t="e">
        <f>_xlfn.PERCENTILE.INC(S:S, 0.33)</f>
        <v>#NUM!</v>
      </c>
      <c r="AE377" s="2" t="e">
        <f>_xlfn.PERCENTILE.INC(S:S, 0.66)</f>
        <v>#NUM!</v>
      </c>
      <c r="AF377" s="30" t="e">
        <f t="shared" si="35"/>
        <v>#NUM!</v>
      </c>
    </row>
    <row r="378" spans="1:32" x14ac:dyDescent="0.3">
      <c r="A378" s="31" t="s">
        <v>391</v>
      </c>
      <c r="B378" s="32">
        <v>44998</v>
      </c>
      <c r="C378" s="47">
        <f>EOMONTH(Table2[[#This Row],[OrderDate]],-1)+1</f>
        <v>44986</v>
      </c>
      <c r="D378" s="45">
        <f>EOMONTH(_xlfn.MINIFS(B378:B1008,M378:M1008,Table2[[#This Row],[Country]]), -1) + 1</f>
        <v>44927</v>
      </c>
      <c r="E378" s="47"/>
      <c r="F378" s="32" t="str">
        <f>"Q"&amp;ROUNDUP(MONTH(B378)/3,0)&amp;"-"&amp;YEAR(B378)</f>
        <v>Q1-2023</v>
      </c>
      <c r="G378" s="32">
        <v>45020</v>
      </c>
      <c r="H378" s="32">
        <f>IF(G378&lt;B378, B378+3, G378)</f>
        <v>45020</v>
      </c>
      <c r="I378" s="33">
        <f>H378-B378</f>
        <v>22</v>
      </c>
      <c r="J378" s="33">
        <f t="shared" si="30"/>
        <v>0</v>
      </c>
      <c r="K378" s="33">
        <f t="shared" si="31"/>
        <v>0</v>
      </c>
      <c r="L378" s="34" t="s">
        <v>646</v>
      </c>
      <c r="M378" s="34" t="s">
        <v>661</v>
      </c>
      <c r="N378" s="34" t="s">
        <v>687</v>
      </c>
      <c r="O378" s="34" t="s">
        <v>705</v>
      </c>
      <c r="P378" s="34" t="s">
        <v>707</v>
      </c>
      <c r="Q378" s="34" t="s">
        <v>720</v>
      </c>
      <c r="R378" s="34" t="s">
        <v>727</v>
      </c>
      <c r="S378" s="34" t="s">
        <v>1111</v>
      </c>
      <c r="T378" s="35">
        <v>1113.7</v>
      </c>
      <c r="U378" s="35">
        <v>1620.6</v>
      </c>
      <c r="V378" s="35">
        <f t="shared" si="32"/>
        <v>0.13900000000000001</v>
      </c>
      <c r="W378" s="35">
        <v>0.13900000000000001</v>
      </c>
      <c r="X378" s="33">
        <f>IF(Table2[[#This Row],[DiscountPct]]&gt;0.2,1,0)</f>
        <v>0</v>
      </c>
      <c r="Y378" s="33">
        <v>11</v>
      </c>
      <c r="Z378" s="30">
        <f>Table2[[#This Row],[UnitPrice]]*Y378*(1-V378)</f>
        <v>15348.702599999999</v>
      </c>
      <c r="AA378" s="31">
        <f>T378*Y378</f>
        <v>12250.7</v>
      </c>
      <c r="AB378" s="31">
        <f t="shared" si="33"/>
        <v>3098.002599999998</v>
      </c>
      <c r="AC378" s="31">
        <f t="shared" si="34"/>
        <v>0.20184133348182787</v>
      </c>
      <c r="AD378" s="31" t="e">
        <f>_xlfn.PERCENTILE.INC(S:S, 0.33)</f>
        <v>#NUM!</v>
      </c>
      <c r="AE378" s="31" t="e">
        <f>_xlfn.PERCENTILE.INC(S:S, 0.66)</f>
        <v>#NUM!</v>
      </c>
      <c r="AF378" s="30" t="e">
        <f t="shared" si="35"/>
        <v>#NUM!</v>
      </c>
    </row>
    <row r="379" spans="1:32" x14ac:dyDescent="0.3">
      <c r="A379" s="2" t="s">
        <v>392</v>
      </c>
      <c r="B379" s="4">
        <v>45664</v>
      </c>
      <c r="C379" s="46">
        <f>EOMONTH(Table2[[#This Row],[OrderDate]],-1)+1</f>
        <v>45658</v>
      </c>
      <c r="D379" s="45">
        <f>EOMONTH(_xlfn.MINIFS(B379:B1009,M379:M1009,Table2[[#This Row],[Country]]), -1) + 1</f>
        <v>44927</v>
      </c>
      <c r="E379" s="46"/>
      <c r="F379" s="4" t="str">
        <f>"Q"&amp;ROUNDUP(MONTH(B379)/3,0)&amp;"-"&amp;YEAR(B379)</f>
        <v>Q1-2025</v>
      </c>
      <c r="G379" s="4">
        <v>45677</v>
      </c>
      <c r="H379" s="4">
        <f>IF(G379&lt;B379, B379+3, G379)</f>
        <v>45677</v>
      </c>
      <c r="I379" s="10">
        <f>H379-B379</f>
        <v>13</v>
      </c>
      <c r="J379" s="10">
        <f t="shared" si="30"/>
        <v>0</v>
      </c>
      <c r="K379" s="10">
        <f t="shared" si="31"/>
        <v>0</v>
      </c>
      <c r="L379" s="6" t="s">
        <v>646</v>
      </c>
      <c r="M379" s="6" t="s">
        <v>661</v>
      </c>
      <c r="N379" s="6" t="s">
        <v>695</v>
      </c>
      <c r="O379" s="6" t="s">
        <v>701</v>
      </c>
      <c r="P379" s="6" t="s">
        <v>711</v>
      </c>
      <c r="Q379" s="6" t="s">
        <v>723</v>
      </c>
      <c r="R379" s="6" t="s">
        <v>729</v>
      </c>
      <c r="S379" s="6" t="s">
        <v>1112</v>
      </c>
      <c r="T379" s="8">
        <v>432.13</v>
      </c>
      <c r="U379" s="8">
        <v>1034.6600000000001</v>
      </c>
      <c r="V379" s="8">
        <f t="shared" si="32"/>
        <v>9.1999999999999998E-2</v>
      </c>
      <c r="W379" s="8">
        <v>9.1999999999999998E-2</v>
      </c>
      <c r="X379" s="10">
        <f>IF(Table2[[#This Row],[DiscountPct]]&gt;0.2,1,0)</f>
        <v>0</v>
      </c>
      <c r="Y379" s="10">
        <v>7</v>
      </c>
      <c r="Z379" s="30">
        <f>Table2[[#This Row],[UnitPrice]]*Y379*(1-V379)</f>
        <v>6576.298960000001</v>
      </c>
      <c r="AA379" s="2">
        <f>T379*Y379</f>
        <v>3024.91</v>
      </c>
      <c r="AB379" s="2">
        <f t="shared" si="33"/>
        <v>3551.3889600000011</v>
      </c>
      <c r="AC379" s="2">
        <f t="shared" si="34"/>
        <v>0.54002851476204794</v>
      </c>
      <c r="AD379" s="2" t="e">
        <f>_xlfn.PERCENTILE.INC(S:S, 0.33)</f>
        <v>#NUM!</v>
      </c>
      <c r="AE379" s="2" t="e">
        <f>_xlfn.PERCENTILE.INC(S:S, 0.66)</f>
        <v>#NUM!</v>
      </c>
      <c r="AF379" s="30" t="e">
        <f t="shared" si="35"/>
        <v>#NUM!</v>
      </c>
    </row>
    <row r="380" spans="1:32" x14ac:dyDescent="0.3">
      <c r="A380" s="31" t="s">
        <v>393</v>
      </c>
      <c r="B380" s="32">
        <v>45694</v>
      </c>
      <c r="C380" s="47">
        <f>EOMONTH(Table2[[#This Row],[OrderDate]],-1)+1</f>
        <v>45689</v>
      </c>
      <c r="D380" s="45">
        <f>EOMONTH(_xlfn.MINIFS(B380:B1010,M380:M1010,Table2[[#This Row],[Country]]), -1) + 1</f>
        <v>44927</v>
      </c>
      <c r="E380" s="47"/>
      <c r="F380" s="32" t="str">
        <f>"Q"&amp;ROUNDUP(MONTH(B380)/3,0)&amp;"-"&amp;YEAR(B380)</f>
        <v>Q1-2025</v>
      </c>
      <c r="G380" s="32">
        <v>45703</v>
      </c>
      <c r="H380" s="32">
        <f>IF(G380&lt;B380, B380+3, G380)</f>
        <v>45703</v>
      </c>
      <c r="I380" s="33">
        <f>H380-B380</f>
        <v>9</v>
      </c>
      <c r="J380" s="33">
        <f t="shared" si="30"/>
        <v>0</v>
      </c>
      <c r="K380" s="33">
        <f t="shared" si="31"/>
        <v>0</v>
      </c>
      <c r="L380" s="34" t="s">
        <v>648</v>
      </c>
      <c r="M380" s="34" t="s">
        <v>655</v>
      </c>
      <c r="N380" s="34" t="s">
        <v>670</v>
      </c>
      <c r="O380" s="34" t="s">
        <v>703</v>
      </c>
      <c r="P380" s="34" t="s">
        <v>710</v>
      </c>
      <c r="Q380" s="34" t="s">
        <v>721</v>
      </c>
      <c r="R380" s="34" t="s">
        <v>729</v>
      </c>
      <c r="S380" s="34" t="s">
        <v>1113</v>
      </c>
      <c r="T380" s="35">
        <v>837.39</v>
      </c>
      <c r="U380" s="35">
        <v>1905.42</v>
      </c>
      <c r="V380" s="35">
        <f t="shared" si="32"/>
        <v>3.2000000000000001E-2</v>
      </c>
      <c r="W380" s="35">
        <v>3.2000000000000001E-2</v>
      </c>
      <c r="X380" s="33">
        <f>IF(Table2[[#This Row],[DiscountPct]]&gt;0.2,1,0)</f>
        <v>0</v>
      </c>
      <c r="Y380" s="33">
        <v>18</v>
      </c>
      <c r="Z380" s="30">
        <f>Table2[[#This Row],[UnitPrice]]*Y380*(1-V380)</f>
        <v>33200.038079999998</v>
      </c>
      <c r="AA380" s="31">
        <f>T380*Y380</f>
        <v>15073.02</v>
      </c>
      <c r="AB380" s="31">
        <f t="shared" si="33"/>
        <v>18127.018079999998</v>
      </c>
      <c r="AC380" s="31">
        <f t="shared" si="34"/>
        <v>0.54599389423350919</v>
      </c>
      <c r="AD380" s="31" t="e">
        <f>_xlfn.PERCENTILE.INC(S:S, 0.33)</f>
        <v>#NUM!</v>
      </c>
      <c r="AE380" s="31" t="e">
        <f>_xlfn.PERCENTILE.INC(S:S, 0.66)</f>
        <v>#NUM!</v>
      </c>
      <c r="AF380" s="30" t="e">
        <f t="shared" si="35"/>
        <v>#NUM!</v>
      </c>
    </row>
    <row r="381" spans="1:32" x14ac:dyDescent="0.3">
      <c r="A381" s="2" t="s">
        <v>394</v>
      </c>
      <c r="B381" s="4">
        <v>45688</v>
      </c>
      <c r="C381" s="46">
        <f>EOMONTH(Table2[[#This Row],[OrderDate]],-1)+1</f>
        <v>45658</v>
      </c>
      <c r="D381" s="45">
        <f>EOMONTH(_xlfn.MINIFS(B381:B1011,M381:M1011,Table2[[#This Row],[Country]]), -1) + 1</f>
        <v>44927</v>
      </c>
      <c r="E381" s="46"/>
      <c r="F381" s="4" t="str">
        <f>"Q"&amp;ROUNDUP(MONTH(B381)/3,0)&amp;"-"&amp;YEAR(B381)</f>
        <v>Q1-2025</v>
      </c>
      <c r="G381" s="4">
        <v>45705</v>
      </c>
      <c r="H381" s="4">
        <f>IF(G381&lt;B381, B381+3, G381)</f>
        <v>45705</v>
      </c>
      <c r="I381" s="10">
        <f>H381-B381</f>
        <v>17</v>
      </c>
      <c r="J381" s="10">
        <f t="shared" si="30"/>
        <v>0</v>
      </c>
      <c r="K381" s="10">
        <f t="shared" si="31"/>
        <v>0</v>
      </c>
      <c r="L381" s="6" t="s">
        <v>649</v>
      </c>
      <c r="M381" s="6" t="s">
        <v>658</v>
      </c>
      <c r="N381" s="6" t="s">
        <v>683</v>
      </c>
      <c r="O381" s="6" t="s">
        <v>706</v>
      </c>
      <c r="P381" s="6" t="s">
        <v>707</v>
      </c>
      <c r="Q381" s="6" t="s">
        <v>722</v>
      </c>
      <c r="R381" s="6" t="s">
        <v>727</v>
      </c>
      <c r="S381" s="6" t="s">
        <v>812</v>
      </c>
      <c r="T381" s="8">
        <v>378.26</v>
      </c>
      <c r="U381" s="8">
        <v>541.55999999999995</v>
      </c>
      <c r="V381" s="8">
        <f t="shared" si="32"/>
        <v>0.16300000000000001</v>
      </c>
      <c r="W381" s="8">
        <v>0.16300000000000001</v>
      </c>
      <c r="X381" s="10">
        <f>IF(Table2[[#This Row],[DiscountPct]]&gt;0.2,1,0)</f>
        <v>0</v>
      </c>
      <c r="Y381" s="10">
        <v>25</v>
      </c>
      <c r="Z381" s="30">
        <f>Table2[[#This Row],[UnitPrice]]*Y381*(1-V381)</f>
        <v>11332.142999999998</v>
      </c>
      <c r="AA381" s="2">
        <f>T381*Y381</f>
        <v>9456.5</v>
      </c>
      <c r="AB381" s="2">
        <f t="shared" si="33"/>
        <v>1875.6429999999982</v>
      </c>
      <c r="AC381" s="2">
        <f t="shared" si="34"/>
        <v>0.16551529573885526</v>
      </c>
      <c r="AD381" s="2" t="e">
        <f>_xlfn.PERCENTILE.INC(S:S, 0.33)</f>
        <v>#NUM!</v>
      </c>
      <c r="AE381" s="2" t="e">
        <f>_xlfn.PERCENTILE.INC(S:S, 0.66)</f>
        <v>#NUM!</v>
      </c>
      <c r="AF381" s="30" t="e">
        <f t="shared" si="35"/>
        <v>#NUM!</v>
      </c>
    </row>
    <row r="382" spans="1:32" x14ac:dyDescent="0.3">
      <c r="A382" s="31" t="s">
        <v>395</v>
      </c>
      <c r="B382" s="32">
        <v>45876</v>
      </c>
      <c r="C382" s="47">
        <f>EOMONTH(Table2[[#This Row],[OrderDate]],-1)+1</f>
        <v>45870</v>
      </c>
      <c r="D382" s="45">
        <f>EOMONTH(_xlfn.MINIFS(B382:B1012,M382:M1012,Table2[[#This Row],[Country]]), -1) + 1</f>
        <v>45017</v>
      </c>
      <c r="E382" s="47"/>
      <c r="F382" s="32" t="str">
        <f>"Q"&amp;ROUNDUP(MONTH(B382)/3,0)&amp;"-"&amp;YEAR(B382)</f>
        <v>Q3-2025</v>
      </c>
      <c r="G382" s="32">
        <v>45906</v>
      </c>
      <c r="H382" s="32">
        <f>IF(G382&lt;B382, B382+3, G382)</f>
        <v>45906</v>
      </c>
      <c r="I382" s="33">
        <f>H382-B382</f>
        <v>30</v>
      </c>
      <c r="J382" s="33">
        <f t="shared" si="30"/>
        <v>0</v>
      </c>
      <c r="K382" s="33">
        <f t="shared" si="31"/>
        <v>0</v>
      </c>
      <c r="L382" s="34" t="s">
        <v>648</v>
      </c>
      <c r="M382" s="34" t="s">
        <v>653</v>
      </c>
      <c r="N382" s="34" t="s">
        <v>681</v>
      </c>
      <c r="O382" s="34" t="s">
        <v>702</v>
      </c>
      <c r="P382" s="34" t="s">
        <v>711</v>
      </c>
      <c r="Q382" s="34" t="s">
        <v>724</v>
      </c>
      <c r="R382" s="34" t="s">
        <v>729</v>
      </c>
      <c r="S382" s="34" t="s">
        <v>1114</v>
      </c>
      <c r="T382" s="35">
        <v>833.73</v>
      </c>
      <c r="U382" s="35">
        <v>1116.5999999999999</v>
      </c>
      <c r="V382" s="35">
        <f t="shared" si="32"/>
        <v>0.17599999999999999</v>
      </c>
      <c r="W382" s="35">
        <v>0.17599999999999999</v>
      </c>
      <c r="X382" s="33">
        <f>IF(Table2[[#This Row],[DiscountPct]]&gt;0.2,1,0)</f>
        <v>0</v>
      </c>
      <c r="Y382" s="33">
        <v>14</v>
      </c>
      <c r="Z382" s="30">
        <f>Table2[[#This Row],[UnitPrice]]*Y382*(1-V382)</f>
        <v>12881.097599999999</v>
      </c>
      <c r="AA382" s="31">
        <f>T382*Y382</f>
        <v>11672.220000000001</v>
      </c>
      <c r="AB382" s="31">
        <f t="shared" si="33"/>
        <v>1208.877599999998</v>
      </c>
      <c r="AC382" s="31">
        <f t="shared" si="34"/>
        <v>9.3848958958279924E-2</v>
      </c>
      <c r="AD382" s="31" t="e">
        <f>_xlfn.PERCENTILE.INC(S:S, 0.33)</f>
        <v>#NUM!</v>
      </c>
      <c r="AE382" s="31" t="e">
        <f>_xlfn.PERCENTILE.INC(S:S, 0.66)</f>
        <v>#NUM!</v>
      </c>
      <c r="AF382" s="30" t="e">
        <f t="shared" si="35"/>
        <v>#NUM!</v>
      </c>
    </row>
    <row r="383" spans="1:32" x14ac:dyDescent="0.3">
      <c r="A383" s="2" t="s">
        <v>396</v>
      </c>
      <c r="B383" s="4">
        <v>45861</v>
      </c>
      <c r="C383" s="46">
        <f>EOMONTH(Table2[[#This Row],[OrderDate]],-1)+1</f>
        <v>45839</v>
      </c>
      <c r="D383" s="45">
        <f>EOMONTH(_xlfn.MINIFS(B383:B1013,M383:M1013,Table2[[#This Row],[Country]]), -1) + 1</f>
        <v>44927</v>
      </c>
      <c r="E383" s="46"/>
      <c r="F383" s="4" t="str">
        <f>"Q"&amp;ROUNDUP(MONTH(B383)/3,0)&amp;"-"&amp;YEAR(B383)</f>
        <v>Q3-2025</v>
      </c>
      <c r="G383" s="4">
        <v>45886</v>
      </c>
      <c r="H383" s="4">
        <f>IF(G383&lt;B383, B383+3, G383)</f>
        <v>45886</v>
      </c>
      <c r="I383" s="10">
        <f>H383-B383</f>
        <v>25</v>
      </c>
      <c r="J383" s="10">
        <f t="shared" si="30"/>
        <v>0</v>
      </c>
      <c r="K383" s="10">
        <f t="shared" si="31"/>
        <v>0</v>
      </c>
      <c r="L383" s="6" t="s">
        <v>649</v>
      </c>
      <c r="M383" s="6" t="s">
        <v>658</v>
      </c>
      <c r="N383" s="6" t="s">
        <v>674</v>
      </c>
      <c r="O383" s="6" t="s">
        <v>702</v>
      </c>
      <c r="P383" s="6" t="s">
        <v>708</v>
      </c>
      <c r="Q383" s="6" t="s">
        <v>714</v>
      </c>
      <c r="R383" s="6" t="s">
        <v>728</v>
      </c>
      <c r="S383" s="6" t="s">
        <v>1115</v>
      </c>
      <c r="T383" s="8">
        <v>1142.06</v>
      </c>
      <c r="U383" s="8">
        <v>1455</v>
      </c>
      <c r="V383" s="8">
        <f t="shared" si="32"/>
        <v>7.8E-2</v>
      </c>
      <c r="W383" s="8">
        <v>7.8E-2</v>
      </c>
      <c r="X383" s="10">
        <f>IF(Table2[[#This Row],[DiscountPct]]&gt;0.2,1,0)</f>
        <v>0</v>
      </c>
      <c r="Y383" s="10">
        <v>28</v>
      </c>
      <c r="Z383" s="30">
        <f>Table2[[#This Row],[UnitPrice]]*Y383*(1-V383)</f>
        <v>37562.28</v>
      </c>
      <c r="AA383" s="2">
        <f>T383*Y383</f>
        <v>31977.68</v>
      </c>
      <c r="AB383" s="2">
        <f t="shared" si="33"/>
        <v>5584.5999999999985</v>
      </c>
      <c r="AC383" s="2">
        <f t="shared" si="34"/>
        <v>0.1486757459877302</v>
      </c>
      <c r="AD383" s="2" t="e">
        <f>_xlfn.PERCENTILE.INC(S:S, 0.33)</f>
        <v>#NUM!</v>
      </c>
      <c r="AE383" s="2" t="e">
        <f>_xlfn.PERCENTILE.INC(S:S, 0.66)</f>
        <v>#NUM!</v>
      </c>
      <c r="AF383" s="30" t="e">
        <f t="shared" si="35"/>
        <v>#NUM!</v>
      </c>
    </row>
    <row r="384" spans="1:32" x14ac:dyDescent="0.3">
      <c r="A384" s="31" t="s">
        <v>397</v>
      </c>
      <c r="B384" s="32">
        <v>45097</v>
      </c>
      <c r="C384" s="47">
        <f>EOMONTH(Table2[[#This Row],[OrderDate]],-1)+1</f>
        <v>45078</v>
      </c>
      <c r="D384" s="45">
        <f>EOMONTH(_xlfn.MINIFS(B384:B1014,M384:M1014,Table2[[#This Row],[Country]]), -1) + 1</f>
        <v>44958</v>
      </c>
      <c r="E384" s="47"/>
      <c r="F384" s="32" t="str">
        <f>"Q"&amp;ROUNDUP(MONTH(B384)/3,0)&amp;"-"&amp;YEAR(B384)</f>
        <v>Q2-2023</v>
      </c>
      <c r="G384" s="32">
        <v>45115</v>
      </c>
      <c r="H384" s="32">
        <f>IF(G384&lt;B384, B384+3, G384)</f>
        <v>45115</v>
      </c>
      <c r="I384" s="33">
        <f>H384-B384</f>
        <v>18</v>
      </c>
      <c r="J384" s="33">
        <f t="shared" si="30"/>
        <v>0</v>
      </c>
      <c r="K384" s="33">
        <f t="shared" si="31"/>
        <v>0</v>
      </c>
      <c r="L384" s="34" t="s">
        <v>648</v>
      </c>
      <c r="M384" s="34" t="s">
        <v>660</v>
      </c>
      <c r="N384" s="34" t="s">
        <v>700</v>
      </c>
      <c r="O384" s="34" t="s">
        <v>704</v>
      </c>
      <c r="P384" s="34" t="s">
        <v>709</v>
      </c>
      <c r="Q384" s="34" t="s">
        <v>719</v>
      </c>
      <c r="R384" s="34" t="s">
        <v>729</v>
      </c>
      <c r="S384" s="34" t="s">
        <v>1116</v>
      </c>
      <c r="T384" s="35">
        <v>1145.53</v>
      </c>
      <c r="U384" s="35">
        <v>1278.3</v>
      </c>
      <c r="V384" s="35">
        <f t="shared" si="32"/>
        <v>0.09</v>
      </c>
      <c r="W384" s="35">
        <v>0.09</v>
      </c>
      <c r="X384" s="33">
        <f>IF(Table2[[#This Row],[DiscountPct]]&gt;0.2,1,0)</f>
        <v>0</v>
      </c>
      <c r="Y384" s="33">
        <v>41</v>
      </c>
      <c r="Z384" s="30">
        <f>Table2[[#This Row],[UnitPrice]]*Y384*(1-V384)</f>
        <v>47693.373</v>
      </c>
      <c r="AA384" s="31">
        <f>T384*Y384</f>
        <v>46966.729999999996</v>
      </c>
      <c r="AB384" s="31">
        <f t="shared" si="33"/>
        <v>726.64300000000367</v>
      </c>
      <c r="AC384" s="31">
        <f t="shared" si="34"/>
        <v>1.5235722581416158E-2</v>
      </c>
      <c r="AD384" s="31" t="e">
        <f>_xlfn.PERCENTILE.INC(S:S, 0.33)</f>
        <v>#NUM!</v>
      </c>
      <c r="AE384" s="31" t="e">
        <f>_xlfn.PERCENTILE.INC(S:S, 0.66)</f>
        <v>#NUM!</v>
      </c>
      <c r="AF384" s="30" t="e">
        <f t="shared" si="35"/>
        <v>#NUM!</v>
      </c>
    </row>
    <row r="385" spans="1:32" x14ac:dyDescent="0.3">
      <c r="A385" s="2" t="s">
        <v>398</v>
      </c>
      <c r="B385" s="4">
        <v>45491</v>
      </c>
      <c r="C385" s="46">
        <f>EOMONTH(Table2[[#This Row],[OrderDate]],-1)+1</f>
        <v>45474</v>
      </c>
      <c r="D385" s="45">
        <f>EOMONTH(_xlfn.MINIFS(B385:B1015,M385:M1015,Table2[[#This Row],[Country]]), -1) + 1</f>
        <v>45017</v>
      </c>
      <c r="E385" s="46"/>
      <c r="F385" s="4" t="str">
        <f>"Q"&amp;ROUNDUP(MONTH(B385)/3,0)&amp;"-"&amp;YEAR(B385)</f>
        <v>Q3-2024</v>
      </c>
      <c r="G385" s="4">
        <v>45511</v>
      </c>
      <c r="H385" s="4">
        <f>IF(G385&lt;B385, B385+3, G385)</f>
        <v>45511</v>
      </c>
      <c r="I385" s="10">
        <f>H385-B385</f>
        <v>20</v>
      </c>
      <c r="J385" s="10">
        <f t="shared" si="30"/>
        <v>0</v>
      </c>
      <c r="K385" s="10">
        <f t="shared" si="31"/>
        <v>0</v>
      </c>
      <c r="L385" s="6" t="s">
        <v>649</v>
      </c>
      <c r="M385" s="6" t="s">
        <v>657</v>
      </c>
      <c r="N385" s="6" t="s">
        <v>673</v>
      </c>
      <c r="O385" s="6" t="s">
        <v>701</v>
      </c>
      <c r="P385" s="6" t="s">
        <v>707</v>
      </c>
      <c r="Q385" s="6" t="s">
        <v>721</v>
      </c>
      <c r="R385" s="6" t="s">
        <v>732</v>
      </c>
      <c r="S385" s="6" t="s">
        <v>1117</v>
      </c>
      <c r="T385" s="8">
        <v>941.35</v>
      </c>
      <c r="U385" s="8">
        <v>899.83</v>
      </c>
      <c r="V385" s="8">
        <f t="shared" si="32"/>
        <v>5.8000000000000003E-2</v>
      </c>
      <c r="W385" s="8">
        <v>5.8000000000000003E-2</v>
      </c>
      <c r="X385" s="10">
        <f>IF(Table2[[#This Row],[DiscountPct]]&gt;0.2,1,0)</f>
        <v>0</v>
      </c>
      <c r="Y385" s="10">
        <v>18</v>
      </c>
      <c r="Z385" s="30">
        <f>Table2[[#This Row],[UnitPrice]]*Y385*(1-V385)</f>
        <v>15257.51748</v>
      </c>
      <c r="AA385" s="2">
        <f>T385*Y385</f>
        <v>16944.3</v>
      </c>
      <c r="AB385" s="2">
        <f t="shared" si="33"/>
        <v>-1686.7825199999988</v>
      </c>
      <c r="AC385" s="2">
        <f t="shared" si="34"/>
        <v>-0.11055419220139073</v>
      </c>
      <c r="AD385" s="2" t="e">
        <f>_xlfn.PERCENTILE.INC(S:S, 0.33)</f>
        <v>#NUM!</v>
      </c>
      <c r="AE385" s="2" t="e">
        <f>_xlfn.PERCENTILE.INC(S:S, 0.66)</f>
        <v>#NUM!</v>
      </c>
      <c r="AF385" s="30" t="e">
        <f t="shared" si="35"/>
        <v>#NUM!</v>
      </c>
    </row>
    <row r="386" spans="1:32" x14ac:dyDescent="0.3">
      <c r="A386" s="31" t="s">
        <v>399</v>
      </c>
      <c r="B386" s="32">
        <v>45066</v>
      </c>
      <c r="C386" s="47">
        <f>EOMONTH(Table2[[#This Row],[OrderDate]],-1)+1</f>
        <v>45047</v>
      </c>
      <c r="D386" s="45">
        <f>EOMONTH(_xlfn.MINIFS(B386:B1016,M386:M1016,Table2[[#This Row],[Country]]), -1) + 1</f>
        <v>45047</v>
      </c>
      <c r="E386" s="47"/>
      <c r="F386" s="32" t="str">
        <f>"Q"&amp;ROUNDUP(MONTH(B386)/3,0)&amp;"-"&amp;YEAR(B386)</f>
        <v>Q2-2023</v>
      </c>
      <c r="G386" s="32">
        <v>45096</v>
      </c>
      <c r="H386" s="32">
        <f>IF(G386&lt;B386, B386+3, G386)</f>
        <v>45096</v>
      </c>
      <c r="I386" s="33">
        <f>H386-B386</f>
        <v>30</v>
      </c>
      <c r="J386" s="33">
        <f t="shared" ref="J386:J449" si="36">IF(I386 &lt;= 7, 1, 0)</f>
        <v>0</v>
      </c>
      <c r="K386" s="33">
        <f t="shared" ref="K386:K449" si="37">IF(I386&lt;=7,1,0)</f>
        <v>0</v>
      </c>
      <c r="L386" s="34" t="s">
        <v>647</v>
      </c>
      <c r="M386" s="34" t="s">
        <v>654</v>
      </c>
      <c r="N386" s="34" t="s">
        <v>680</v>
      </c>
      <c r="O386" s="34" t="s">
        <v>703</v>
      </c>
      <c r="P386" s="34" t="s">
        <v>709</v>
      </c>
      <c r="Q386" s="34" t="s">
        <v>722</v>
      </c>
      <c r="R386" s="34" t="s">
        <v>731</v>
      </c>
      <c r="S386" s="34" t="s">
        <v>1118</v>
      </c>
      <c r="T386" s="35">
        <v>1161.2</v>
      </c>
      <c r="U386" s="35">
        <v>878.73</v>
      </c>
      <c r="V386" s="35">
        <f t="shared" si="32"/>
        <v>0.19</v>
      </c>
      <c r="W386" s="35">
        <v>0.19</v>
      </c>
      <c r="X386" s="33">
        <f>IF(Table2[[#This Row],[DiscountPct]]&gt;0.2,1,0)</f>
        <v>0</v>
      </c>
      <c r="Y386" s="33">
        <v>31</v>
      </c>
      <c r="Z386" s="30">
        <f>Table2[[#This Row],[UnitPrice]]*Y386*(1-V386)</f>
        <v>22064.910300000003</v>
      </c>
      <c r="AA386" s="31">
        <f>T386*Y386</f>
        <v>35997.200000000004</v>
      </c>
      <c r="AB386" s="31">
        <f t="shared" si="33"/>
        <v>-13932.289700000001</v>
      </c>
      <c r="AC386" s="31">
        <f t="shared" si="34"/>
        <v>-0.63142290227212028</v>
      </c>
      <c r="AD386" s="31" t="e">
        <f>_xlfn.PERCENTILE.INC(S:S, 0.33)</f>
        <v>#NUM!</v>
      </c>
      <c r="AE386" s="31" t="e">
        <f>_xlfn.PERCENTILE.INC(S:S, 0.66)</f>
        <v>#NUM!</v>
      </c>
      <c r="AF386" s="30" t="e">
        <f t="shared" si="35"/>
        <v>#NUM!</v>
      </c>
    </row>
    <row r="387" spans="1:32" x14ac:dyDescent="0.3">
      <c r="A387" s="2" t="s">
        <v>400</v>
      </c>
      <c r="B387" s="4">
        <v>45789</v>
      </c>
      <c r="C387" s="46">
        <f>EOMONTH(Table2[[#This Row],[OrderDate]],-1)+1</f>
        <v>45778</v>
      </c>
      <c r="D387" s="45">
        <f>EOMONTH(_xlfn.MINIFS(B387:B1017,M387:M1017,Table2[[#This Row],[Country]]), -1) + 1</f>
        <v>45047</v>
      </c>
      <c r="E387" s="46"/>
      <c r="F387" s="4" t="str">
        <f>"Q"&amp;ROUNDUP(MONTH(B387)/3,0)&amp;"-"&amp;YEAR(B387)</f>
        <v>Q2-2025</v>
      </c>
      <c r="G387" s="4">
        <v>45803</v>
      </c>
      <c r="H387" s="4">
        <f>IF(G387&lt;B387, B387+3, G387)</f>
        <v>45803</v>
      </c>
      <c r="I387" s="10">
        <f>H387-B387</f>
        <v>14</v>
      </c>
      <c r="J387" s="10">
        <f t="shared" si="36"/>
        <v>0</v>
      </c>
      <c r="K387" s="10">
        <f t="shared" si="37"/>
        <v>0</v>
      </c>
      <c r="L387" s="6" t="s">
        <v>647</v>
      </c>
      <c r="M387" s="6" t="s">
        <v>654</v>
      </c>
      <c r="N387" s="6" t="s">
        <v>696</v>
      </c>
      <c r="O387" s="6" t="s">
        <v>701</v>
      </c>
      <c r="P387" s="6" t="s">
        <v>709</v>
      </c>
      <c r="Q387" s="6" t="s">
        <v>715</v>
      </c>
      <c r="R387" s="6" t="s">
        <v>728</v>
      </c>
      <c r="S387" s="6" t="s">
        <v>1119</v>
      </c>
      <c r="T387" s="8">
        <v>320.12</v>
      </c>
      <c r="U387" s="8">
        <v>594.41999999999996</v>
      </c>
      <c r="V387" s="8">
        <f t="shared" ref="V387:V450" si="38">IF(W387&gt;0.3,0.3,W387)</f>
        <v>0.104</v>
      </c>
      <c r="W387" s="8">
        <v>0.104</v>
      </c>
      <c r="X387" s="10">
        <f>IF(Table2[[#This Row],[DiscountPct]]&gt;0.2,1,0)</f>
        <v>0</v>
      </c>
      <c r="Y387" s="10">
        <v>18</v>
      </c>
      <c r="Z387" s="30">
        <f>Table2[[#This Row],[UnitPrice]]*Y387*(1-V387)</f>
        <v>9586.8057599999993</v>
      </c>
      <c r="AA387" s="2">
        <f>T387*Y387</f>
        <v>5762.16</v>
      </c>
      <c r="AB387" s="2">
        <f t="shared" ref="AB387:AB450" si="39">Z387-AA387</f>
        <v>3824.6457599999994</v>
      </c>
      <c r="AC387" s="2">
        <f t="shared" ref="AC387:AC450" si="40">IF(Z387=0,0,AB387/Z387)</f>
        <v>0.39894891538931104</v>
      </c>
      <c r="AD387" s="2" t="e">
        <f>_xlfn.PERCENTILE.INC(S:S, 0.33)</f>
        <v>#NUM!</v>
      </c>
      <c r="AE387" s="2" t="e">
        <f>_xlfn.PERCENTILE.INC(S:S, 0.66)</f>
        <v>#NUM!</v>
      </c>
      <c r="AF387" s="30" t="e">
        <f t="shared" ref="AF387:AF450" si="41">IF(Z387="","",
   IF(Z387&lt;=AD387,"Low",
      IF(Z387&lt;=AE387,"Medium","High")
   )
)</f>
        <v>#NUM!</v>
      </c>
    </row>
    <row r="388" spans="1:32" x14ac:dyDescent="0.3">
      <c r="A388" s="31" t="s">
        <v>401</v>
      </c>
      <c r="B388" s="32">
        <v>45419</v>
      </c>
      <c r="C388" s="47">
        <f>EOMONTH(Table2[[#This Row],[OrderDate]],-1)+1</f>
        <v>45413</v>
      </c>
      <c r="D388" s="45">
        <f>EOMONTH(_xlfn.MINIFS(B388:B1018,M388:M1018,Table2[[#This Row],[Country]]), -1) + 1</f>
        <v>44958</v>
      </c>
      <c r="E388" s="47"/>
      <c r="F388" s="32" t="str">
        <f>"Q"&amp;ROUNDUP(MONTH(B388)/3,0)&amp;"-"&amp;YEAR(B388)</f>
        <v>Q2-2024</v>
      </c>
      <c r="G388" s="32">
        <v>45424</v>
      </c>
      <c r="H388" s="32">
        <f>IF(G388&lt;B388, B388+3, G388)</f>
        <v>45424</v>
      </c>
      <c r="I388" s="33">
        <f>H388-B388</f>
        <v>5</v>
      </c>
      <c r="J388" s="33">
        <f t="shared" si="36"/>
        <v>1</v>
      </c>
      <c r="K388" s="33">
        <f t="shared" si="37"/>
        <v>1</v>
      </c>
      <c r="L388" s="34" t="s">
        <v>646</v>
      </c>
      <c r="M388" s="34" t="s">
        <v>651</v>
      </c>
      <c r="N388" s="34" t="s">
        <v>669</v>
      </c>
      <c r="O388" s="34" t="s">
        <v>703</v>
      </c>
      <c r="P388" s="34" t="s">
        <v>710</v>
      </c>
      <c r="Q388" s="34" t="s">
        <v>716</v>
      </c>
      <c r="R388" s="34" t="s">
        <v>731</v>
      </c>
      <c r="S388" s="34" t="s">
        <v>1120</v>
      </c>
      <c r="T388" s="35">
        <v>1163.99</v>
      </c>
      <c r="U388" s="35">
        <v>1617.85</v>
      </c>
      <c r="V388" s="35">
        <f t="shared" si="38"/>
        <v>0.127</v>
      </c>
      <c r="W388" s="35">
        <v>0.127</v>
      </c>
      <c r="X388" s="33">
        <f>IF(Table2[[#This Row],[DiscountPct]]&gt;0.2,1,0)</f>
        <v>0</v>
      </c>
      <c r="Y388" s="33">
        <v>14</v>
      </c>
      <c r="Z388" s="30">
        <f>Table2[[#This Row],[UnitPrice]]*Y388*(1-V388)</f>
        <v>19773.362699999998</v>
      </c>
      <c r="AA388" s="31">
        <f>T388*Y388</f>
        <v>16295.86</v>
      </c>
      <c r="AB388" s="31">
        <f t="shared" si="39"/>
        <v>3477.5026999999973</v>
      </c>
      <c r="AC388" s="31">
        <f t="shared" si="40"/>
        <v>0.17586804797749436</v>
      </c>
      <c r="AD388" s="31" t="e">
        <f>_xlfn.PERCENTILE.INC(S:S, 0.33)</f>
        <v>#NUM!</v>
      </c>
      <c r="AE388" s="31" t="e">
        <f>_xlfn.PERCENTILE.INC(S:S, 0.66)</f>
        <v>#NUM!</v>
      </c>
      <c r="AF388" s="30" t="e">
        <f t="shared" si="41"/>
        <v>#NUM!</v>
      </c>
    </row>
    <row r="389" spans="1:32" x14ac:dyDescent="0.3">
      <c r="A389" s="2" t="s">
        <v>402</v>
      </c>
      <c r="B389" s="4">
        <v>45199</v>
      </c>
      <c r="C389" s="46">
        <f>EOMONTH(Table2[[#This Row],[OrderDate]],-1)+1</f>
        <v>45170</v>
      </c>
      <c r="D389" s="45">
        <f>EOMONTH(_xlfn.MINIFS(B389:B1019,M389:M1019,Table2[[#This Row],[Country]]), -1) + 1</f>
        <v>44927</v>
      </c>
      <c r="E389" s="46"/>
      <c r="F389" s="4" t="str">
        <f>"Q"&amp;ROUNDUP(MONTH(B389)/3,0)&amp;"-"&amp;YEAR(B389)</f>
        <v>Q3-2023</v>
      </c>
      <c r="G389" s="4">
        <v>45202</v>
      </c>
      <c r="H389" s="4">
        <f>IF(G389&lt;B389, B389+3, G389)</f>
        <v>45202</v>
      </c>
      <c r="I389" s="10">
        <f>H389-B389</f>
        <v>3</v>
      </c>
      <c r="J389" s="10">
        <f t="shared" si="36"/>
        <v>1</v>
      </c>
      <c r="K389" s="10">
        <f t="shared" si="37"/>
        <v>1</v>
      </c>
      <c r="L389" s="6" t="s">
        <v>647</v>
      </c>
      <c r="M389" s="6" t="s">
        <v>659</v>
      </c>
      <c r="N389" s="6" t="s">
        <v>699</v>
      </c>
      <c r="O389" s="6" t="s">
        <v>703</v>
      </c>
      <c r="P389" s="6" t="s">
        <v>707</v>
      </c>
      <c r="Q389" s="6" t="s">
        <v>713</v>
      </c>
      <c r="R389" s="6" t="s">
        <v>731</v>
      </c>
      <c r="S389" s="6" t="s">
        <v>1121</v>
      </c>
      <c r="T389" s="8">
        <v>1019.36</v>
      </c>
      <c r="U389" s="8">
        <v>972.91</v>
      </c>
      <c r="V389" s="8">
        <f t="shared" si="38"/>
        <v>0.14699999999999999</v>
      </c>
      <c r="W389" s="8">
        <v>0.14699999999999999</v>
      </c>
      <c r="X389" s="10">
        <f>IF(Table2[[#This Row],[DiscountPct]]&gt;0.2,1,0)</f>
        <v>0</v>
      </c>
      <c r="Y389" s="10">
        <v>17</v>
      </c>
      <c r="Z389" s="30">
        <f>Table2[[#This Row],[UnitPrice]]*Y389*(1-V389)</f>
        <v>14108.16791</v>
      </c>
      <c r="AA389" s="2">
        <f>T389*Y389</f>
        <v>17329.12</v>
      </c>
      <c r="AB389" s="2">
        <f t="shared" si="39"/>
        <v>-3220.9520899999989</v>
      </c>
      <c r="AC389" s="2">
        <f t="shared" si="40"/>
        <v>-0.22830406545678819</v>
      </c>
      <c r="AD389" s="2" t="e">
        <f>_xlfn.PERCENTILE.INC(S:S, 0.33)</f>
        <v>#NUM!</v>
      </c>
      <c r="AE389" s="2" t="e">
        <f>_xlfn.PERCENTILE.INC(S:S, 0.66)</f>
        <v>#NUM!</v>
      </c>
      <c r="AF389" s="30" t="e">
        <f t="shared" si="41"/>
        <v>#NUM!</v>
      </c>
    </row>
    <row r="390" spans="1:32" x14ac:dyDescent="0.3">
      <c r="A390" s="31" t="s">
        <v>403</v>
      </c>
      <c r="B390" s="32">
        <v>45225</v>
      </c>
      <c r="C390" s="47">
        <f>EOMONTH(Table2[[#This Row],[OrderDate]],-1)+1</f>
        <v>45200</v>
      </c>
      <c r="D390" s="45">
        <f>EOMONTH(_xlfn.MINIFS(B390:B1020,M390:M1020,Table2[[#This Row],[Country]]), -1) + 1</f>
        <v>44927</v>
      </c>
      <c r="E390" s="47"/>
      <c r="F390" s="32" t="str">
        <f>"Q"&amp;ROUNDUP(MONTH(B390)/3,0)&amp;"-"&amp;YEAR(B390)</f>
        <v>Q4-2023</v>
      </c>
      <c r="G390" s="32">
        <v>45235</v>
      </c>
      <c r="H390" s="32">
        <f>IF(G390&lt;B390, B390+3, G390)</f>
        <v>45235</v>
      </c>
      <c r="I390" s="33">
        <f>H390-B390</f>
        <v>10</v>
      </c>
      <c r="J390" s="33">
        <f t="shared" si="36"/>
        <v>0</v>
      </c>
      <c r="K390" s="33">
        <f t="shared" si="37"/>
        <v>0</v>
      </c>
      <c r="L390" s="34" t="s">
        <v>646</v>
      </c>
      <c r="M390" s="34" t="s">
        <v>661</v>
      </c>
      <c r="N390" s="34" t="s">
        <v>695</v>
      </c>
      <c r="O390" s="34" t="s">
        <v>703</v>
      </c>
      <c r="P390" s="34" t="s">
        <v>708</v>
      </c>
      <c r="Q390" s="34" t="s">
        <v>714</v>
      </c>
      <c r="R390" s="34" t="s">
        <v>731</v>
      </c>
      <c r="S390" s="34" t="s">
        <v>1122</v>
      </c>
      <c r="T390" s="35">
        <v>20.38</v>
      </c>
      <c r="U390" s="35">
        <v>42.56</v>
      </c>
      <c r="V390" s="35">
        <f t="shared" si="38"/>
        <v>7.1999999999999995E-2</v>
      </c>
      <c r="W390" s="35">
        <v>7.1999999999999995E-2</v>
      </c>
      <c r="X390" s="33">
        <f>IF(Table2[[#This Row],[DiscountPct]]&gt;0.2,1,0)</f>
        <v>0</v>
      </c>
      <c r="Y390" s="33">
        <v>11</v>
      </c>
      <c r="Z390" s="30">
        <f>Table2[[#This Row],[UnitPrice]]*Y390*(1-V390)</f>
        <v>434.45248000000004</v>
      </c>
      <c r="AA390" s="31">
        <f>T390*Y390</f>
        <v>224.17999999999998</v>
      </c>
      <c r="AB390" s="31">
        <f t="shared" si="39"/>
        <v>210.27248000000006</v>
      </c>
      <c r="AC390" s="31">
        <f t="shared" si="40"/>
        <v>0.48399419885921713</v>
      </c>
      <c r="AD390" s="31" t="e">
        <f>_xlfn.PERCENTILE.INC(S:S, 0.33)</f>
        <v>#NUM!</v>
      </c>
      <c r="AE390" s="31" t="e">
        <f>_xlfn.PERCENTILE.INC(S:S, 0.66)</f>
        <v>#NUM!</v>
      </c>
      <c r="AF390" s="30" t="e">
        <f t="shared" si="41"/>
        <v>#NUM!</v>
      </c>
    </row>
    <row r="391" spans="1:32" x14ac:dyDescent="0.3">
      <c r="A391" s="2" t="s">
        <v>404</v>
      </c>
      <c r="B391" s="4">
        <v>45823</v>
      </c>
      <c r="C391" s="46">
        <f>EOMONTH(Table2[[#This Row],[OrderDate]],-1)+1</f>
        <v>45809</v>
      </c>
      <c r="D391" s="45">
        <f>EOMONTH(_xlfn.MINIFS(B391:B1021,M391:M1021,Table2[[#This Row],[Country]]), -1) + 1</f>
        <v>44927</v>
      </c>
      <c r="E391" s="46"/>
      <c r="F391" s="4" t="str">
        <f>"Q"&amp;ROUNDUP(MONTH(B391)/3,0)&amp;"-"&amp;YEAR(B391)</f>
        <v>Q2-2025</v>
      </c>
      <c r="G391" s="4">
        <v>45838</v>
      </c>
      <c r="H391" s="4">
        <f>IF(G391&lt;B391, B391+3, G391)</f>
        <v>45838</v>
      </c>
      <c r="I391" s="10">
        <f>H391-B391</f>
        <v>15</v>
      </c>
      <c r="J391" s="10">
        <f t="shared" si="36"/>
        <v>0</v>
      </c>
      <c r="K391" s="10">
        <f t="shared" si="37"/>
        <v>0</v>
      </c>
      <c r="L391" s="6" t="s">
        <v>646</v>
      </c>
      <c r="M391" s="6" t="s">
        <v>661</v>
      </c>
      <c r="N391" s="6" t="s">
        <v>682</v>
      </c>
      <c r="O391" s="6" t="s">
        <v>705</v>
      </c>
      <c r="P391" s="6" t="s">
        <v>711</v>
      </c>
      <c r="Q391" s="6" t="s">
        <v>712</v>
      </c>
      <c r="R391" s="6" t="s">
        <v>732</v>
      </c>
      <c r="S391" s="6" t="s">
        <v>1123</v>
      </c>
      <c r="T391" s="8">
        <v>1487.59</v>
      </c>
      <c r="U391" s="8">
        <v>1480.83</v>
      </c>
      <c r="V391" s="8">
        <f t="shared" si="38"/>
        <v>8.9999999999999993E-3</v>
      </c>
      <c r="W391" s="8">
        <v>8.9999999999999993E-3</v>
      </c>
      <c r="X391" s="10">
        <f>IF(Table2[[#This Row],[DiscountPct]]&gt;0.2,1,0)</f>
        <v>0</v>
      </c>
      <c r="Y391" s="10">
        <v>11</v>
      </c>
      <c r="Z391" s="30">
        <f>Table2[[#This Row],[UnitPrice]]*Y391*(1-V391)</f>
        <v>16142.527829999999</v>
      </c>
      <c r="AA391" s="2">
        <f>T391*Y391</f>
        <v>16363.49</v>
      </c>
      <c r="AB391" s="2">
        <f t="shared" si="39"/>
        <v>-220.9621700000007</v>
      </c>
      <c r="AC391" s="2">
        <f t="shared" si="40"/>
        <v>-1.3688201273492908E-2</v>
      </c>
      <c r="AD391" s="2" t="e">
        <f>_xlfn.PERCENTILE.INC(S:S, 0.33)</f>
        <v>#NUM!</v>
      </c>
      <c r="AE391" s="2" t="e">
        <f>_xlfn.PERCENTILE.INC(S:S, 0.66)</f>
        <v>#NUM!</v>
      </c>
      <c r="AF391" s="30" t="e">
        <f t="shared" si="41"/>
        <v>#NUM!</v>
      </c>
    </row>
    <row r="392" spans="1:32" x14ac:dyDescent="0.3">
      <c r="A392" s="31" t="s">
        <v>405</v>
      </c>
      <c r="B392" s="32">
        <v>45514</v>
      </c>
      <c r="C392" s="47">
        <f>EOMONTH(Table2[[#This Row],[OrderDate]],-1)+1</f>
        <v>45505</v>
      </c>
      <c r="D392" s="45">
        <f>EOMONTH(_xlfn.MINIFS(B392:B1022,M392:M1022,Table2[[#This Row],[Country]]), -1) + 1</f>
        <v>45017</v>
      </c>
      <c r="E392" s="47"/>
      <c r="F392" s="32" t="str">
        <f>"Q"&amp;ROUNDUP(MONTH(B392)/3,0)&amp;"-"&amp;YEAR(B392)</f>
        <v>Q3-2024</v>
      </c>
      <c r="G392" s="32">
        <v>45542</v>
      </c>
      <c r="H392" s="32">
        <f>IF(G392&lt;B392, B392+3, G392)</f>
        <v>45542</v>
      </c>
      <c r="I392" s="33">
        <f>H392-B392</f>
        <v>28</v>
      </c>
      <c r="J392" s="33">
        <f t="shared" si="36"/>
        <v>0</v>
      </c>
      <c r="K392" s="33">
        <f t="shared" si="37"/>
        <v>0</v>
      </c>
      <c r="L392" s="34" t="s">
        <v>649</v>
      </c>
      <c r="M392" s="34" t="s">
        <v>657</v>
      </c>
      <c r="N392" s="34" t="s">
        <v>673</v>
      </c>
      <c r="O392" s="34" t="s">
        <v>703</v>
      </c>
      <c r="P392" s="34" t="s">
        <v>711</v>
      </c>
      <c r="Q392" s="34" t="s">
        <v>721</v>
      </c>
      <c r="R392" s="34" t="s">
        <v>728</v>
      </c>
      <c r="S392" s="34" t="s">
        <v>1124</v>
      </c>
      <c r="T392" s="35">
        <v>229.96</v>
      </c>
      <c r="U392" s="35">
        <v>564.26</v>
      </c>
      <c r="V392" s="35">
        <f t="shared" si="38"/>
        <v>0.105</v>
      </c>
      <c r="W392" s="35">
        <v>0.105</v>
      </c>
      <c r="X392" s="33">
        <f>IF(Table2[[#This Row],[DiscountPct]]&gt;0.2,1,0)</f>
        <v>0</v>
      </c>
      <c r="Y392" s="33">
        <v>5</v>
      </c>
      <c r="Z392" s="30">
        <f>Table2[[#This Row],[UnitPrice]]*Y392*(1-V392)</f>
        <v>2525.0635000000002</v>
      </c>
      <c r="AA392" s="31">
        <f>T392*Y392</f>
        <v>1149.8</v>
      </c>
      <c r="AB392" s="31">
        <f t="shared" si="39"/>
        <v>1375.2635000000002</v>
      </c>
      <c r="AC392" s="31">
        <f t="shared" si="40"/>
        <v>0.54464511486542821</v>
      </c>
      <c r="AD392" s="31" t="e">
        <f>_xlfn.PERCENTILE.INC(S:S, 0.33)</f>
        <v>#NUM!</v>
      </c>
      <c r="AE392" s="31" t="e">
        <f>_xlfn.PERCENTILE.INC(S:S, 0.66)</f>
        <v>#NUM!</v>
      </c>
      <c r="AF392" s="30" t="e">
        <f t="shared" si="41"/>
        <v>#NUM!</v>
      </c>
    </row>
    <row r="393" spans="1:32" x14ac:dyDescent="0.3">
      <c r="A393" s="2" t="s">
        <v>406</v>
      </c>
      <c r="B393" s="4">
        <v>45208</v>
      </c>
      <c r="C393" s="46">
        <f>EOMONTH(Table2[[#This Row],[OrderDate]],-1)+1</f>
        <v>45200</v>
      </c>
      <c r="D393" s="45">
        <f>EOMONTH(_xlfn.MINIFS(B393:B1023,M393:M1023,Table2[[#This Row],[Country]]), -1) + 1</f>
        <v>44927</v>
      </c>
      <c r="E393" s="46"/>
      <c r="F393" s="4" t="str">
        <f>"Q"&amp;ROUNDUP(MONTH(B393)/3,0)&amp;"-"&amp;YEAR(B393)</f>
        <v>Q4-2023</v>
      </c>
      <c r="G393" s="4">
        <v>45225</v>
      </c>
      <c r="H393" s="4">
        <f>IF(G393&lt;B393, B393+3, G393)</f>
        <v>45225</v>
      </c>
      <c r="I393" s="10">
        <f>H393-B393</f>
        <v>17</v>
      </c>
      <c r="J393" s="10">
        <f t="shared" si="36"/>
        <v>0</v>
      </c>
      <c r="K393" s="10">
        <f t="shared" si="37"/>
        <v>0</v>
      </c>
      <c r="L393" s="6" t="s">
        <v>647</v>
      </c>
      <c r="M393" s="6" t="s">
        <v>659</v>
      </c>
      <c r="N393" s="6" t="s">
        <v>685</v>
      </c>
      <c r="O393" s="6" t="s">
        <v>704</v>
      </c>
      <c r="P393" s="6" t="s">
        <v>709</v>
      </c>
      <c r="Q393" s="6" t="s">
        <v>712</v>
      </c>
      <c r="R393" s="6" t="s">
        <v>727</v>
      </c>
      <c r="S393" s="6" t="s">
        <v>1125</v>
      </c>
      <c r="T393" s="8">
        <v>1132.03</v>
      </c>
      <c r="U393" s="8">
        <v>2137.21</v>
      </c>
      <c r="V393" s="8">
        <f t="shared" si="38"/>
        <v>0.3</v>
      </c>
      <c r="W393" s="8">
        <v>0.35699999999999998</v>
      </c>
      <c r="X393" s="10">
        <f>IF(Table2[[#This Row],[DiscountPct]]&gt;0.2,1,0)</f>
        <v>1</v>
      </c>
      <c r="Y393" s="10">
        <v>35</v>
      </c>
      <c r="Z393" s="30">
        <f>Table2[[#This Row],[UnitPrice]]*Y393*(1-V393)</f>
        <v>52361.645000000004</v>
      </c>
      <c r="AA393" s="2">
        <f>T393*Y393</f>
        <v>39621.049999999996</v>
      </c>
      <c r="AB393" s="2">
        <f t="shared" si="39"/>
        <v>12740.595000000008</v>
      </c>
      <c r="AC393" s="2">
        <f t="shared" si="40"/>
        <v>0.24331922727026639</v>
      </c>
      <c r="AD393" s="2" t="e">
        <f>_xlfn.PERCENTILE.INC(S:S, 0.33)</f>
        <v>#NUM!</v>
      </c>
      <c r="AE393" s="2" t="e">
        <f>_xlfn.PERCENTILE.INC(S:S, 0.66)</f>
        <v>#NUM!</v>
      </c>
      <c r="AF393" s="30" t="e">
        <f t="shared" si="41"/>
        <v>#NUM!</v>
      </c>
    </row>
    <row r="394" spans="1:32" x14ac:dyDescent="0.3">
      <c r="A394" s="31" t="s">
        <v>407</v>
      </c>
      <c r="B394" s="32">
        <v>45360</v>
      </c>
      <c r="C394" s="47">
        <f>EOMONTH(Table2[[#This Row],[OrderDate]],-1)+1</f>
        <v>45352</v>
      </c>
      <c r="D394" s="45">
        <f>EOMONTH(_xlfn.MINIFS(B394:B1024,M394:M1024,Table2[[#This Row],[Country]]), -1) + 1</f>
        <v>44958</v>
      </c>
      <c r="E394" s="47"/>
      <c r="F394" s="32" t="str">
        <f>"Q"&amp;ROUNDUP(MONTH(B394)/3,0)&amp;"-"&amp;YEAR(B394)</f>
        <v>Q1-2024</v>
      </c>
      <c r="G394" s="32">
        <v>45377</v>
      </c>
      <c r="H394" s="32">
        <f>IF(G394&lt;B394, B394+3, G394)</f>
        <v>45377</v>
      </c>
      <c r="I394" s="33">
        <f>H394-B394</f>
        <v>17</v>
      </c>
      <c r="J394" s="33">
        <f t="shared" si="36"/>
        <v>0</v>
      </c>
      <c r="K394" s="33">
        <f t="shared" si="37"/>
        <v>0</v>
      </c>
      <c r="L394" s="34" t="s">
        <v>648</v>
      </c>
      <c r="M394" s="34" t="s">
        <v>660</v>
      </c>
      <c r="N394" s="34" t="s">
        <v>686</v>
      </c>
      <c r="O394" s="34" t="s">
        <v>702</v>
      </c>
      <c r="P394" s="34" t="s">
        <v>711</v>
      </c>
      <c r="Q394" s="34" t="s">
        <v>714</v>
      </c>
      <c r="R394" s="34" t="s">
        <v>730</v>
      </c>
      <c r="S394" s="34" t="s">
        <v>1126</v>
      </c>
      <c r="T394" s="35">
        <v>1137.4100000000001</v>
      </c>
      <c r="U394" s="35">
        <v>1680.93</v>
      </c>
      <c r="V394" s="35">
        <f t="shared" si="38"/>
        <v>0.254</v>
      </c>
      <c r="W394" s="35">
        <v>0.254</v>
      </c>
      <c r="X394" s="33">
        <f>IF(Table2[[#This Row],[DiscountPct]]&gt;0.2,1,0)</f>
        <v>1</v>
      </c>
      <c r="Y394" s="33">
        <v>9</v>
      </c>
      <c r="Z394" s="30">
        <f>Table2[[#This Row],[UnitPrice]]*Y394*(1-V394)</f>
        <v>11285.764020000001</v>
      </c>
      <c r="AA394" s="31">
        <f>T394*Y394</f>
        <v>10236.69</v>
      </c>
      <c r="AB394" s="31">
        <f t="shared" si="39"/>
        <v>1049.07402</v>
      </c>
      <c r="AC394" s="31">
        <f t="shared" si="40"/>
        <v>9.2955516183121464E-2</v>
      </c>
      <c r="AD394" s="31" t="e">
        <f>_xlfn.PERCENTILE.INC(S:S, 0.33)</f>
        <v>#NUM!</v>
      </c>
      <c r="AE394" s="31" t="e">
        <f>_xlfn.PERCENTILE.INC(S:S, 0.66)</f>
        <v>#NUM!</v>
      </c>
      <c r="AF394" s="30" t="e">
        <f t="shared" si="41"/>
        <v>#NUM!</v>
      </c>
    </row>
    <row r="395" spans="1:32" x14ac:dyDescent="0.3">
      <c r="A395" s="2" t="s">
        <v>408</v>
      </c>
      <c r="B395" s="4">
        <v>45075</v>
      </c>
      <c r="C395" s="46">
        <f>EOMONTH(Table2[[#This Row],[OrderDate]],-1)+1</f>
        <v>45047</v>
      </c>
      <c r="D395" s="45">
        <f>EOMONTH(_xlfn.MINIFS(B395:B1025,M395:M1025,Table2[[#This Row],[Country]]), -1) + 1</f>
        <v>44927</v>
      </c>
      <c r="E395" s="46"/>
      <c r="F395" s="4" t="str">
        <f>"Q"&amp;ROUNDUP(MONTH(B395)/3,0)&amp;"-"&amp;YEAR(B395)</f>
        <v>Q2-2023</v>
      </c>
      <c r="G395" s="4">
        <v>45097</v>
      </c>
      <c r="H395" s="4">
        <f>IF(G395&lt;B395, B395+3, G395)</f>
        <v>45097</v>
      </c>
      <c r="I395" s="10">
        <f>H395-B395</f>
        <v>22</v>
      </c>
      <c r="J395" s="10">
        <f t="shared" si="36"/>
        <v>0</v>
      </c>
      <c r="K395" s="10">
        <f t="shared" si="37"/>
        <v>0</v>
      </c>
      <c r="L395" s="6" t="s">
        <v>649</v>
      </c>
      <c r="M395" s="6" t="s">
        <v>658</v>
      </c>
      <c r="N395" s="6" t="s">
        <v>683</v>
      </c>
      <c r="O395" s="6" t="s">
        <v>705</v>
      </c>
      <c r="P395" s="6" t="s">
        <v>711</v>
      </c>
      <c r="Q395" s="6" t="s">
        <v>723</v>
      </c>
      <c r="R395" s="6" t="s">
        <v>727</v>
      </c>
      <c r="S395" s="6" t="s">
        <v>1127</v>
      </c>
      <c r="T395" s="8">
        <v>1295.3900000000001</v>
      </c>
      <c r="U395" s="8">
        <v>2905.06</v>
      </c>
      <c r="V395" s="8">
        <f t="shared" si="38"/>
        <v>0.14799999999999999</v>
      </c>
      <c r="W395" s="8">
        <v>0.14799999999999999</v>
      </c>
      <c r="X395" s="10">
        <f>IF(Table2[[#This Row],[DiscountPct]]&gt;0.2,1,0)</f>
        <v>0</v>
      </c>
      <c r="Y395" s="10">
        <v>8</v>
      </c>
      <c r="Z395" s="30">
        <f>Table2[[#This Row],[UnitPrice]]*Y395*(1-V395)</f>
        <v>19800.88896</v>
      </c>
      <c r="AA395" s="2">
        <f>T395*Y395</f>
        <v>10363.120000000001</v>
      </c>
      <c r="AB395" s="2">
        <f t="shared" si="39"/>
        <v>9437.7689599999994</v>
      </c>
      <c r="AC395" s="2">
        <f t="shared" si="40"/>
        <v>0.47663359857556614</v>
      </c>
      <c r="AD395" s="2" t="e">
        <f>_xlfn.PERCENTILE.INC(S:S, 0.33)</f>
        <v>#NUM!</v>
      </c>
      <c r="AE395" s="2" t="e">
        <f>_xlfn.PERCENTILE.INC(S:S, 0.66)</f>
        <v>#NUM!</v>
      </c>
      <c r="AF395" s="30" t="e">
        <f t="shared" si="41"/>
        <v>#NUM!</v>
      </c>
    </row>
    <row r="396" spans="1:32" x14ac:dyDescent="0.3">
      <c r="A396" s="31" t="s">
        <v>409</v>
      </c>
      <c r="B396" s="32">
        <v>45804</v>
      </c>
      <c r="C396" s="47">
        <f>EOMONTH(Table2[[#This Row],[OrderDate]],-1)+1</f>
        <v>45778</v>
      </c>
      <c r="D396" s="45">
        <f>EOMONTH(_xlfn.MINIFS(B396:B1026,M396:M1026,Table2[[#This Row],[Country]]), -1) + 1</f>
        <v>44986</v>
      </c>
      <c r="E396" s="47"/>
      <c r="F396" s="32" t="str">
        <f>"Q"&amp;ROUNDUP(MONTH(B396)/3,0)&amp;"-"&amp;YEAR(B396)</f>
        <v>Q2-2025</v>
      </c>
      <c r="G396" s="32">
        <v>45816</v>
      </c>
      <c r="H396" s="32">
        <f>IF(G396&lt;B396, B396+3, G396)</f>
        <v>45816</v>
      </c>
      <c r="I396" s="33">
        <f>H396-B396</f>
        <v>12</v>
      </c>
      <c r="J396" s="33">
        <f t="shared" si="36"/>
        <v>0</v>
      </c>
      <c r="K396" s="33">
        <f t="shared" si="37"/>
        <v>0</v>
      </c>
      <c r="L396" s="34" t="s">
        <v>647</v>
      </c>
      <c r="M396" s="34" t="s">
        <v>652</v>
      </c>
      <c r="N396" s="34" t="s">
        <v>666</v>
      </c>
      <c r="O396" s="34" t="s">
        <v>701</v>
      </c>
      <c r="P396" s="34" t="s">
        <v>707</v>
      </c>
      <c r="Q396" s="34" t="s">
        <v>722</v>
      </c>
      <c r="R396" s="34" t="s">
        <v>733</v>
      </c>
      <c r="S396" s="34" t="s">
        <v>1128</v>
      </c>
      <c r="T396" s="35">
        <v>653.6</v>
      </c>
      <c r="U396" s="35">
        <v>842.09</v>
      </c>
      <c r="V396" s="35">
        <f t="shared" si="38"/>
        <v>9.8000000000000004E-2</v>
      </c>
      <c r="W396" s="35">
        <v>9.8000000000000004E-2</v>
      </c>
      <c r="X396" s="33">
        <f>IF(Table2[[#This Row],[DiscountPct]]&gt;0.2,1,0)</f>
        <v>0</v>
      </c>
      <c r="Y396" s="33">
        <v>19</v>
      </c>
      <c r="Z396" s="30">
        <f>Table2[[#This Row],[UnitPrice]]*Y396*(1-V396)</f>
        <v>14431.738420000001</v>
      </c>
      <c r="AA396" s="31">
        <f>T396*Y396</f>
        <v>12418.4</v>
      </c>
      <c r="AB396" s="31">
        <f t="shared" si="39"/>
        <v>2013.3384200000019</v>
      </c>
      <c r="AC396" s="31">
        <f t="shared" si="40"/>
        <v>0.13950768517324622</v>
      </c>
      <c r="AD396" s="31" t="e">
        <f>_xlfn.PERCENTILE.INC(S:S, 0.33)</f>
        <v>#NUM!</v>
      </c>
      <c r="AE396" s="31" t="e">
        <f>_xlfn.PERCENTILE.INC(S:S, 0.66)</f>
        <v>#NUM!</v>
      </c>
      <c r="AF396" s="30" t="e">
        <f t="shared" si="41"/>
        <v>#NUM!</v>
      </c>
    </row>
    <row r="397" spans="1:32" x14ac:dyDescent="0.3">
      <c r="A397" s="2" t="s">
        <v>410</v>
      </c>
      <c r="B397" s="4">
        <v>45890</v>
      </c>
      <c r="C397" s="46">
        <f>EOMONTH(Table2[[#This Row],[OrderDate]],-1)+1</f>
        <v>45870</v>
      </c>
      <c r="D397" s="45">
        <f>EOMONTH(_xlfn.MINIFS(B397:B1027,M397:M1027,Table2[[#This Row],[Country]]), -1) + 1</f>
        <v>44927</v>
      </c>
      <c r="E397" s="46"/>
      <c r="F397" s="4" t="str">
        <f>"Q"&amp;ROUNDUP(MONTH(B397)/3,0)&amp;"-"&amp;YEAR(B397)</f>
        <v>Q3-2025</v>
      </c>
      <c r="G397" s="4">
        <v>45914</v>
      </c>
      <c r="H397" s="4">
        <f>IF(G397&lt;B397, B397+3, G397)</f>
        <v>45914</v>
      </c>
      <c r="I397" s="10">
        <f>H397-B397</f>
        <v>24</v>
      </c>
      <c r="J397" s="10">
        <f t="shared" si="36"/>
        <v>0</v>
      </c>
      <c r="K397" s="10">
        <f t="shared" si="37"/>
        <v>0</v>
      </c>
      <c r="L397" s="6" t="s">
        <v>649</v>
      </c>
      <c r="M397" s="6" t="s">
        <v>656</v>
      </c>
      <c r="N397" s="6" t="s">
        <v>671</v>
      </c>
      <c r="O397" s="6" t="s">
        <v>703</v>
      </c>
      <c r="P397" s="6" t="s">
        <v>708</v>
      </c>
      <c r="Q397" s="6" t="s">
        <v>720</v>
      </c>
      <c r="R397" s="6" t="s">
        <v>732</v>
      </c>
      <c r="S397" s="6" t="s">
        <v>1129</v>
      </c>
      <c r="T397" s="8">
        <v>1397.67</v>
      </c>
      <c r="U397" s="8">
        <v>3131.37</v>
      </c>
      <c r="V397" s="8">
        <f t="shared" si="38"/>
        <v>0.10299999999999999</v>
      </c>
      <c r="W397" s="8">
        <v>0.10299999999999999</v>
      </c>
      <c r="X397" s="10">
        <f>IF(Table2[[#This Row],[DiscountPct]]&gt;0.2,1,0)</f>
        <v>0</v>
      </c>
      <c r="Y397" s="10">
        <v>20</v>
      </c>
      <c r="Z397" s="30">
        <f>Table2[[#This Row],[UnitPrice]]*Y397*(1-V397)</f>
        <v>56176.777799999996</v>
      </c>
      <c r="AA397" s="2">
        <f>T397*Y397</f>
        <v>27953.4</v>
      </c>
      <c r="AB397" s="2">
        <f t="shared" si="39"/>
        <v>28223.377799999995</v>
      </c>
      <c r="AC397" s="2">
        <f t="shared" si="40"/>
        <v>0.50240293062874808</v>
      </c>
      <c r="AD397" s="2" t="e">
        <f>_xlfn.PERCENTILE.INC(S:S, 0.33)</f>
        <v>#NUM!</v>
      </c>
      <c r="AE397" s="2" t="e">
        <f>_xlfn.PERCENTILE.INC(S:S, 0.66)</f>
        <v>#NUM!</v>
      </c>
      <c r="AF397" s="30" t="e">
        <f t="shared" si="41"/>
        <v>#NUM!</v>
      </c>
    </row>
    <row r="398" spans="1:32" x14ac:dyDescent="0.3">
      <c r="A398" s="31" t="s">
        <v>411</v>
      </c>
      <c r="B398" s="32">
        <v>45638</v>
      </c>
      <c r="C398" s="47">
        <f>EOMONTH(Table2[[#This Row],[OrderDate]],-1)+1</f>
        <v>45627</v>
      </c>
      <c r="D398" s="45">
        <f>EOMONTH(_xlfn.MINIFS(B398:B1028,M398:M1028,Table2[[#This Row],[Country]]), -1) + 1</f>
        <v>44986</v>
      </c>
      <c r="E398" s="47"/>
      <c r="F398" s="32" t="str">
        <f>"Q"&amp;ROUNDUP(MONTH(B398)/3,0)&amp;"-"&amp;YEAR(B398)</f>
        <v>Q4-2024</v>
      </c>
      <c r="G398" s="32">
        <v>45646</v>
      </c>
      <c r="H398" s="32">
        <f>IF(G398&lt;B398, B398+3, G398)</f>
        <v>45646</v>
      </c>
      <c r="I398" s="33">
        <f>H398-B398</f>
        <v>8</v>
      </c>
      <c r="J398" s="33">
        <f t="shared" si="36"/>
        <v>0</v>
      </c>
      <c r="K398" s="33">
        <f t="shared" si="37"/>
        <v>0</v>
      </c>
      <c r="L398" s="34" t="s">
        <v>647</v>
      </c>
      <c r="M398" s="34" t="s">
        <v>652</v>
      </c>
      <c r="N398" s="34" t="s">
        <v>689</v>
      </c>
      <c r="O398" s="34" t="s">
        <v>701</v>
      </c>
      <c r="P398" s="34" t="s">
        <v>707</v>
      </c>
      <c r="Q398" s="34" t="s">
        <v>717</v>
      </c>
      <c r="R398" s="34" t="s">
        <v>731</v>
      </c>
      <c r="S398" s="34" t="s">
        <v>1130</v>
      </c>
      <c r="T398" s="35">
        <v>1202.47</v>
      </c>
      <c r="U398" s="35">
        <v>1444.72</v>
      </c>
      <c r="V398" s="35">
        <f t="shared" si="38"/>
        <v>0.24099999999999999</v>
      </c>
      <c r="W398" s="35">
        <v>0.24099999999999999</v>
      </c>
      <c r="X398" s="33">
        <f>IF(Table2[[#This Row],[DiscountPct]]&gt;0.2,1,0)</f>
        <v>1</v>
      </c>
      <c r="Y398" s="33">
        <v>17</v>
      </c>
      <c r="Z398" s="30">
        <f>Table2[[#This Row],[UnitPrice]]*Y398*(1-V398)</f>
        <v>18641.222160000001</v>
      </c>
      <c r="AA398" s="31">
        <f>T398*Y398</f>
        <v>20441.990000000002</v>
      </c>
      <c r="AB398" s="31">
        <f t="shared" si="39"/>
        <v>-1800.7678400000004</v>
      </c>
      <c r="AC398" s="31">
        <f t="shared" si="40"/>
        <v>-9.6601382921343834E-2</v>
      </c>
      <c r="AD398" s="31" t="e">
        <f>_xlfn.PERCENTILE.INC(S:S, 0.33)</f>
        <v>#NUM!</v>
      </c>
      <c r="AE398" s="31" t="e">
        <f>_xlfn.PERCENTILE.INC(S:S, 0.66)</f>
        <v>#NUM!</v>
      </c>
      <c r="AF398" s="30" t="e">
        <f t="shared" si="41"/>
        <v>#NUM!</v>
      </c>
    </row>
    <row r="399" spans="1:32" x14ac:dyDescent="0.3">
      <c r="A399" s="2" t="s">
        <v>412</v>
      </c>
      <c r="B399" s="4">
        <v>45914</v>
      </c>
      <c r="C399" s="46">
        <f>EOMONTH(Table2[[#This Row],[OrderDate]],-1)+1</f>
        <v>45901</v>
      </c>
      <c r="D399" s="45">
        <f>EOMONTH(_xlfn.MINIFS(B399:B1029,M399:M1029,Table2[[#This Row],[Country]]), -1) + 1</f>
        <v>44927</v>
      </c>
      <c r="E399" s="46"/>
      <c r="F399" s="4" t="str">
        <f>"Q"&amp;ROUNDUP(MONTH(B399)/3,0)&amp;"-"&amp;YEAR(B399)</f>
        <v>Q3-2025</v>
      </c>
      <c r="G399" s="4">
        <v>45923</v>
      </c>
      <c r="H399" s="4">
        <f>IF(G399&lt;B399, B399+3, G399)</f>
        <v>45923</v>
      </c>
      <c r="I399" s="10">
        <f>H399-B399</f>
        <v>9</v>
      </c>
      <c r="J399" s="10">
        <f t="shared" si="36"/>
        <v>0</v>
      </c>
      <c r="K399" s="10">
        <f t="shared" si="37"/>
        <v>0</v>
      </c>
      <c r="L399" s="6" t="s">
        <v>646</v>
      </c>
      <c r="M399" s="6" t="s">
        <v>661</v>
      </c>
      <c r="N399" s="6" t="s">
        <v>687</v>
      </c>
      <c r="O399" s="6" t="s">
        <v>703</v>
      </c>
      <c r="P399" s="6" t="s">
        <v>708</v>
      </c>
      <c r="Q399" s="6" t="s">
        <v>726</v>
      </c>
      <c r="R399" s="6" t="s">
        <v>727</v>
      </c>
      <c r="S399" s="6" t="s">
        <v>1131</v>
      </c>
      <c r="T399" s="8">
        <v>1310.3</v>
      </c>
      <c r="U399" s="8">
        <v>2875.8</v>
      </c>
      <c r="V399" s="8">
        <f t="shared" si="38"/>
        <v>8.3000000000000004E-2</v>
      </c>
      <c r="W399" s="8">
        <v>8.3000000000000004E-2</v>
      </c>
      <c r="X399" s="10">
        <f>IF(Table2[[#This Row],[DiscountPct]]&gt;0.2,1,0)</f>
        <v>0</v>
      </c>
      <c r="Y399" s="10">
        <v>5</v>
      </c>
      <c r="Z399" s="30">
        <f>Table2[[#This Row],[UnitPrice]]*Y399*(1-V399)</f>
        <v>13185.543</v>
      </c>
      <c r="AA399" s="2">
        <f>T399*Y399</f>
        <v>6551.5</v>
      </c>
      <c r="AB399" s="2">
        <f t="shared" si="39"/>
        <v>6634.0429999999997</v>
      </c>
      <c r="AC399" s="2">
        <f t="shared" si="40"/>
        <v>0.50313005691157353</v>
      </c>
      <c r="AD399" s="2" t="e">
        <f>_xlfn.PERCENTILE.INC(S:S, 0.33)</f>
        <v>#NUM!</v>
      </c>
      <c r="AE399" s="2" t="e">
        <f>_xlfn.PERCENTILE.INC(S:S, 0.66)</f>
        <v>#NUM!</v>
      </c>
      <c r="AF399" s="30" t="e">
        <f t="shared" si="41"/>
        <v>#NUM!</v>
      </c>
    </row>
    <row r="400" spans="1:32" x14ac:dyDescent="0.3">
      <c r="A400" s="31" t="s">
        <v>413</v>
      </c>
      <c r="B400" s="32">
        <v>45541</v>
      </c>
      <c r="C400" s="47">
        <f>EOMONTH(Table2[[#This Row],[OrderDate]],-1)+1</f>
        <v>45536</v>
      </c>
      <c r="D400" s="45">
        <f>EOMONTH(_xlfn.MINIFS(B400:B1030,M400:M1030,Table2[[#This Row],[Country]]), -1) + 1</f>
        <v>44927</v>
      </c>
      <c r="E400" s="47"/>
      <c r="F400" s="32" t="str">
        <f>"Q"&amp;ROUNDUP(MONTH(B400)/3,0)&amp;"-"&amp;YEAR(B400)</f>
        <v>Q3-2024</v>
      </c>
      <c r="G400" s="32">
        <v>45569</v>
      </c>
      <c r="H400" s="32">
        <f>IF(G400&lt;B400, B400+3, G400)</f>
        <v>45569</v>
      </c>
      <c r="I400" s="33">
        <f>H400-B400</f>
        <v>28</v>
      </c>
      <c r="J400" s="33">
        <f t="shared" si="36"/>
        <v>0</v>
      </c>
      <c r="K400" s="33">
        <f t="shared" si="37"/>
        <v>0</v>
      </c>
      <c r="L400" s="34" t="s">
        <v>646</v>
      </c>
      <c r="M400" s="34" t="s">
        <v>661</v>
      </c>
      <c r="N400" s="34" t="s">
        <v>695</v>
      </c>
      <c r="O400" s="34" t="s">
        <v>701</v>
      </c>
      <c r="P400" s="34" t="s">
        <v>709</v>
      </c>
      <c r="Q400" s="34" t="s">
        <v>726</v>
      </c>
      <c r="R400" s="34" t="s">
        <v>732</v>
      </c>
      <c r="S400" s="34" t="s">
        <v>1132</v>
      </c>
      <c r="T400" s="35">
        <v>1174.17</v>
      </c>
      <c r="U400" s="35">
        <v>1641.61</v>
      </c>
      <c r="V400" s="35">
        <f t="shared" si="38"/>
        <v>0.122</v>
      </c>
      <c r="W400" s="35">
        <v>0.122</v>
      </c>
      <c r="X400" s="33">
        <f>IF(Table2[[#This Row],[DiscountPct]]&gt;0.2,1,0)</f>
        <v>0</v>
      </c>
      <c r="Y400" s="33">
        <v>9</v>
      </c>
      <c r="Z400" s="30">
        <f>Table2[[#This Row],[UnitPrice]]*Y400*(1-V400)</f>
        <v>12972.00222</v>
      </c>
      <c r="AA400" s="31">
        <f>T400*Y400</f>
        <v>10567.53</v>
      </c>
      <c r="AB400" s="31">
        <f t="shared" si="39"/>
        <v>2404.4722199999997</v>
      </c>
      <c r="AC400" s="31">
        <f t="shared" si="40"/>
        <v>0.18535860380079394</v>
      </c>
      <c r="AD400" s="31" t="e">
        <f>_xlfn.PERCENTILE.INC(S:S, 0.33)</f>
        <v>#NUM!</v>
      </c>
      <c r="AE400" s="31" t="e">
        <f>_xlfn.PERCENTILE.INC(S:S, 0.66)</f>
        <v>#NUM!</v>
      </c>
      <c r="AF400" s="30" t="e">
        <f t="shared" si="41"/>
        <v>#NUM!</v>
      </c>
    </row>
    <row r="401" spans="1:32" x14ac:dyDescent="0.3">
      <c r="A401" s="2" t="s">
        <v>414</v>
      </c>
      <c r="B401" s="4">
        <v>45759</v>
      </c>
      <c r="C401" s="46">
        <f>EOMONTH(Table2[[#This Row],[OrderDate]],-1)+1</f>
        <v>45748</v>
      </c>
      <c r="D401" s="45">
        <f>EOMONTH(_xlfn.MINIFS(B401:B1031,M401:M1031,Table2[[#This Row],[Country]]), -1) + 1</f>
        <v>44958</v>
      </c>
      <c r="E401" s="46"/>
      <c r="F401" s="4" t="str">
        <f>"Q"&amp;ROUNDUP(MONTH(B401)/3,0)&amp;"-"&amp;YEAR(B401)</f>
        <v>Q2-2025</v>
      </c>
      <c r="G401" s="4">
        <v>45777</v>
      </c>
      <c r="H401" s="4">
        <f>IF(G401&lt;B401, B401+3, G401)</f>
        <v>45777</v>
      </c>
      <c r="I401" s="10">
        <f>H401-B401</f>
        <v>18</v>
      </c>
      <c r="J401" s="10">
        <f t="shared" si="36"/>
        <v>0</v>
      </c>
      <c r="K401" s="10">
        <f t="shared" si="37"/>
        <v>0</v>
      </c>
      <c r="L401" s="6" t="s">
        <v>646</v>
      </c>
      <c r="M401" s="6" t="s">
        <v>650</v>
      </c>
      <c r="N401" s="6" t="s">
        <v>662</v>
      </c>
      <c r="O401" s="6" t="s">
        <v>701</v>
      </c>
      <c r="P401" s="6" t="s">
        <v>709</v>
      </c>
      <c r="Q401" s="6" t="s">
        <v>721</v>
      </c>
      <c r="R401" s="6" t="s">
        <v>729</v>
      </c>
      <c r="S401" s="6" t="s">
        <v>1133</v>
      </c>
      <c r="T401" s="8">
        <v>1119.04</v>
      </c>
      <c r="U401" s="8">
        <v>1299.02</v>
      </c>
      <c r="V401" s="8">
        <f t="shared" si="38"/>
        <v>2.5000000000000001E-2</v>
      </c>
      <c r="W401" s="8">
        <v>2.5000000000000001E-2</v>
      </c>
      <c r="X401" s="10">
        <f>IF(Table2[[#This Row],[DiscountPct]]&gt;0.2,1,0)</f>
        <v>0</v>
      </c>
      <c r="Y401" s="10">
        <v>14</v>
      </c>
      <c r="Z401" s="30">
        <f>Table2[[#This Row],[UnitPrice]]*Y401*(1-V401)</f>
        <v>17731.623</v>
      </c>
      <c r="AA401" s="2">
        <f>T401*Y401</f>
        <v>15666.56</v>
      </c>
      <c r="AB401" s="2">
        <f t="shared" si="39"/>
        <v>2065.0630000000001</v>
      </c>
      <c r="AC401" s="2">
        <f t="shared" si="40"/>
        <v>0.11646215352085933</v>
      </c>
      <c r="AD401" s="2" t="e">
        <f>_xlfn.PERCENTILE.INC(S:S, 0.33)</f>
        <v>#NUM!</v>
      </c>
      <c r="AE401" s="2" t="e">
        <f>_xlfn.PERCENTILE.INC(S:S, 0.66)</f>
        <v>#NUM!</v>
      </c>
      <c r="AF401" s="30" t="e">
        <f t="shared" si="41"/>
        <v>#NUM!</v>
      </c>
    </row>
    <row r="402" spans="1:32" x14ac:dyDescent="0.3">
      <c r="A402" s="31" t="s">
        <v>415</v>
      </c>
      <c r="B402" s="32">
        <v>45516</v>
      </c>
      <c r="C402" s="47">
        <f>EOMONTH(Table2[[#This Row],[OrderDate]],-1)+1</f>
        <v>45505</v>
      </c>
      <c r="D402" s="45">
        <f>EOMONTH(_xlfn.MINIFS(B402:B1032,M402:M1032,Table2[[#This Row],[Country]]), -1) + 1</f>
        <v>44958</v>
      </c>
      <c r="E402" s="47"/>
      <c r="F402" s="32" t="str">
        <f>"Q"&amp;ROUNDUP(MONTH(B402)/3,0)&amp;"-"&amp;YEAR(B402)</f>
        <v>Q3-2024</v>
      </c>
      <c r="G402" s="32">
        <v>45519</v>
      </c>
      <c r="H402" s="32">
        <f>IF(G402&lt;B402, B402+3, G402)</f>
        <v>45519</v>
      </c>
      <c r="I402" s="33">
        <f>H402-B402</f>
        <v>3</v>
      </c>
      <c r="J402" s="33">
        <f t="shared" si="36"/>
        <v>1</v>
      </c>
      <c r="K402" s="33">
        <f t="shared" si="37"/>
        <v>1</v>
      </c>
      <c r="L402" s="34" t="s">
        <v>648</v>
      </c>
      <c r="M402" s="34" t="s">
        <v>660</v>
      </c>
      <c r="N402" s="34" t="s">
        <v>677</v>
      </c>
      <c r="O402" s="34" t="s">
        <v>701</v>
      </c>
      <c r="P402" s="34" t="s">
        <v>709</v>
      </c>
      <c r="Q402" s="34" t="s">
        <v>726</v>
      </c>
      <c r="R402" s="34" t="s">
        <v>728</v>
      </c>
      <c r="S402" s="34" t="s">
        <v>1134</v>
      </c>
      <c r="T402" s="35">
        <v>850.7</v>
      </c>
      <c r="U402" s="35">
        <v>1118.56</v>
      </c>
      <c r="V402" s="35">
        <f t="shared" si="38"/>
        <v>0.18</v>
      </c>
      <c r="W402" s="35">
        <v>0.18</v>
      </c>
      <c r="X402" s="33">
        <f>IF(Table2[[#This Row],[DiscountPct]]&gt;0.2,1,0)</f>
        <v>0</v>
      </c>
      <c r="Y402" s="33">
        <v>19</v>
      </c>
      <c r="Z402" s="30">
        <f>Table2[[#This Row],[UnitPrice]]*Y402*(1-V402)</f>
        <v>17427.164800000002</v>
      </c>
      <c r="AA402" s="31">
        <f>T402*Y402</f>
        <v>16163.300000000001</v>
      </c>
      <c r="AB402" s="31">
        <f t="shared" si="39"/>
        <v>1263.8648000000012</v>
      </c>
      <c r="AC402" s="31">
        <f t="shared" si="40"/>
        <v>7.2522685962090688E-2</v>
      </c>
      <c r="AD402" s="31" t="e">
        <f>_xlfn.PERCENTILE.INC(S:S, 0.33)</f>
        <v>#NUM!</v>
      </c>
      <c r="AE402" s="31" t="e">
        <f>_xlfn.PERCENTILE.INC(S:S, 0.66)</f>
        <v>#NUM!</v>
      </c>
      <c r="AF402" s="30" t="e">
        <f t="shared" si="41"/>
        <v>#NUM!</v>
      </c>
    </row>
    <row r="403" spans="1:32" x14ac:dyDescent="0.3">
      <c r="A403" s="2" t="s">
        <v>416</v>
      </c>
      <c r="B403" s="4">
        <v>45601</v>
      </c>
      <c r="C403" s="46">
        <f>EOMONTH(Table2[[#This Row],[OrderDate]],-1)+1</f>
        <v>45597</v>
      </c>
      <c r="D403" s="45">
        <f>EOMONTH(_xlfn.MINIFS(B403:B1033,M403:M1033,Table2[[#This Row],[Country]]), -1) + 1</f>
        <v>45017</v>
      </c>
      <c r="E403" s="46"/>
      <c r="F403" s="4" t="str">
        <f>"Q"&amp;ROUNDUP(MONTH(B403)/3,0)&amp;"-"&amp;YEAR(B403)</f>
        <v>Q4-2024</v>
      </c>
      <c r="G403" s="4">
        <v>45604</v>
      </c>
      <c r="H403" s="4">
        <f>IF(G403&lt;B403, B403+3, G403)</f>
        <v>45604</v>
      </c>
      <c r="I403" s="10">
        <f>H403-B403</f>
        <v>3</v>
      </c>
      <c r="J403" s="10">
        <f t="shared" si="36"/>
        <v>1</v>
      </c>
      <c r="K403" s="10">
        <f t="shared" si="37"/>
        <v>1</v>
      </c>
      <c r="L403" s="6" t="s">
        <v>648</v>
      </c>
      <c r="M403" s="6" t="s">
        <v>653</v>
      </c>
      <c r="N403" s="6" t="s">
        <v>667</v>
      </c>
      <c r="O403" s="6" t="s">
        <v>702</v>
      </c>
      <c r="P403" s="6" t="s">
        <v>709</v>
      </c>
      <c r="Q403" s="6" t="s">
        <v>719</v>
      </c>
      <c r="R403" s="6" t="s">
        <v>727</v>
      </c>
      <c r="S403" s="6" t="s">
        <v>1135</v>
      </c>
      <c r="T403" s="8">
        <v>1020.4</v>
      </c>
      <c r="U403" s="8">
        <v>1184.71</v>
      </c>
      <c r="V403" s="8">
        <f t="shared" si="38"/>
        <v>0.106</v>
      </c>
      <c r="W403" s="8">
        <v>0.106</v>
      </c>
      <c r="X403" s="10">
        <f>IF(Table2[[#This Row],[DiscountPct]]&gt;0.2,1,0)</f>
        <v>0</v>
      </c>
      <c r="Y403" s="10">
        <v>16</v>
      </c>
      <c r="Z403" s="30">
        <f>Table2[[#This Row],[UnitPrice]]*Y403*(1-V403)</f>
        <v>16946.091840000001</v>
      </c>
      <c r="AA403" s="2">
        <f>T403*Y403</f>
        <v>16326.4</v>
      </c>
      <c r="AB403" s="2">
        <f t="shared" si="39"/>
        <v>619.69184000000132</v>
      </c>
      <c r="AC403" s="2">
        <f t="shared" si="40"/>
        <v>3.6568422138328345E-2</v>
      </c>
      <c r="AD403" s="2" t="e">
        <f>_xlfn.PERCENTILE.INC(S:S, 0.33)</f>
        <v>#NUM!</v>
      </c>
      <c r="AE403" s="2" t="e">
        <f>_xlfn.PERCENTILE.INC(S:S, 0.66)</f>
        <v>#NUM!</v>
      </c>
      <c r="AF403" s="30" t="e">
        <f t="shared" si="41"/>
        <v>#NUM!</v>
      </c>
    </row>
    <row r="404" spans="1:32" x14ac:dyDescent="0.3">
      <c r="A404" s="31" t="s">
        <v>417</v>
      </c>
      <c r="B404" s="32">
        <v>45497</v>
      </c>
      <c r="C404" s="47">
        <f>EOMONTH(Table2[[#This Row],[OrderDate]],-1)+1</f>
        <v>45474</v>
      </c>
      <c r="D404" s="45">
        <f>EOMONTH(_xlfn.MINIFS(B404:B1034,M404:M1034,Table2[[#This Row],[Country]]), -1) + 1</f>
        <v>45017</v>
      </c>
      <c r="E404" s="47"/>
      <c r="F404" s="32" t="str">
        <f>"Q"&amp;ROUNDUP(MONTH(B404)/3,0)&amp;"-"&amp;YEAR(B404)</f>
        <v>Q3-2024</v>
      </c>
      <c r="G404" s="32">
        <v>45512</v>
      </c>
      <c r="H404" s="32">
        <f>IF(G404&lt;B404, B404+3, G404)</f>
        <v>45512</v>
      </c>
      <c r="I404" s="33">
        <f>H404-B404</f>
        <v>15</v>
      </c>
      <c r="J404" s="33">
        <f t="shared" si="36"/>
        <v>0</v>
      </c>
      <c r="K404" s="33">
        <f t="shared" si="37"/>
        <v>0</v>
      </c>
      <c r="L404" s="34" t="s">
        <v>649</v>
      </c>
      <c r="M404" s="34" t="s">
        <v>657</v>
      </c>
      <c r="N404" s="34" t="s">
        <v>673</v>
      </c>
      <c r="O404" s="34" t="s">
        <v>706</v>
      </c>
      <c r="P404" s="34" t="s">
        <v>709</v>
      </c>
      <c r="Q404" s="34" t="s">
        <v>722</v>
      </c>
      <c r="R404" s="34" t="s">
        <v>731</v>
      </c>
      <c r="S404" s="34" t="s">
        <v>1136</v>
      </c>
      <c r="T404" s="35">
        <v>501.5</v>
      </c>
      <c r="U404" s="35">
        <v>1201.47</v>
      </c>
      <c r="V404" s="35">
        <f t="shared" si="38"/>
        <v>0.126</v>
      </c>
      <c r="W404" s="35">
        <v>0.126</v>
      </c>
      <c r="X404" s="33">
        <f>IF(Table2[[#This Row],[DiscountPct]]&gt;0.2,1,0)</f>
        <v>0</v>
      </c>
      <c r="Y404" s="33">
        <v>5</v>
      </c>
      <c r="Z404" s="30">
        <f>Table2[[#This Row],[UnitPrice]]*Y404*(1-V404)</f>
        <v>5250.4239000000007</v>
      </c>
      <c r="AA404" s="31">
        <f>T404*Y404</f>
        <v>2507.5</v>
      </c>
      <c r="AB404" s="31">
        <f t="shared" si="39"/>
        <v>2742.9239000000007</v>
      </c>
      <c r="AC404" s="31">
        <f t="shared" si="40"/>
        <v>0.52241951359394057</v>
      </c>
      <c r="AD404" s="31" t="e">
        <f>_xlfn.PERCENTILE.INC(S:S, 0.33)</f>
        <v>#NUM!</v>
      </c>
      <c r="AE404" s="31" t="e">
        <f>_xlfn.PERCENTILE.INC(S:S, 0.66)</f>
        <v>#NUM!</v>
      </c>
      <c r="AF404" s="30" t="e">
        <f t="shared" si="41"/>
        <v>#NUM!</v>
      </c>
    </row>
    <row r="405" spans="1:32" x14ac:dyDescent="0.3">
      <c r="A405" s="2" t="s">
        <v>418</v>
      </c>
      <c r="B405" s="4">
        <v>45677</v>
      </c>
      <c r="C405" s="46">
        <f>EOMONTH(Table2[[#This Row],[OrderDate]],-1)+1</f>
        <v>45658</v>
      </c>
      <c r="D405" s="45">
        <f>EOMONTH(_xlfn.MINIFS(B405:B1035,M405:M1035,Table2[[#This Row],[Country]]), -1) + 1</f>
        <v>44927</v>
      </c>
      <c r="E405" s="46"/>
      <c r="F405" s="4" t="str">
        <f>"Q"&amp;ROUNDUP(MONTH(B405)/3,0)&amp;"-"&amp;YEAR(B405)</f>
        <v>Q1-2025</v>
      </c>
      <c r="G405" s="4">
        <v>45691</v>
      </c>
      <c r="H405" s="4">
        <f>IF(G405&lt;B405, B405+3, G405)</f>
        <v>45691</v>
      </c>
      <c r="I405" s="10">
        <f>H405-B405</f>
        <v>14</v>
      </c>
      <c r="J405" s="10">
        <f t="shared" si="36"/>
        <v>0</v>
      </c>
      <c r="K405" s="10">
        <f t="shared" si="37"/>
        <v>0</v>
      </c>
      <c r="L405" s="6" t="s">
        <v>648</v>
      </c>
      <c r="M405" s="6" t="s">
        <v>655</v>
      </c>
      <c r="N405" s="6" t="s">
        <v>672</v>
      </c>
      <c r="O405" s="6" t="s">
        <v>706</v>
      </c>
      <c r="P405" s="6" t="s">
        <v>709</v>
      </c>
      <c r="Q405" s="6" t="s">
        <v>721</v>
      </c>
      <c r="R405" s="6" t="s">
        <v>727</v>
      </c>
      <c r="S405" s="6" t="s">
        <v>1137</v>
      </c>
      <c r="T405" s="8">
        <v>974.11</v>
      </c>
      <c r="U405" s="8">
        <v>880.99</v>
      </c>
      <c r="V405" s="8">
        <f t="shared" si="38"/>
        <v>0.111</v>
      </c>
      <c r="W405" s="8">
        <v>0.111</v>
      </c>
      <c r="X405" s="10">
        <f>IF(Table2[[#This Row],[DiscountPct]]&gt;0.2,1,0)</f>
        <v>0</v>
      </c>
      <c r="Y405" s="10">
        <v>10</v>
      </c>
      <c r="Z405" s="30">
        <f>Table2[[#This Row],[UnitPrice]]*Y405*(1-V405)</f>
        <v>7832.0010999999995</v>
      </c>
      <c r="AA405" s="2">
        <f>T405*Y405</f>
        <v>9741.1</v>
      </c>
      <c r="AB405" s="2">
        <f t="shared" si="39"/>
        <v>-1909.0989000000009</v>
      </c>
      <c r="AC405" s="2">
        <f t="shared" si="40"/>
        <v>-0.2437562093805121</v>
      </c>
      <c r="AD405" s="2" t="e">
        <f>_xlfn.PERCENTILE.INC(S:S, 0.33)</f>
        <v>#NUM!</v>
      </c>
      <c r="AE405" s="2" t="e">
        <f>_xlfn.PERCENTILE.INC(S:S, 0.66)</f>
        <v>#NUM!</v>
      </c>
      <c r="AF405" s="30" t="e">
        <f t="shared" si="41"/>
        <v>#NUM!</v>
      </c>
    </row>
    <row r="406" spans="1:32" x14ac:dyDescent="0.3">
      <c r="A406" s="31" t="s">
        <v>419</v>
      </c>
      <c r="B406" s="32">
        <v>44991</v>
      </c>
      <c r="C406" s="47">
        <f>EOMONTH(Table2[[#This Row],[OrderDate]],-1)+1</f>
        <v>44986</v>
      </c>
      <c r="D406" s="45">
        <f>EOMONTH(_xlfn.MINIFS(B406:B1036,M406:M1036,Table2[[#This Row],[Country]]), -1) + 1</f>
        <v>44927</v>
      </c>
      <c r="E406" s="47"/>
      <c r="F406" s="32" t="str">
        <f>"Q"&amp;ROUNDUP(MONTH(B406)/3,0)&amp;"-"&amp;YEAR(B406)</f>
        <v>Q1-2023</v>
      </c>
      <c r="G406" s="32">
        <v>45020</v>
      </c>
      <c r="H406" s="32">
        <f>IF(G406&lt;B406, B406+3, G406)</f>
        <v>45020</v>
      </c>
      <c r="I406" s="33">
        <f>H406-B406</f>
        <v>29</v>
      </c>
      <c r="J406" s="33">
        <f t="shared" si="36"/>
        <v>0</v>
      </c>
      <c r="K406" s="33">
        <f t="shared" si="37"/>
        <v>0</v>
      </c>
      <c r="L406" s="34" t="s">
        <v>647</v>
      </c>
      <c r="M406" s="34" t="s">
        <v>659</v>
      </c>
      <c r="N406" s="34" t="s">
        <v>699</v>
      </c>
      <c r="O406" s="34" t="s">
        <v>705</v>
      </c>
      <c r="P406" s="34" t="s">
        <v>711</v>
      </c>
      <c r="Q406" s="34" t="s">
        <v>712</v>
      </c>
      <c r="R406" s="34" t="s">
        <v>732</v>
      </c>
      <c r="S406" s="34" t="s">
        <v>1138</v>
      </c>
      <c r="T406" s="35">
        <v>1126.29</v>
      </c>
      <c r="U406" s="35">
        <v>2050.87</v>
      </c>
      <c r="V406" s="35">
        <f t="shared" si="38"/>
        <v>6.4000000000000001E-2</v>
      </c>
      <c r="W406" s="35">
        <v>6.4000000000000001E-2</v>
      </c>
      <c r="X406" s="33">
        <f>IF(Table2[[#This Row],[DiscountPct]]&gt;0.2,1,0)</f>
        <v>0</v>
      </c>
      <c r="Y406" s="33">
        <v>7</v>
      </c>
      <c r="Z406" s="30">
        <f>Table2[[#This Row],[UnitPrice]]*Y406*(1-V406)</f>
        <v>13437.300239999999</v>
      </c>
      <c r="AA406" s="31">
        <f>T406*Y406</f>
        <v>7884.03</v>
      </c>
      <c r="AB406" s="31">
        <f t="shared" si="39"/>
        <v>5553.2702399999989</v>
      </c>
      <c r="AC406" s="31">
        <f t="shared" si="40"/>
        <v>0.41327276616690373</v>
      </c>
      <c r="AD406" s="31" t="e">
        <f>_xlfn.PERCENTILE.INC(S:S, 0.33)</f>
        <v>#NUM!</v>
      </c>
      <c r="AE406" s="31" t="e">
        <f>_xlfn.PERCENTILE.INC(S:S, 0.66)</f>
        <v>#NUM!</v>
      </c>
      <c r="AF406" s="30" t="e">
        <f t="shared" si="41"/>
        <v>#NUM!</v>
      </c>
    </row>
    <row r="407" spans="1:32" x14ac:dyDescent="0.3">
      <c r="A407" s="2" t="s">
        <v>420</v>
      </c>
      <c r="B407" s="4">
        <v>45646</v>
      </c>
      <c r="C407" s="46">
        <f>EOMONTH(Table2[[#This Row],[OrderDate]],-1)+1</f>
        <v>45627</v>
      </c>
      <c r="D407" s="45">
        <f>EOMONTH(_xlfn.MINIFS(B407:B1037,M407:M1037,Table2[[#This Row],[Country]]), -1) + 1</f>
        <v>45047</v>
      </c>
      <c r="E407" s="46"/>
      <c r="F407" s="4" t="str">
        <f>"Q"&amp;ROUNDUP(MONTH(B407)/3,0)&amp;"-"&amp;YEAR(B407)</f>
        <v>Q4-2024</v>
      </c>
      <c r="G407" s="4">
        <v>45671</v>
      </c>
      <c r="H407" s="4">
        <f>IF(G407&lt;B407, B407+3, G407)</f>
        <v>45671</v>
      </c>
      <c r="I407" s="10">
        <f>H407-B407</f>
        <v>25</v>
      </c>
      <c r="J407" s="10">
        <f t="shared" si="36"/>
        <v>0</v>
      </c>
      <c r="K407" s="10">
        <f t="shared" si="37"/>
        <v>0</v>
      </c>
      <c r="L407" s="6" t="s">
        <v>647</v>
      </c>
      <c r="M407" s="6" t="s">
        <v>654</v>
      </c>
      <c r="N407" s="6" t="s">
        <v>680</v>
      </c>
      <c r="O407" s="6" t="s">
        <v>705</v>
      </c>
      <c r="P407" s="6" t="s">
        <v>707</v>
      </c>
      <c r="Q407" s="6" t="s">
        <v>724</v>
      </c>
      <c r="R407" s="6" t="s">
        <v>728</v>
      </c>
      <c r="S407" s="6" t="s">
        <v>1139</v>
      </c>
      <c r="T407" s="8">
        <v>1361.34</v>
      </c>
      <c r="U407" s="8">
        <v>1737.9</v>
      </c>
      <c r="V407" s="8">
        <f t="shared" si="38"/>
        <v>7.6999999999999999E-2</v>
      </c>
      <c r="W407" s="8">
        <v>7.6999999999999999E-2</v>
      </c>
      <c r="X407" s="10">
        <f>IF(Table2[[#This Row],[DiscountPct]]&gt;0.2,1,0)</f>
        <v>0</v>
      </c>
      <c r="Y407" s="10">
        <v>14</v>
      </c>
      <c r="Z407" s="30">
        <f>Table2[[#This Row],[UnitPrice]]*Y407*(1-V407)</f>
        <v>22457.143800000002</v>
      </c>
      <c r="AA407" s="2">
        <f>T407*Y407</f>
        <v>19058.759999999998</v>
      </c>
      <c r="AB407" s="2">
        <f t="shared" si="39"/>
        <v>3398.3838000000032</v>
      </c>
      <c r="AC407" s="2">
        <f t="shared" si="40"/>
        <v>0.15132751654731813</v>
      </c>
      <c r="AD407" s="2" t="e">
        <f>_xlfn.PERCENTILE.INC(S:S, 0.33)</f>
        <v>#NUM!</v>
      </c>
      <c r="AE407" s="2" t="e">
        <f>_xlfn.PERCENTILE.INC(S:S, 0.66)</f>
        <v>#NUM!</v>
      </c>
      <c r="AF407" s="30" t="e">
        <f t="shared" si="41"/>
        <v>#NUM!</v>
      </c>
    </row>
    <row r="408" spans="1:32" x14ac:dyDescent="0.3">
      <c r="A408" s="31" t="s">
        <v>421</v>
      </c>
      <c r="B408" s="32">
        <v>45709</v>
      </c>
      <c r="C408" s="47">
        <f>EOMONTH(Table2[[#This Row],[OrderDate]],-1)+1</f>
        <v>45689</v>
      </c>
      <c r="D408" s="45">
        <f>EOMONTH(_xlfn.MINIFS(B408:B1038,M408:M1038,Table2[[#This Row],[Country]]), -1) + 1</f>
        <v>44958</v>
      </c>
      <c r="E408" s="47"/>
      <c r="F408" s="32" t="str">
        <f>"Q"&amp;ROUNDUP(MONTH(B408)/3,0)&amp;"-"&amp;YEAR(B408)</f>
        <v>Q1-2025</v>
      </c>
      <c r="G408" s="32">
        <v>45737</v>
      </c>
      <c r="H408" s="32">
        <f>IF(G408&lt;B408, B408+3, G408)</f>
        <v>45737</v>
      </c>
      <c r="I408" s="33">
        <f>H408-B408</f>
        <v>28</v>
      </c>
      <c r="J408" s="33">
        <f t="shared" si="36"/>
        <v>0</v>
      </c>
      <c r="K408" s="33">
        <f t="shared" si="37"/>
        <v>0</v>
      </c>
      <c r="L408" s="34" t="s">
        <v>646</v>
      </c>
      <c r="M408" s="34" t="s">
        <v>651</v>
      </c>
      <c r="N408" s="34" t="s">
        <v>669</v>
      </c>
      <c r="O408" s="34" t="s">
        <v>706</v>
      </c>
      <c r="P408" s="34" t="s">
        <v>709</v>
      </c>
      <c r="Q408" s="34" t="s">
        <v>714</v>
      </c>
      <c r="R408" s="34" t="s">
        <v>730</v>
      </c>
      <c r="S408" s="34" t="s">
        <v>1140</v>
      </c>
      <c r="T408" s="35">
        <v>1437.39</v>
      </c>
      <c r="U408" s="35">
        <v>1388.31</v>
      </c>
      <c r="V408" s="35">
        <f t="shared" si="38"/>
        <v>0.13800000000000001</v>
      </c>
      <c r="W408" s="35">
        <v>0.13800000000000001</v>
      </c>
      <c r="X408" s="33">
        <f>IF(Table2[[#This Row],[DiscountPct]]&gt;0.2,1,0)</f>
        <v>0</v>
      </c>
      <c r="Y408" s="33">
        <v>18</v>
      </c>
      <c r="Z408" s="30">
        <f>Table2[[#This Row],[UnitPrice]]*Y408*(1-V408)</f>
        <v>21541.017959999997</v>
      </c>
      <c r="AA408" s="31">
        <f>T408*Y408</f>
        <v>25873.02</v>
      </c>
      <c r="AB408" s="31">
        <f t="shared" si="39"/>
        <v>-4332.002040000003</v>
      </c>
      <c r="AC408" s="31">
        <f t="shared" si="40"/>
        <v>-0.20110479681341872</v>
      </c>
      <c r="AD408" s="31" t="e">
        <f>_xlfn.PERCENTILE.INC(S:S, 0.33)</f>
        <v>#NUM!</v>
      </c>
      <c r="AE408" s="31" t="e">
        <f>_xlfn.PERCENTILE.INC(S:S, 0.66)</f>
        <v>#NUM!</v>
      </c>
      <c r="AF408" s="30" t="e">
        <f t="shared" si="41"/>
        <v>#NUM!</v>
      </c>
    </row>
    <row r="409" spans="1:32" x14ac:dyDescent="0.3">
      <c r="A409" s="2" t="s">
        <v>422</v>
      </c>
      <c r="B409" s="4">
        <v>45724</v>
      </c>
      <c r="C409" s="46">
        <f>EOMONTH(Table2[[#This Row],[OrderDate]],-1)+1</f>
        <v>45717</v>
      </c>
      <c r="D409" s="45">
        <f>EOMONTH(_xlfn.MINIFS(B409:B1039,M409:M1039,Table2[[#This Row],[Country]]), -1) + 1</f>
        <v>45047</v>
      </c>
      <c r="E409" s="46"/>
      <c r="F409" s="4" t="str">
        <f>"Q"&amp;ROUNDUP(MONTH(B409)/3,0)&amp;"-"&amp;YEAR(B409)</f>
        <v>Q1-2025</v>
      </c>
      <c r="G409" s="4">
        <v>45731</v>
      </c>
      <c r="H409" s="4">
        <f>IF(G409&lt;B409, B409+3, G409)</f>
        <v>45731</v>
      </c>
      <c r="I409" s="10">
        <f>H409-B409</f>
        <v>7</v>
      </c>
      <c r="J409" s="10">
        <f t="shared" si="36"/>
        <v>1</v>
      </c>
      <c r="K409" s="10">
        <f t="shared" si="37"/>
        <v>1</v>
      </c>
      <c r="L409" s="6" t="s">
        <v>647</v>
      </c>
      <c r="M409" s="6" t="s">
        <v>654</v>
      </c>
      <c r="N409" s="6" t="s">
        <v>668</v>
      </c>
      <c r="O409" s="6" t="s">
        <v>701</v>
      </c>
      <c r="P409" s="6" t="s">
        <v>710</v>
      </c>
      <c r="Q409" s="6" t="s">
        <v>723</v>
      </c>
      <c r="R409" s="6" t="s">
        <v>731</v>
      </c>
      <c r="S409" s="6" t="s">
        <v>1141</v>
      </c>
      <c r="T409" s="8">
        <v>475.66</v>
      </c>
      <c r="U409" s="8">
        <v>529.14</v>
      </c>
      <c r="V409" s="8">
        <f t="shared" si="38"/>
        <v>0.19600000000000001</v>
      </c>
      <c r="W409" s="8">
        <v>0.19600000000000001</v>
      </c>
      <c r="X409" s="10">
        <f>IF(Table2[[#This Row],[DiscountPct]]&gt;0.2,1,0)</f>
        <v>0</v>
      </c>
      <c r="Y409" s="10">
        <v>11</v>
      </c>
      <c r="Z409" s="30">
        <f>Table2[[#This Row],[UnitPrice]]*Y409*(1-V409)</f>
        <v>4679.7141600000004</v>
      </c>
      <c r="AA409" s="2">
        <f>T409*Y409</f>
        <v>5232.26</v>
      </c>
      <c r="AB409" s="2">
        <f t="shared" si="39"/>
        <v>-552.54583999999977</v>
      </c>
      <c r="AC409" s="2">
        <f t="shared" si="40"/>
        <v>-0.11807256193613323</v>
      </c>
      <c r="AD409" s="2" t="e">
        <f>_xlfn.PERCENTILE.INC(S:S, 0.33)</f>
        <v>#NUM!</v>
      </c>
      <c r="AE409" s="2" t="e">
        <f>_xlfn.PERCENTILE.INC(S:S, 0.66)</f>
        <v>#NUM!</v>
      </c>
      <c r="AF409" s="30" t="e">
        <f t="shared" si="41"/>
        <v>#NUM!</v>
      </c>
    </row>
    <row r="410" spans="1:32" x14ac:dyDescent="0.3">
      <c r="A410" s="31" t="s">
        <v>423</v>
      </c>
      <c r="B410" s="32">
        <v>45276</v>
      </c>
      <c r="C410" s="47">
        <f>EOMONTH(Table2[[#This Row],[OrderDate]],-1)+1</f>
        <v>45261</v>
      </c>
      <c r="D410" s="45">
        <f>EOMONTH(_xlfn.MINIFS(B410:B1040,M410:M1040,Table2[[#This Row],[Country]]), -1) + 1</f>
        <v>44927</v>
      </c>
      <c r="E410" s="47"/>
      <c r="F410" s="32" t="str">
        <f>"Q"&amp;ROUNDUP(MONTH(B410)/3,0)&amp;"-"&amp;YEAR(B410)</f>
        <v>Q4-2023</v>
      </c>
      <c r="G410" s="32">
        <v>45279</v>
      </c>
      <c r="H410" s="32">
        <f>IF(G410&lt;B410, B410+3, G410)</f>
        <v>45279</v>
      </c>
      <c r="I410" s="33">
        <f>H410-B410</f>
        <v>3</v>
      </c>
      <c r="J410" s="33">
        <f t="shared" si="36"/>
        <v>1</v>
      </c>
      <c r="K410" s="33">
        <f t="shared" si="37"/>
        <v>1</v>
      </c>
      <c r="L410" s="34" t="s">
        <v>647</v>
      </c>
      <c r="M410" s="34" t="s">
        <v>659</v>
      </c>
      <c r="N410" s="34" t="s">
        <v>699</v>
      </c>
      <c r="O410" s="34" t="s">
        <v>702</v>
      </c>
      <c r="P410" s="34" t="s">
        <v>707</v>
      </c>
      <c r="Q410" s="34" t="s">
        <v>720</v>
      </c>
      <c r="R410" s="34" t="s">
        <v>733</v>
      </c>
      <c r="S410" s="34" t="s">
        <v>1142</v>
      </c>
      <c r="T410" s="35">
        <v>1415.05</v>
      </c>
      <c r="U410" s="35">
        <v>1972.38</v>
      </c>
      <c r="V410" s="35">
        <f t="shared" si="38"/>
        <v>0</v>
      </c>
      <c r="W410" s="35">
        <v>0</v>
      </c>
      <c r="X410" s="33">
        <f>IF(Table2[[#This Row],[DiscountPct]]&gt;0.2,1,0)</f>
        <v>0</v>
      </c>
      <c r="Y410" s="33">
        <v>12</v>
      </c>
      <c r="Z410" s="30">
        <f>Table2[[#This Row],[UnitPrice]]*Y410*(1-V410)</f>
        <v>23668.560000000001</v>
      </c>
      <c r="AA410" s="31">
        <f>T410*Y410</f>
        <v>16980.599999999999</v>
      </c>
      <c r="AB410" s="31">
        <f t="shared" si="39"/>
        <v>6687.9600000000028</v>
      </c>
      <c r="AC410" s="31">
        <f t="shared" si="40"/>
        <v>0.28256725377462771</v>
      </c>
      <c r="AD410" s="31" t="e">
        <f>_xlfn.PERCENTILE.INC(S:S, 0.33)</f>
        <v>#NUM!</v>
      </c>
      <c r="AE410" s="31" t="e">
        <f>_xlfn.PERCENTILE.INC(S:S, 0.66)</f>
        <v>#NUM!</v>
      </c>
      <c r="AF410" s="30" t="e">
        <f t="shared" si="41"/>
        <v>#NUM!</v>
      </c>
    </row>
    <row r="411" spans="1:32" x14ac:dyDescent="0.3">
      <c r="A411" s="2" t="s">
        <v>424</v>
      </c>
      <c r="B411" s="4">
        <v>45534</v>
      </c>
      <c r="C411" s="46">
        <f>EOMONTH(Table2[[#This Row],[OrderDate]],-1)+1</f>
        <v>45505</v>
      </c>
      <c r="D411" s="45">
        <f>EOMONTH(_xlfn.MINIFS(B411:B1041,M411:M1041,Table2[[#This Row],[Country]]), -1) + 1</f>
        <v>44986</v>
      </c>
      <c r="E411" s="46"/>
      <c r="F411" s="4" t="str">
        <f>"Q"&amp;ROUNDUP(MONTH(B411)/3,0)&amp;"-"&amp;YEAR(B411)</f>
        <v>Q3-2024</v>
      </c>
      <c r="G411" s="4">
        <v>45540</v>
      </c>
      <c r="H411" s="4">
        <f>IF(G411&lt;B411, B411+3, G411)</f>
        <v>45540</v>
      </c>
      <c r="I411" s="10">
        <f>H411-B411</f>
        <v>6</v>
      </c>
      <c r="J411" s="10">
        <f t="shared" si="36"/>
        <v>1</v>
      </c>
      <c r="K411" s="10">
        <f t="shared" si="37"/>
        <v>1</v>
      </c>
      <c r="L411" s="6" t="s">
        <v>647</v>
      </c>
      <c r="M411" s="6" t="s">
        <v>652</v>
      </c>
      <c r="N411" s="6" t="s">
        <v>694</v>
      </c>
      <c r="O411" s="6" t="s">
        <v>702</v>
      </c>
      <c r="P411" s="6" t="s">
        <v>708</v>
      </c>
      <c r="Q411" s="6" t="s">
        <v>725</v>
      </c>
      <c r="R411" s="6" t="s">
        <v>731</v>
      </c>
      <c r="S411" s="6" t="s">
        <v>1143</v>
      </c>
      <c r="T411" s="8">
        <v>466.16</v>
      </c>
      <c r="U411" s="8">
        <v>876.81</v>
      </c>
      <c r="V411" s="8">
        <f t="shared" si="38"/>
        <v>0.24099999999999999</v>
      </c>
      <c r="W411" s="8">
        <v>0.24099999999999999</v>
      </c>
      <c r="X411" s="10">
        <f>IF(Table2[[#This Row],[DiscountPct]]&gt;0.2,1,0)</f>
        <v>1</v>
      </c>
      <c r="Y411" s="10">
        <v>8</v>
      </c>
      <c r="Z411" s="30">
        <f>Table2[[#This Row],[UnitPrice]]*Y411*(1-V411)</f>
        <v>5323.9903199999999</v>
      </c>
      <c r="AA411" s="2">
        <f>T411*Y411</f>
        <v>3729.28</v>
      </c>
      <c r="AB411" s="2">
        <f t="shared" si="39"/>
        <v>1594.7103199999997</v>
      </c>
      <c r="AC411" s="2">
        <f t="shared" si="40"/>
        <v>0.29953291124691594</v>
      </c>
      <c r="AD411" s="2" t="e">
        <f>_xlfn.PERCENTILE.INC(S:S, 0.33)</f>
        <v>#NUM!</v>
      </c>
      <c r="AE411" s="2" t="e">
        <f>_xlfn.PERCENTILE.INC(S:S, 0.66)</f>
        <v>#NUM!</v>
      </c>
      <c r="AF411" s="30" t="e">
        <f t="shared" si="41"/>
        <v>#NUM!</v>
      </c>
    </row>
    <row r="412" spans="1:32" x14ac:dyDescent="0.3">
      <c r="A412" s="31" t="s">
        <v>425</v>
      </c>
      <c r="B412" s="32">
        <v>45430</v>
      </c>
      <c r="C412" s="47">
        <f>EOMONTH(Table2[[#This Row],[OrderDate]],-1)+1</f>
        <v>45413</v>
      </c>
      <c r="D412" s="45">
        <f>EOMONTH(_xlfn.MINIFS(B412:B1042,M412:M1042,Table2[[#This Row],[Country]]), -1) + 1</f>
        <v>45017</v>
      </c>
      <c r="E412" s="47"/>
      <c r="F412" s="32" t="str">
        <f>"Q"&amp;ROUNDUP(MONTH(B412)/3,0)&amp;"-"&amp;YEAR(B412)</f>
        <v>Q2-2024</v>
      </c>
      <c r="G412" s="32">
        <v>45433</v>
      </c>
      <c r="H412" s="32">
        <f>IF(G412&lt;B412, B412+3, G412)</f>
        <v>45433</v>
      </c>
      <c r="I412" s="33">
        <f>H412-B412</f>
        <v>3</v>
      </c>
      <c r="J412" s="33">
        <f t="shared" si="36"/>
        <v>1</v>
      </c>
      <c r="K412" s="33">
        <f t="shared" si="37"/>
        <v>1</v>
      </c>
      <c r="L412" s="34" t="s">
        <v>649</v>
      </c>
      <c r="M412" s="34" t="s">
        <v>657</v>
      </c>
      <c r="N412" s="34" t="s">
        <v>673</v>
      </c>
      <c r="O412" s="34" t="s">
        <v>703</v>
      </c>
      <c r="P412" s="34" t="s">
        <v>709</v>
      </c>
      <c r="Q412" s="34" t="s">
        <v>726</v>
      </c>
      <c r="R412" s="34" t="s">
        <v>728</v>
      </c>
      <c r="S412" s="34" t="s">
        <v>1144</v>
      </c>
      <c r="T412" s="35">
        <v>663.66</v>
      </c>
      <c r="U412" s="35">
        <v>824.26</v>
      </c>
      <c r="V412" s="35">
        <f t="shared" si="38"/>
        <v>0.23899999999999999</v>
      </c>
      <c r="W412" s="35">
        <v>0.23899999999999999</v>
      </c>
      <c r="X412" s="33">
        <f>IF(Table2[[#This Row],[DiscountPct]]&gt;0.2,1,0)</f>
        <v>1</v>
      </c>
      <c r="Y412" s="33">
        <v>11</v>
      </c>
      <c r="Z412" s="30">
        <f>Table2[[#This Row],[UnitPrice]]*Y412*(1-V412)</f>
        <v>6899.8804600000003</v>
      </c>
      <c r="AA412" s="31">
        <f>T412*Y412</f>
        <v>7300.2599999999993</v>
      </c>
      <c r="AB412" s="31">
        <f t="shared" si="39"/>
        <v>-400.379539999999</v>
      </c>
      <c r="AC412" s="31">
        <f t="shared" si="40"/>
        <v>-5.8027025587048933E-2</v>
      </c>
      <c r="AD412" s="31" t="e">
        <f>_xlfn.PERCENTILE.INC(S:S, 0.33)</f>
        <v>#NUM!</v>
      </c>
      <c r="AE412" s="31" t="e">
        <f>_xlfn.PERCENTILE.INC(S:S, 0.66)</f>
        <v>#NUM!</v>
      </c>
      <c r="AF412" s="30" t="e">
        <f t="shared" si="41"/>
        <v>#NUM!</v>
      </c>
    </row>
    <row r="413" spans="1:32" x14ac:dyDescent="0.3">
      <c r="A413" s="2" t="s">
        <v>426</v>
      </c>
      <c r="B413" s="4">
        <v>45002</v>
      </c>
      <c r="C413" s="46">
        <f>EOMONTH(Table2[[#This Row],[OrderDate]],-1)+1</f>
        <v>44986</v>
      </c>
      <c r="D413" s="45">
        <f>EOMONTH(_xlfn.MINIFS(B413:B1043,M413:M1043,Table2[[#This Row],[Country]]), -1) + 1</f>
        <v>44927</v>
      </c>
      <c r="E413" s="46"/>
      <c r="F413" s="4" t="str">
        <f>"Q"&amp;ROUNDUP(MONTH(B413)/3,0)&amp;"-"&amp;YEAR(B413)</f>
        <v>Q1-2023</v>
      </c>
      <c r="G413" s="4">
        <v>45022</v>
      </c>
      <c r="H413" s="4">
        <f>IF(G413&lt;B413, B413+3, G413)</f>
        <v>45022</v>
      </c>
      <c r="I413" s="10">
        <f>H413-B413</f>
        <v>20</v>
      </c>
      <c r="J413" s="10">
        <f t="shared" si="36"/>
        <v>0</v>
      </c>
      <c r="K413" s="10">
        <f t="shared" si="37"/>
        <v>0</v>
      </c>
      <c r="L413" s="6" t="s">
        <v>649</v>
      </c>
      <c r="M413" s="6" t="s">
        <v>656</v>
      </c>
      <c r="N413" s="6" t="s">
        <v>684</v>
      </c>
      <c r="O413" s="6" t="s">
        <v>704</v>
      </c>
      <c r="P413" s="6" t="s">
        <v>707</v>
      </c>
      <c r="Q413" s="6" t="s">
        <v>719</v>
      </c>
      <c r="R413" s="6" t="s">
        <v>730</v>
      </c>
      <c r="S413" s="6" t="s">
        <v>1145</v>
      </c>
      <c r="T413" s="8">
        <v>692.18</v>
      </c>
      <c r="U413" s="8">
        <v>1159.3499999999999</v>
      </c>
      <c r="V413" s="8">
        <f t="shared" si="38"/>
        <v>0.112</v>
      </c>
      <c r="W413" s="8">
        <v>0.112</v>
      </c>
      <c r="X413" s="10">
        <f>IF(Table2[[#This Row],[DiscountPct]]&gt;0.2,1,0)</f>
        <v>0</v>
      </c>
      <c r="Y413" s="10">
        <v>2</v>
      </c>
      <c r="Z413" s="30">
        <f>Table2[[#This Row],[UnitPrice]]*Y413*(1-V413)</f>
        <v>2059.0056</v>
      </c>
      <c r="AA413" s="2">
        <f>T413*Y413</f>
        <v>1384.36</v>
      </c>
      <c r="AB413" s="2">
        <f t="shared" si="39"/>
        <v>674.64560000000006</v>
      </c>
      <c r="AC413" s="2">
        <f t="shared" si="40"/>
        <v>0.32765602968734037</v>
      </c>
      <c r="AD413" s="2" t="e">
        <f>_xlfn.PERCENTILE.INC(S:S, 0.33)</f>
        <v>#NUM!</v>
      </c>
      <c r="AE413" s="2" t="e">
        <f>_xlfn.PERCENTILE.INC(S:S, 0.66)</f>
        <v>#NUM!</v>
      </c>
      <c r="AF413" s="30" t="e">
        <f t="shared" si="41"/>
        <v>#NUM!</v>
      </c>
    </row>
    <row r="414" spans="1:32" x14ac:dyDescent="0.3">
      <c r="A414" s="31" t="s">
        <v>427</v>
      </c>
      <c r="B414" s="32">
        <v>45163</v>
      </c>
      <c r="C414" s="47">
        <f>EOMONTH(Table2[[#This Row],[OrderDate]],-1)+1</f>
        <v>45139</v>
      </c>
      <c r="D414" s="45">
        <f>EOMONTH(_xlfn.MINIFS(B414:B1044,M414:M1044,Table2[[#This Row],[Country]]), -1) + 1</f>
        <v>44958</v>
      </c>
      <c r="E414" s="47"/>
      <c r="F414" s="32" t="str">
        <f>"Q"&amp;ROUNDUP(MONTH(B414)/3,0)&amp;"-"&amp;YEAR(B414)</f>
        <v>Q3-2023</v>
      </c>
      <c r="G414" s="32">
        <v>45185</v>
      </c>
      <c r="H414" s="32">
        <f>IF(G414&lt;B414, B414+3, G414)</f>
        <v>45185</v>
      </c>
      <c r="I414" s="33">
        <f>H414-B414</f>
        <v>22</v>
      </c>
      <c r="J414" s="33">
        <f t="shared" si="36"/>
        <v>0</v>
      </c>
      <c r="K414" s="33">
        <f t="shared" si="37"/>
        <v>0</v>
      </c>
      <c r="L414" s="34" t="s">
        <v>646</v>
      </c>
      <c r="M414" s="34" t="s">
        <v>651</v>
      </c>
      <c r="N414" s="34" t="s">
        <v>669</v>
      </c>
      <c r="O414" s="34" t="s">
        <v>701</v>
      </c>
      <c r="P414" s="34" t="s">
        <v>709</v>
      </c>
      <c r="Q414" s="34" t="s">
        <v>716</v>
      </c>
      <c r="R414" s="34" t="s">
        <v>730</v>
      </c>
      <c r="S414" s="34" t="s">
        <v>1146</v>
      </c>
      <c r="T414" s="35">
        <v>1196.83</v>
      </c>
      <c r="U414" s="35">
        <v>2513.5100000000002</v>
      </c>
      <c r="V414" s="35">
        <f t="shared" si="38"/>
        <v>8.3000000000000004E-2</v>
      </c>
      <c r="W414" s="35">
        <v>8.3000000000000004E-2</v>
      </c>
      <c r="X414" s="33">
        <f>IF(Table2[[#This Row],[DiscountPct]]&gt;0.2,1,0)</f>
        <v>0</v>
      </c>
      <c r="Y414" s="33">
        <v>7</v>
      </c>
      <c r="Z414" s="30">
        <f>Table2[[#This Row],[UnitPrice]]*Y414*(1-V414)</f>
        <v>16134.22069</v>
      </c>
      <c r="AA414" s="31">
        <f>T414*Y414</f>
        <v>8377.81</v>
      </c>
      <c r="AB414" s="31">
        <f t="shared" si="39"/>
        <v>7756.4106900000006</v>
      </c>
      <c r="AC414" s="31">
        <f t="shared" si="40"/>
        <v>0.48074281609445374</v>
      </c>
      <c r="AD414" s="31" t="e">
        <f>_xlfn.PERCENTILE.INC(S:S, 0.33)</f>
        <v>#NUM!</v>
      </c>
      <c r="AE414" s="31" t="e">
        <f>_xlfn.PERCENTILE.INC(S:S, 0.66)</f>
        <v>#NUM!</v>
      </c>
      <c r="AF414" s="30" t="e">
        <f t="shared" si="41"/>
        <v>#NUM!</v>
      </c>
    </row>
    <row r="415" spans="1:32" x14ac:dyDescent="0.3">
      <c r="A415" s="2" t="s">
        <v>428</v>
      </c>
      <c r="B415" s="4">
        <v>45449</v>
      </c>
      <c r="C415" s="46">
        <f>EOMONTH(Table2[[#This Row],[OrderDate]],-1)+1</f>
        <v>45444</v>
      </c>
      <c r="D415" s="45">
        <f>EOMONTH(_xlfn.MINIFS(B415:B1045,M415:M1045,Table2[[#This Row],[Country]]), -1) + 1</f>
        <v>45047</v>
      </c>
      <c r="E415" s="46"/>
      <c r="F415" s="4" t="str">
        <f>"Q"&amp;ROUNDUP(MONTH(B415)/3,0)&amp;"-"&amp;YEAR(B415)</f>
        <v>Q2-2024</v>
      </c>
      <c r="G415" s="4">
        <v>45467</v>
      </c>
      <c r="H415" s="4">
        <f>IF(G415&lt;B415, B415+3, G415)</f>
        <v>45467</v>
      </c>
      <c r="I415" s="10">
        <f>H415-B415</f>
        <v>18</v>
      </c>
      <c r="J415" s="10">
        <f t="shared" si="36"/>
        <v>0</v>
      </c>
      <c r="K415" s="10">
        <f t="shared" si="37"/>
        <v>0</v>
      </c>
      <c r="L415" s="6" t="s">
        <v>647</v>
      </c>
      <c r="M415" s="6" t="s">
        <v>654</v>
      </c>
      <c r="N415" s="6" t="s">
        <v>668</v>
      </c>
      <c r="O415" s="6" t="s">
        <v>705</v>
      </c>
      <c r="P415" s="6" t="s">
        <v>711</v>
      </c>
      <c r="Q415" s="6" t="s">
        <v>722</v>
      </c>
      <c r="R415" s="6" t="s">
        <v>729</v>
      </c>
      <c r="S415" s="6" t="s">
        <v>1147</v>
      </c>
      <c r="T415" s="8">
        <v>1253.25</v>
      </c>
      <c r="U415" s="8">
        <v>3087.13</v>
      </c>
      <c r="V415" s="8">
        <f t="shared" si="38"/>
        <v>7.1999999999999995E-2</v>
      </c>
      <c r="W415" s="8">
        <v>7.1999999999999995E-2</v>
      </c>
      <c r="X415" s="10">
        <f>IF(Table2[[#This Row],[DiscountPct]]&gt;0.2,1,0)</f>
        <v>0</v>
      </c>
      <c r="Y415" s="10">
        <v>11</v>
      </c>
      <c r="Z415" s="30">
        <f>Table2[[#This Row],[UnitPrice]]*Y415*(1-V415)</f>
        <v>31513.423040000001</v>
      </c>
      <c r="AA415" s="2">
        <f>T415*Y415</f>
        <v>13785.75</v>
      </c>
      <c r="AB415" s="2">
        <f t="shared" si="39"/>
        <v>17727.673040000001</v>
      </c>
      <c r="AC415" s="2">
        <f t="shared" si="40"/>
        <v>0.562543555408064</v>
      </c>
      <c r="AD415" s="2" t="e">
        <f>_xlfn.PERCENTILE.INC(S:S, 0.33)</f>
        <v>#NUM!</v>
      </c>
      <c r="AE415" s="2" t="e">
        <f>_xlfn.PERCENTILE.INC(S:S, 0.66)</f>
        <v>#NUM!</v>
      </c>
      <c r="AF415" s="30" t="e">
        <f t="shared" si="41"/>
        <v>#NUM!</v>
      </c>
    </row>
    <row r="416" spans="1:32" x14ac:dyDescent="0.3">
      <c r="A416" s="31" t="s">
        <v>429</v>
      </c>
      <c r="B416" s="32">
        <v>45167</v>
      </c>
      <c r="C416" s="47">
        <f>EOMONTH(Table2[[#This Row],[OrderDate]],-1)+1</f>
        <v>45139</v>
      </c>
      <c r="D416" s="45">
        <f>EOMONTH(_xlfn.MINIFS(B416:B1046,M416:M1046,Table2[[#This Row],[Country]]), -1) + 1</f>
        <v>45017</v>
      </c>
      <c r="E416" s="47"/>
      <c r="F416" s="32" t="str">
        <f>"Q"&amp;ROUNDUP(MONTH(B416)/3,0)&amp;"-"&amp;YEAR(B416)</f>
        <v>Q3-2023</v>
      </c>
      <c r="G416" s="32">
        <v>45182</v>
      </c>
      <c r="H416" s="32">
        <f>IF(G416&lt;B416, B416+3, G416)</f>
        <v>45182</v>
      </c>
      <c r="I416" s="33">
        <f>H416-B416</f>
        <v>15</v>
      </c>
      <c r="J416" s="33">
        <f t="shared" si="36"/>
        <v>0</v>
      </c>
      <c r="K416" s="33">
        <f t="shared" si="37"/>
        <v>0</v>
      </c>
      <c r="L416" s="34" t="s">
        <v>648</v>
      </c>
      <c r="M416" s="34" t="s">
        <v>653</v>
      </c>
      <c r="N416" s="34" t="s">
        <v>688</v>
      </c>
      <c r="O416" s="34" t="s">
        <v>705</v>
      </c>
      <c r="P416" s="34" t="s">
        <v>709</v>
      </c>
      <c r="Q416" s="34" t="s">
        <v>719</v>
      </c>
      <c r="R416" s="34" t="s">
        <v>728</v>
      </c>
      <c r="S416" s="34" t="s">
        <v>1148</v>
      </c>
      <c r="T416" s="35">
        <v>1287.6400000000001</v>
      </c>
      <c r="U416" s="35">
        <v>2717.15</v>
      </c>
      <c r="V416" s="35">
        <f t="shared" si="38"/>
        <v>3.2000000000000001E-2</v>
      </c>
      <c r="W416" s="35">
        <v>3.2000000000000001E-2</v>
      </c>
      <c r="X416" s="33">
        <f>IF(Table2[[#This Row],[DiscountPct]]&gt;0.2,1,0)</f>
        <v>0</v>
      </c>
      <c r="Y416" s="33">
        <v>7</v>
      </c>
      <c r="Z416" s="30">
        <f>Table2[[#This Row],[UnitPrice]]*Y416*(1-V416)</f>
        <v>18411.4084</v>
      </c>
      <c r="AA416" s="31">
        <f>T416*Y416</f>
        <v>9013.4800000000014</v>
      </c>
      <c r="AB416" s="31">
        <f t="shared" si="39"/>
        <v>9397.9283999999989</v>
      </c>
      <c r="AC416" s="31">
        <f t="shared" si="40"/>
        <v>0.51044049405802105</v>
      </c>
      <c r="AD416" s="31" t="e">
        <f>_xlfn.PERCENTILE.INC(S:S, 0.33)</f>
        <v>#NUM!</v>
      </c>
      <c r="AE416" s="31" t="e">
        <f>_xlfn.PERCENTILE.INC(S:S, 0.66)</f>
        <v>#NUM!</v>
      </c>
      <c r="AF416" s="30" t="e">
        <f t="shared" si="41"/>
        <v>#NUM!</v>
      </c>
    </row>
    <row r="417" spans="1:32" x14ac:dyDescent="0.3">
      <c r="A417" s="2" t="s">
        <v>430</v>
      </c>
      <c r="B417" s="4">
        <v>45626</v>
      </c>
      <c r="C417" s="46">
        <f>EOMONTH(Table2[[#This Row],[OrderDate]],-1)+1</f>
        <v>45597</v>
      </c>
      <c r="D417" s="45">
        <f>EOMONTH(_xlfn.MINIFS(B417:B1047,M417:M1047,Table2[[#This Row],[Country]]), -1) + 1</f>
        <v>45047</v>
      </c>
      <c r="E417" s="46"/>
      <c r="F417" s="4" t="str">
        <f>"Q"&amp;ROUNDUP(MONTH(B417)/3,0)&amp;"-"&amp;YEAR(B417)</f>
        <v>Q4-2024</v>
      </c>
      <c r="G417" s="4">
        <v>45636</v>
      </c>
      <c r="H417" s="4">
        <f>IF(G417&lt;B417, B417+3, G417)</f>
        <v>45636</v>
      </c>
      <c r="I417" s="10">
        <f>H417-B417</f>
        <v>10</v>
      </c>
      <c r="J417" s="10">
        <f t="shared" si="36"/>
        <v>0</v>
      </c>
      <c r="K417" s="10">
        <f t="shared" si="37"/>
        <v>0</v>
      </c>
      <c r="L417" s="6" t="s">
        <v>647</v>
      </c>
      <c r="M417" s="6" t="s">
        <v>654</v>
      </c>
      <c r="N417" s="6" t="s">
        <v>696</v>
      </c>
      <c r="O417" s="6" t="s">
        <v>705</v>
      </c>
      <c r="P417" s="6" t="s">
        <v>707</v>
      </c>
      <c r="Q417" s="6" t="s">
        <v>721</v>
      </c>
      <c r="R417" s="6" t="s">
        <v>733</v>
      </c>
      <c r="S417" s="6" t="s">
        <v>1149</v>
      </c>
      <c r="T417" s="8">
        <v>851.49</v>
      </c>
      <c r="U417" s="8">
        <v>901.79</v>
      </c>
      <c r="V417" s="8">
        <f t="shared" si="38"/>
        <v>0.245</v>
      </c>
      <c r="W417" s="8">
        <v>0.245</v>
      </c>
      <c r="X417" s="10">
        <f>IF(Table2[[#This Row],[DiscountPct]]&gt;0.2,1,0)</f>
        <v>1</v>
      </c>
      <c r="Y417" s="10">
        <v>16</v>
      </c>
      <c r="Z417" s="30">
        <f>Table2[[#This Row],[UnitPrice]]*Y417*(1-V417)</f>
        <v>10893.6232</v>
      </c>
      <c r="AA417" s="2">
        <f>T417*Y417</f>
        <v>13623.84</v>
      </c>
      <c r="AB417" s="2">
        <f t="shared" si="39"/>
        <v>-2730.2168000000001</v>
      </c>
      <c r="AC417" s="2">
        <f t="shared" si="40"/>
        <v>-0.25062522816100341</v>
      </c>
      <c r="AD417" s="2" t="e">
        <f>_xlfn.PERCENTILE.INC(S:S, 0.33)</f>
        <v>#NUM!</v>
      </c>
      <c r="AE417" s="2" t="e">
        <f>_xlfn.PERCENTILE.INC(S:S, 0.66)</f>
        <v>#NUM!</v>
      </c>
      <c r="AF417" s="30" t="e">
        <f t="shared" si="41"/>
        <v>#NUM!</v>
      </c>
    </row>
    <row r="418" spans="1:32" x14ac:dyDescent="0.3">
      <c r="A418" s="31" t="s">
        <v>431</v>
      </c>
      <c r="B418" s="32">
        <v>45813</v>
      </c>
      <c r="C418" s="47">
        <f>EOMONTH(Table2[[#This Row],[OrderDate]],-1)+1</f>
        <v>45809</v>
      </c>
      <c r="D418" s="45">
        <f>EOMONTH(_xlfn.MINIFS(B418:B1048,M418:M1048,Table2[[#This Row],[Country]]), -1) + 1</f>
        <v>45047</v>
      </c>
      <c r="E418" s="47"/>
      <c r="F418" s="32" t="str">
        <f>"Q"&amp;ROUNDUP(MONTH(B418)/3,0)&amp;"-"&amp;YEAR(B418)</f>
        <v>Q2-2025</v>
      </c>
      <c r="G418" s="32">
        <v>45822</v>
      </c>
      <c r="H418" s="32">
        <f>IF(G418&lt;B418, B418+3, G418)</f>
        <v>45822</v>
      </c>
      <c r="I418" s="33">
        <f>H418-B418</f>
        <v>9</v>
      </c>
      <c r="J418" s="33">
        <f t="shared" si="36"/>
        <v>0</v>
      </c>
      <c r="K418" s="33">
        <f t="shared" si="37"/>
        <v>0</v>
      </c>
      <c r="L418" s="34" t="s">
        <v>647</v>
      </c>
      <c r="M418" s="34" t="s">
        <v>654</v>
      </c>
      <c r="N418" s="34" t="s">
        <v>680</v>
      </c>
      <c r="O418" s="34" t="s">
        <v>703</v>
      </c>
      <c r="P418" s="34" t="s">
        <v>707</v>
      </c>
      <c r="Q418" s="34" t="s">
        <v>720</v>
      </c>
      <c r="R418" s="34" t="s">
        <v>733</v>
      </c>
      <c r="S418" s="34" t="s">
        <v>1150</v>
      </c>
      <c r="T418" s="35">
        <v>618.69000000000005</v>
      </c>
      <c r="U418" s="35">
        <v>796.15</v>
      </c>
      <c r="V418" s="35">
        <f t="shared" si="38"/>
        <v>0.09</v>
      </c>
      <c r="W418" s="35">
        <v>0.09</v>
      </c>
      <c r="X418" s="33">
        <f>IF(Table2[[#This Row],[DiscountPct]]&gt;0.2,1,0)</f>
        <v>0</v>
      </c>
      <c r="Y418" s="33">
        <v>11</v>
      </c>
      <c r="Z418" s="30">
        <f>Table2[[#This Row],[UnitPrice]]*Y418*(1-V418)</f>
        <v>7969.4615000000003</v>
      </c>
      <c r="AA418" s="31">
        <f>T418*Y418</f>
        <v>6805.59</v>
      </c>
      <c r="AB418" s="31">
        <f t="shared" si="39"/>
        <v>1163.8715000000002</v>
      </c>
      <c r="AC418" s="31">
        <f t="shared" si="40"/>
        <v>0.14604142325049191</v>
      </c>
      <c r="AD418" s="31" t="e">
        <f>_xlfn.PERCENTILE.INC(S:S, 0.33)</f>
        <v>#NUM!</v>
      </c>
      <c r="AE418" s="31" t="e">
        <f>_xlfn.PERCENTILE.INC(S:S, 0.66)</f>
        <v>#NUM!</v>
      </c>
      <c r="AF418" s="30" t="e">
        <f t="shared" si="41"/>
        <v>#NUM!</v>
      </c>
    </row>
    <row r="419" spans="1:32" x14ac:dyDescent="0.3">
      <c r="A419" s="2" t="s">
        <v>432</v>
      </c>
      <c r="B419" s="4">
        <v>45730</v>
      </c>
      <c r="C419" s="46">
        <f>EOMONTH(Table2[[#This Row],[OrderDate]],-1)+1</f>
        <v>45717</v>
      </c>
      <c r="D419" s="45">
        <f>EOMONTH(_xlfn.MINIFS(B419:B1049,M419:M1049,Table2[[#This Row],[Country]]), -1) + 1</f>
        <v>44927</v>
      </c>
      <c r="E419" s="46"/>
      <c r="F419" s="4" t="str">
        <f>"Q"&amp;ROUNDUP(MONTH(B419)/3,0)&amp;"-"&amp;YEAR(B419)</f>
        <v>Q1-2025</v>
      </c>
      <c r="G419" s="4">
        <v>45755</v>
      </c>
      <c r="H419" s="4">
        <f>IF(G419&lt;B419, B419+3, G419)</f>
        <v>45755</v>
      </c>
      <c r="I419" s="10">
        <f>H419-B419</f>
        <v>25</v>
      </c>
      <c r="J419" s="10">
        <f t="shared" si="36"/>
        <v>0</v>
      </c>
      <c r="K419" s="10">
        <f t="shared" si="37"/>
        <v>0</v>
      </c>
      <c r="L419" s="6" t="s">
        <v>647</v>
      </c>
      <c r="M419" s="6" t="s">
        <v>659</v>
      </c>
      <c r="N419" s="6" t="s">
        <v>699</v>
      </c>
      <c r="O419" s="6" t="s">
        <v>701</v>
      </c>
      <c r="P419" s="6" t="s">
        <v>710</v>
      </c>
      <c r="Q419" s="6" t="s">
        <v>726</v>
      </c>
      <c r="R419" s="6" t="s">
        <v>728</v>
      </c>
      <c r="S419" s="6" t="s">
        <v>1151</v>
      </c>
      <c r="T419" s="8">
        <v>80.59</v>
      </c>
      <c r="U419" s="8">
        <v>157.82</v>
      </c>
      <c r="V419" s="8">
        <f t="shared" si="38"/>
        <v>0.217</v>
      </c>
      <c r="W419" s="8">
        <v>0.217</v>
      </c>
      <c r="X419" s="10">
        <f>IF(Table2[[#This Row],[DiscountPct]]&gt;0.2,1,0)</f>
        <v>1</v>
      </c>
      <c r="Y419" s="10">
        <v>6</v>
      </c>
      <c r="Z419" s="30">
        <f>Table2[[#This Row],[UnitPrice]]*Y419*(1-V419)</f>
        <v>741.43835999999999</v>
      </c>
      <c r="AA419" s="2">
        <f>T419*Y419</f>
        <v>483.54</v>
      </c>
      <c r="AB419" s="2">
        <f t="shared" si="39"/>
        <v>257.89835999999997</v>
      </c>
      <c r="AC419" s="2">
        <f t="shared" si="40"/>
        <v>0.34783519967863541</v>
      </c>
      <c r="AD419" s="2" t="e">
        <f>_xlfn.PERCENTILE.INC(S:S, 0.33)</f>
        <v>#NUM!</v>
      </c>
      <c r="AE419" s="2" t="e">
        <f>_xlfn.PERCENTILE.INC(S:S, 0.66)</f>
        <v>#NUM!</v>
      </c>
      <c r="AF419" s="30" t="e">
        <f t="shared" si="41"/>
        <v>#NUM!</v>
      </c>
    </row>
    <row r="420" spans="1:32" x14ac:dyDescent="0.3">
      <c r="A420" s="31" t="s">
        <v>433</v>
      </c>
      <c r="B420" s="32">
        <v>45307</v>
      </c>
      <c r="C420" s="47">
        <f>EOMONTH(Table2[[#This Row],[OrderDate]],-1)+1</f>
        <v>45292</v>
      </c>
      <c r="D420" s="45">
        <f>EOMONTH(_xlfn.MINIFS(B420:B1050,M420:M1050,Table2[[#This Row],[Country]]), -1) + 1</f>
        <v>44927</v>
      </c>
      <c r="E420" s="47"/>
      <c r="F420" s="32" t="str">
        <f>"Q"&amp;ROUNDUP(MONTH(B420)/3,0)&amp;"-"&amp;YEAR(B420)</f>
        <v>Q1-2024</v>
      </c>
      <c r="G420" s="32">
        <v>45333</v>
      </c>
      <c r="H420" s="32">
        <f>IF(G420&lt;B420, B420+3, G420)</f>
        <v>45333</v>
      </c>
      <c r="I420" s="33">
        <f>H420-B420</f>
        <v>26</v>
      </c>
      <c r="J420" s="33">
        <f t="shared" si="36"/>
        <v>0</v>
      </c>
      <c r="K420" s="33">
        <f t="shared" si="37"/>
        <v>0</v>
      </c>
      <c r="L420" s="34" t="s">
        <v>649</v>
      </c>
      <c r="M420" s="34" t="s">
        <v>656</v>
      </c>
      <c r="N420" s="34" t="s">
        <v>698</v>
      </c>
      <c r="O420" s="34" t="s">
        <v>703</v>
      </c>
      <c r="P420" s="34" t="s">
        <v>710</v>
      </c>
      <c r="Q420" s="34" t="s">
        <v>718</v>
      </c>
      <c r="R420" s="34" t="s">
        <v>732</v>
      </c>
      <c r="S420" s="34" t="s">
        <v>1152</v>
      </c>
      <c r="T420" s="35">
        <v>504.93</v>
      </c>
      <c r="U420" s="35">
        <v>819.06</v>
      </c>
      <c r="V420" s="35">
        <f t="shared" si="38"/>
        <v>0.22600000000000001</v>
      </c>
      <c r="W420" s="35">
        <v>0.22600000000000001</v>
      </c>
      <c r="X420" s="33">
        <f>IF(Table2[[#This Row],[DiscountPct]]&gt;0.2,1,0)</f>
        <v>1</v>
      </c>
      <c r="Y420" s="33">
        <v>15</v>
      </c>
      <c r="Z420" s="30">
        <f>Table2[[#This Row],[UnitPrice]]*Y420*(1-V420)</f>
        <v>9509.2865999999995</v>
      </c>
      <c r="AA420" s="31">
        <f>T420*Y420</f>
        <v>7573.95</v>
      </c>
      <c r="AB420" s="31">
        <f t="shared" si="39"/>
        <v>1935.3365999999996</v>
      </c>
      <c r="AC420" s="31">
        <f t="shared" si="40"/>
        <v>0.20352069312959814</v>
      </c>
      <c r="AD420" s="31" t="e">
        <f>_xlfn.PERCENTILE.INC(S:S, 0.33)</f>
        <v>#NUM!</v>
      </c>
      <c r="AE420" s="31" t="e">
        <f>_xlfn.PERCENTILE.INC(S:S, 0.66)</f>
        <v>#NUM!</v>
      </c>
      <c r="AF420" s="30" t="e">
        <f t="shared" si="41"/>
        <v>#NUM!</v>
      </c>
    </row>
    <row r="421" spans="1:32" x14ac:dyDescent="0.3">
      <c r="A421" s="2" t="s">
        <v>434</v>
      </c>
      <c r="B421" s="4">
        <v>45211</v>
      </c>
      <c r="C421" s="46">
        <f>EOMONTH(Table2[[#This Row],[OrderDate]],-1)+1</f>
        <v>45200</v>
      </c>
      <c r="D421" s="45">
        <f>EOMONTH(_xlfn.MINIFS(B421:B1051,M421:M1051,Table2[[#This Row],[Country]]), -1) + 1</f>
        <v>44986</v>
      </c>
      <c r="E421" s="46"/>
      <c r="F421" s="4" t="str">
        <f>"Q"&amp;ROUNDUP(MONTH(B421)/3,0)&amp;"-"&amp;YEAR(B421)</f>
        <v>Q4-2023</v>
      </c>
      <c r="G421" s="4">
        <v>45228</v>
      </c>
      <c r="H421" s="4">
        <f>IF(G421&lt;B421, B421+3, G421)</f>
        <v>45228</v>
      </c>
      <c r="I421" s="10">
        <f>H421-B421</f>
        <v>17</v>
      </c>
      <c r="J421" s="10">
        <f t="shared" si="36"/>
        <v>0</v>
      </c>
      <c r="K421" s="10">
        <f t="shared" si="37"/>
        <v>0</v>
      </c>
      <c r="L421" s="6" t="s">
        <v>647</v>
      </c>
      <c r="M421" s="6" t="s">
        <v>652</v>
      </c>
      <c r="N421" s="6" t="s">
        <v>694</v>
      </c>
      <c r="O421" s="6" t="s">
        <v>703</v>
      </c>
      <c r="P421" s="6" t="s">
        <v>711</v>
      </c>
      <c r="Q421" s="6" t="s">
        <v>722</v>
      </c>
      <c r="R421" s="6" t="s">
        <v>730</v>
      </c>
      <c r="S421" s="6" t="s">
        <v>1153</v>
      </c>
      <c r="T421" s="8">
        <v>1102.19</v>
      </c>
      <c r="U421" s="8">
        <v>1711.16</v>
      </c>
      <c r="V421" s="8">
        <f t="shared" si="38"/>
        <v>0.151</v>
      </c>
      <c r="W421" s="8">
        <v>0.151</v>
      </c>
      <c r="X421" s="10">
        <f>IF(Table2[[#This Row],[DiscountPct]]&gt;0.2,1,0)</f>
        <v>0</v>
      </c>
      <c r="Y421" s="10">
        <v>10</v>
      </c>
      <c r="Z421" s="30">
        <f>Table2[[#This Row],[UnitPrice]]*Y421*(1-V421)</f>
        <v>14527.748400000002</v>
      </c>
      <c r="AA421" s="2">
        <f>T421*Y421</f>
        <v>11021.900000000001</v>
      </c>
      <c r="AB421" s="2">
        <f t="shared" si="39"/>
        <v>3505.8484000000008</v>
      </c>
      <c r="AC421" s="2">
        <f t="shared" si="40"/>
        <v>0.24132083675127525</v>
      </c>
      <c r="AD421" s="2" t="e">
        <f>_xlfn.PERCENTILE.INC(S:S, 0.33)</f>
        <v>#NUM!</v>
      </c>
      <c r="AE421" s="2" t="e">
        <f>_xlfn.PERCENTILE.INC(S:S, 0.66)</f>
        <v>#NUM!</v>
      </c>
      <c r="AF421" s="30" t="e">
        <f t="shared" si="41"/>
        <v>#NUM!</v>
      </c>
    </row>
    <row r="422" spans="1:32" x14ac:dyDescent="0.3">
      <c r="A422" s="31" t="s">
        <v>435</v>
      </c>
      <c r="B422" s="32">
        <v>45713</v>
      </c>
      <c r="C422" s="47">
        <f>EOMONTH(Table2[[#This Row],[OrderDate]],-1)+1</f>
        <v>45689</v>
      </c>
      <c r="D422" s="45">
        <f>EOMONTH(_xlfn.MINIFS(B422:B1052,M422:M1052,Table2[[#This Row],[Country]]), -1) + 1</f>
        <v>44958</v>
      </c>
      <c r="E422" s="47"/>
      <c r="F422" s="32" t="str">
        <f>"Q"&amp;ROUNDUP(MONTH(B422)/3,0)&amp;"-"&amp;YEAR(B422)</f>
        <v>Q1-2025</v>
      </c>
      <c r="G422" s="32">
        <v>45733</v>
      </c>
      <c r="H422" s="32">
        <f>IF(G422&lt;B422, B422+3, G422)</f>
        <v>45733</v>
      </c>
      <c r="I422" s="33">
        <f>H422-B422</f>
        <v>20</v>
      </c>
      <c r="J422" s="33">
        <f t="shared" si="36"/>
        <v>0</v>
      </c>
      <c r="K422" s="33">
        <f t="shared" si="37"/>
        <v>0</v>
      </c>
      <c r="L422" s="34" t="s">
        <v>648</v>
      </c>
      <c r="M422" s="34" t="s">
        <v>660</v>
      </c>
      <c r="N422" s="34" t="s">
        <v>686</v>
      </c>
      <c r="O422" s="34" t="s">
        <v>703</v>
      </c>
      <c r="P422" s="34" t="s">
        <v>709</v>
      </c>
      <c r="Q422" s="34" t="s">
        <v>722</v>
      </c>
      <c r="R422" s="34" t="s">
        <v>730</v>
      </c>
      <c r="S422" s="34" t="s">
        <v>1154</v>
      </c>
      <c r="T422" s="35">
        <v>1205.26</v>
      </c>
      <c r="U422" s="35">
        <v>1696.35</v>
      </c>
      <c r="V422" s="35">
        <f t="shared" si="38"/>
        <v>1.9E-2</v>
      </c>
      <c r="W422" s="35">
        <v>1.9E-2</v>
      </c>
      <c r="X422" s="33">
        <f>IF(Table2[[#This Row],[DiscountPct]]&gt;0.2,1,0)</f>
        <v>0</v>
      </c>
      <c r="Y422" s="33">
        <v>6</v>
      </c>
      <c r="Z422" s="30">
        <f>Table2[[#This Row],[UnitPrice]]*Y422*(1-V422)</f>
        <v>9984.7160999999978</v>
      </c>
      <c r="AA422" s="31">
        <f>T422*Y422</f>
        <v>7231.5599999999995</v>
      </c>
      <c r="AB422" s="31">
        <f t="shared" si="39"/>
        <v>2753.1560999999983</v>
      </c>
      <c r="AC422" s="31">
        <f t="shared" si="40"/>
        <v>0.27573704374028213</v>
      </c>
      <c r="AD422" s="31" t="e">
        <f>_xlfn.PERCENTILE.INC(S:S, 0.33)</f>
        <v>#NUM!</v>
      </c>
      <c r="AE422" s="31" t="e">
        <f>_xlfn.PERCENTILE.INC(S:S, 0.66)</f>
        <v>#NUM!</v>
      </c>
      <c r="AF422" s="30" t="e">
        <f t="shared" si="41"/>
        <v>#NUM!</v>
      </c>
    </row>
    <row r="423" spans="1:32" x14ac:dyDescent="0.3">
      <c r="A423" s="2" t="s">
        <v>436</v>
      </c>
      <c r="B423" s="4">
        <v>45841</v>
      </c>
      <c r="C423" s="46">
        <f>EOMONTH(Table2[[#This Row],[OrderDate]],-1)+1</f>
        <v>45839</v>
      </c>
      <c r="D423" s="45">
        <f>EOMONTH(_xlfn.MINIFS(B423:B1053,M423:M1053,Table2[[#This Row],[Country]]), -1) + 1</f>
        <v>44958</v>
      </c>
      <c r="E423" s="46"/>
      <c r="F423" s="4" t="str">
        <f>"Q"&amp;ROUNDUP(MONTH(B423)/3,0)&amp;"-"&amp;YEAR(B423)</f>
        <v>Q3-2025</v>
      </c>
      <c r="G423" s="4">
        <v>45844</v>
      </c>
      <c r="H423" s="4">
        <f>IF(G423&lt;B423, B423+3, G423)</f>
        <v>45844</v>
      </c>
      <c r="I423" s="10">
        <f>H423-B423</f>
        <v>3</v>
      </c>
      <c r="J423" s="10">
        <f t="shared" si="36"/>
        <v>1</v>
      </c>
      <c r="K423" s="10">
        <f t="shared" si="37"/>
        <v>1</v>
      </c>
      <c r="L423" s="6" t="s">
        <v>646</v>
      </c>
      <c r="M423" s="6" t="s">
        <v>651</v>
      </c>
      <c r="N423" s="6" t="s">
        <v>665</v>
      </c>
      <c r="O423" s="6" t="s">
        <v>704</v>
      </c>
      <c r="P423" s="6" t="s">
        <v>708</v>
      </c>
      <c r="Q423" s="6" t="s">
        <v>1438</v>
      </c>
      <c r="R423" s="6" t="s">
        <v>731</v>
      </c>
      <c r="S423" s="6" t="s">
        <v>1155</v>
      </c>
      <c r="T423" s="8">
        <v>1313.3</v>
      </c>
      <c r="U423" s="8">
        <v>2884.34</v>
      </c>
      <c r="V423" s="8">
        <f t="shared" si="38"/>
        <v>0.157</v>
      </c>
      <c r="W423" s="8">
        <v>0.157</v>
      </c>
      <c r="X423" s="10">
        <f>IF(Table2[[#This Row],[DiscountPct]]&gt;0.2,1,0)</f>
        <v>0</v>
      </c>
      <c r="Y423" s="10">
        <v>42</v>
      </c>
      <c r="Z423" s="30">
        <f>Table2[[#This Row],[UnitPrice]]*Y423*(1-V423)</f>
        <v>102122.94203999999</v>
      </c>
      <c r="AA423" s="2">
        <f>T423*Y423</f>
        <v>55158.6</v>
      </c>
      <c r="AB423" s="2">
        <f t="shared" si="39"/>
        <v>46964.342039999996</v>
      </c>
      <c r="AC423" s="2">
        <f t="shared" si="40"/>
        <v>0.45988042551305253</v>
      </c>
      <c r="AD423" s="2" t="e">
        <f>_xlfn.PERCENTILE.INC(S:S, 0.33)</f>
        <v>#NUM!</v>
      </c>
      <c r="AE423" s="2" t="e">
        <f>_xlfn.PERCENTILE.INC(S:S, 0.66)</f>
        <v>#NUM!</v>
      </c>
      <c r="AF423" s="30" t="e">
        <f t="shared" si="41"/>
        <v>#NUM!</v>
      </c>
    </row>
    <row r="424" spans="1:32" x14ac:dyDescent="0.3">
      <c r="A424" s="31" t="s">
        <v>437</v>
      </c>
      <c r="B424" s="32">
        <v>45915</v>
      </c>
      <c r="C424" s="47">
        <f>EOMONTH(Table2[[#This Row],[OrderDate]],-1)+1</f>
        <v>45901</v>
      </c>
      <c r="D424" s="45">
        <f>EOMONTH(_xlfn.MINIFS(B424:B1054,M424:M1054,Table2[[#This Row],[Country]]), -1) + 1</f>
        <v>45047</v>
      </c>
      <c r="E424" s="47"/>
      <c r="F424" s="32" t="str">
        <f>"Q"&amp;ROUNDUP(MONTH(B424)/3,0)&amp;"-"&amp;YEAR(B424)</f>
        <v>Q3-2025</v>
      </c>
      <c r="G424" s="32">
        <v>45925</v>
      </c>
      <c r="H424" s="32">
        <f>IF(G424&lt;B424, B424+3, G424)</f>
        <v>45925</v>
      </c>
      <c r="I424" s="33">
        <f>H424-B424</f>
        <v>10</v>
      </c>
      <c r="J424" s="33">
        <f t="shared" si="36"/>
        <v>0</v>
      </c>
      <c r="K424" s="33">
        <f t="shared" si="37"/>
        <v>0</v>
      </c>
      <c r="L424" s="34" t="s">
        <v>647</v>
      </c>
      <c r="M424" s="34" t="s">
        <v>654</v>
      </c>
      <c r="N424" s="34" t="s">
        <v>680</v>
      </c>
      <c r="O424" s="34" t="s">
        <v>704</v>
      </c>
      <c r="P424" s="34" t="s">
        <v>707</v>
      </c>
      <c r="Q424" s="34" t="s">
        <v>720</v>
      </c>
      <c r="R424" s="34" t="s">
        <v>730</v>
      </c>
      <c r="S424" s="34" t="s">
        <v>1156</v>
      </c>
      <c r="T424" s="35">
        <v>1488.91</v>
      </c>
      <c r="U424" s="35">
        <v>1483.74</v>
      </c>
      <c r="V424" s="35">
        <f t="shared" si="38"/>
        <v>0.16800000000000001</v>
      </c>
      <c r="W424" s="35">
        <v>0.16800000000000001</v>
      </c>
      <c r="X424" s="33">
        <f>IF(Table2[[#This Row],[DiscountPct]]&gt;0.2,1,0)</f>
        <v>0</v>
      </c>
      <c r="Y424" s="33">
        <v>24</v>
      </c>
      <c r="Z424" s="30">
        <f>Table2[[#This Row],[UnitPrice]]*Y424*(1-V424)</f>
        <v>29627.320319999999</v>
      </c>
      <c r="AA424" s="31">
        <f>T424*Y424</f>
        <v>35733.840000000004</v>
      </c>
      <c r="AB424" s="31">
        <f t="shared" si="39"/>
        <v>-6106.5196800000049</v>
      </c>
      <c r="AC424" s="31">
        <f t="shared" si="40"/>
        <v>-0.20611110333450519</v>
      </c>
      <c r="AD424" s="31" t="e">
        <f>_xlfn.PERCENTILE.INC(S:S, 0.33)</f>
        <v>#NUM!</v>
      </c>
      <c r="AE424" s="31" t="e">
        <f>_xlfn.PERCENTILE.INC(S:S, 0.66)</f>
        <v>#NUM!</v>
      </c>
      <c r="AF424" s="30" t="e">
        <f t="shared" si="41"/>
        <v>#NUM!</v>
      </c>
    </row>
    <row r="425" spans="1:32" x14ac:dyDescent="0.3">
      <c r="A425" s="2" t="s">
        <v>438</v>
      </c>
      <c r="B425" s="4">
        <v>45341</v>
      </c>
      <c r="C425" s="46">
        <f>EOMONTH(Table2[[#This Row],[OrderDate]],-1)+1</f>
        <v>45323</v>
      </c>
      <c r="D425" s="45">
        <f>EOMONTH(_xlfn.MINIFS(B425:B1055,M425:M1055,Table2[[#This Row],[Country]]), -1) + 1</f>
        <v>44927</v>
      </c>
      <c r="E425" s="46"/>
      <c r="F425" s="4" t="str">
        <f>"Q"&amp;ROUNDUP(MONTH(B425)/3,0)&amp;"-"&amp;YEAR(B425)</f>
        <v>Q1-2024</v>
      </c>
      <c r="G425" s="4">
        <v>45357</v>
      </c>
      <c r="H425" s="4">
        <f>IF(G425&lt;B425, B425+3, G425)</f>
        <v>45357</v>
      </c>
      <c r="I425" s="10">
        <f>H425-B425</f>
        <v>16</v>
      </c>
      <c r="J425" s="10">
        <f t="shared" si="36"/>
        <v>0</v>
      </c>
      <c r="K425" s="10">
        <f t="shared" si="37"/>
        <v>0</v>
      </c>
      <c r="L425" s="6" t="s">
        <v>647</v>
      </c>
      <c r="M425" s="6" t="s">
        <v>659</v>
      </c>
      <c r="N425" s="6" t="s">
        <v>699</v>
      </c>
      <c r="O425" s="6" t="s">
        <v>702</v>
      </c>
      <c r="P425" s="6" t="s">
        <v>709</v>
      </c>
      <c r="Q425" s="6" t="s">
        <v>719</v>
      </c>
      <c r="R425" s="6" t="s">
        <v>728</v>
      </c>
      <c r="S425" s="6" t="s">
        <v>1157</v>
      </c>
      <c r="T425" s="8">
        <v>1477.84</v>
      </c>
      <c r="U425" s="8">
        <v>3197.47</v>
      </c>
      <c r="V425" s="8">
        <f t="shared" si="38"/>
        <v>0.24299999999999999</v>
      </c>
      <c r="W425" s="8">
        <v>0.24299999999999999</v>
      </c>
      <c r="X425" s="10">
        <f>IF(Table2[[#This Row],[DiscountPct]]&gt;0.2,1,0)</f>
        <v>1</v>
      </c>
      <c r="Y425" s="10">
        <v>24</v>
      </c>
      <c r="Z425" s="30">
        <f>Table2[[#This Row],[UnitPrice]]*Y425*(1-V425)</f>
        <v>58091.634960000003</v>
      </c>
      <c r="AA425" s="2">
        <f>T425*Y425</f>
        <v>35468.159999999996</v>
      </c>
      <c r="AB425" s="2">
        <f t="shared" si="39"/>
        <v>22623.474960000007</v>
      </c>
      <c r="AC425" s="2">
        <f t="shared" si="40"/>
        <v>0.38944462443823091</v>
      </c>
      <c r="AD425" s="2" t="e">
        <f>_xlfn.PERCENTILE.INC(S:S, 0.33)</f>
        <v>#NUM!</v>
      </c>
      <c r="AE425" s="2" t="e">
        <f>_xlfn.PERCENTILE.INC(S:S, 0.66)</f>
        <v>#NUM!</v>
      </c>
      <c r="AF425" s="30" t="e">
        <f t="shared" si="41"/>
        <v>#NUM!</v>
      </c>
    </row>
    <row r="426" spans="1:32" x14ac:dyDescent="0.3">
      <c r="A426" s="31" t="s">
        <v>439</v>
      </c>
      <c r="B426" s="32">
        <v>45349</v>
      </c>
      <c r="C426" s="47">
        <f>EOMONTH(Table2[[#This Row],[OrderDate]],-1)+1</f>
        <v>45323</v>
      </c>
      <c r="D426" s="45">
        <f>EOMONTH(_xlfn.MINIFS(B426:B1056,M426:M1056,Table2[[#This Row],[Country]]), -1) + 1</f>
        <v>45047</v>
      </c>
      <c r="E426" s="47"/>
      <c r="F426" s="32" t="str">
        <f>"Q"&amp;ROUNDUP(MONTH(B426)/3,0)&amp;"-"&amp;YEAR(B426)</f>
        <v>Q1-2024</v>
      </c>
      <c r="G426" s="32">
        <v>45377</v>
      </c>
      <c r="H426" s="32">
        <f>IF(G426&lt;B426, B426+3, G426)</f>
        <v>45377</v>
      </c>
      <c r="I426" s="33">
        <f>H426-B426</f>
        <v>28</v>
      </c>
      <c r="J426" s="33">
        <f t="shared" si="36"/>
        <v>0</v>
      </c>
      <c r="K426" s="33">
        <f t="shared" si="37"/>
        <v>0</v>
      </c>
      <c r="L426" s="34" t="s">
        <v>647</v>
      </c>
      <c r="M426" s="34" t="s">
        <v>654</v>
      </c>
      <c r="N426" s="34" t="s">
        <v>691</v>
      </c>
      <c r="O426" s="34" t="s">
        <v>702</v>
      </c>
      <c r="P426" s="34" t="s">
        <v>709</v>
      </c>
      <c r="Q426" s="34" t="s">
        <v>715</v>
      </c>
      <c r="R426" s="34" t="s">
        <v>731</v>
      </c>
      <c r="S426" s="34" t="s">
        <v>1158</v>
      </c>
      <c r="T426" s="35">
        <v>1035.19</v>
      </c>
      <c r="U426" s="35">
        <v>2322.6999999999998</v>
      </c>
      <c r="V426" s="35">
        <f t="shared" si="38"/>
        <v>0.17299999999999999</v>
      </c>
      <c r="W426" s="35">
        <v>0.17299999999999999</v>
      </c>
      <c r="X426" s="33">
        <f>IF(Table2[[#This Row],[DiscountPct]]&gt;0.2,1,0)</f>
        <v>0</v>
      </c>
      <c r="Y426" s="33">
        <v>8</v>
      </c>
      <c r="Z426" s="30">
        <f>Table2[[#This Row],[UnitPrice]]*Y426*(1-V426)</f>
        <v>15366.983199999999</v>
      </c>
      <c r="AA426" s="31">
        <f>T426*Y426</f>
        <v>8281.52</v>
      </c>
      <c r="AB426" s="31">
        <f t="shared" si="39"/>
        <v>7085.4631999999983</v>
      </c>
      <c r="AC426" s="31">
        <f t="shared" si="40"/>
        <v>0.46108355217047409</v>
      </c>
      <c r="AD426" s="31" t="e">
        <f>_xlfn.PERCENTILE.INC(S:S, 0.33)</f>
        <v>#NUM!</v>
      </c>
      <c r="AE426" s="31" t="e">
        <f>_xlfn.PERCENTILE.INC(S:S, 0.66)</f>
        <v>#NUM!</v>
      </c>
      <c r="AF426" s="30" t="e">
        <f t="shared" si="41"/>
        <v>#NUM!</v>
      </c>
    </row>
    <row r="427" spans="1:32" x14ac:dyDescent="0.3">
      <c r="A427" s="2" t="s">
        <v>440</v>
      </c>
      <c r="B427" s="4">
        <v>45897</v>
      </c>
      <c r="C427" s="46">
        <f>EOMONTH(Table2[[#This Row],[OrderDate]],-1)+1</f>
        <v>45870</v>
      </c>
      <c r="D427" s="45">
        <f>EOMONTH(_xlfn.MINIFS(B427:B1057,M427:M1057,Table2[[#This Row],[Country]]), -1) + 1</f>
        <v>44958</v>
      </c>
      <c r="E427" s="46"/>
      <c r="F427" s="4" t="str">
        <f>"Q"&amp;ROUNDUP(MONTH(B427)/3,0)&amp;"-"&amp;YEAR(B427)</f>
        <v>Q3-2025</v>
      </c>
      <c r="G427" s="4">
        <v>45905</v>
      </c>
      <c r="H427" s="4">
        <f>IF(G427&lt;B427, B427+3, G427)</f>
        <v>45905</v>
      </c>
      <c r="I427" s="10">
        <f>H427-B427</f>
        <v>8</v>
      </c>
      <c r="J427" s="10">
        <f t="shared" si="36"/>
        <v>0</v>
      </c>
      <c r="K427" s="10">
        <f t="shared" si="37"/>
        <v>0</v>
      </c>
      <c r="L427" s="6" t="s">
        <v>646</v>
      </c>
      <c r="M427" s="6" t="s">
        <v>651</v>
      </c>
      <c r="N427" s="6" t="s">
        <v>663</v>
      </c>
      <c r="O427" s="6" t="s">
        <v>705</v>
      </c>
      <c r="P427" s="6" t="s">
        <v>709</v>
      </c>
      <c r="Q427" s="6" t="s">
        <v>718</v>
      </c>
      <c r="R427" s="6" t="s">
        <v>731</v>
      </c>
      <c r="S427" s="6" t="s">
        <v>1159</v>
      </c>
      <c r="T427" s="8">
        <v>1271.0999999999999</v>
      </c>
      <c r="U427" s="8">
        <v>1932.42</v>
      </c>
      <c r="V427" s="8">
        <f t="shared" si="38"/>
        <v>0.25</v>
      </c>
      <c r="W427" s="8">
        <v>0.25</v>
      </c>
      <c r="X427" s="10">
        <f>IF(Table2[[#This Row],[DiscountPct]]&gt;0.2,1,0)</f>
        <v>1</v>
      </c>
      <c r="Y427" s="10">
        <v>21</v>
      </c>
      <c r="Z427" s="30">
        <f>Table2[[#This Row],[UnitPrice]]*Y427*(1-V427)</f>
        <v>30435.614999999998</v>
      </c>
      <c r="AA427" s="2">
        <f>T427*Y427</f>
        <v>26693.1</v>
      </c>
      <c r="AB427" s="2">
        <f t="shared" si="39"/>
        <v>3742.5149999999994</v>
      </c>
      <c r="AC427" s="2">
        <f t="shared" si="40"/>
        <v>0.12296498690760807</v>
      </c>
      <c r="AD427" s="2" t="e">
        <f>_xlfn.PERCENTILE.INC(S:S, 0.33)</f>
        <v>#NUM!</v>
      </c>
      <c r="AE427" s="2" t="e">
        <f>_xlfn.PERCENTILE.INC(S:S, 0.66)</f>
        <v>#NUM!</v>
      </c>
      <c r="AF427" s="30" t="e">
        <f t="shared" si="41"/>
        <v>#NUM!</v>
      </c>
    </row>
    <row r="428" spans="1:32" x14ac:dyDescent="0.3">
      <c r="A428" s="31" t="s">
        <v>441</v>
      </c>
      <c r="B428" s="32">
        <v>45522</v>
      </c>
      <c r="C428" s="47">
        <f>EOMONTH(Table2[[#This Row],[OrderDate]],-1)+1</f>
        <v>45505</v>
      </c>
      <c r="D428" s="45">
        <f>EOMONTH(_xlfn.MINIFS(B428:B1058,M428:M1058,Table2[[#This Row],[Country]]), -1) + 1</f>
        <v>45047</v>
      </c>
      <c r="E428" s="47"/>
      <c r="F428" s="32" t="str">
        <f>"Q"&amp;ROUNDUP(MONTH(B428)/3,0)&amp;"-"&amp;YEAR(B428)</f>
        <v>Q3-2024</v>
      </c>
      <c r="G428" s="32">
        <v>45547</v>
      </c>
      <c r="H428" s="32">
        <f>IF(G428&lt;B428, B428+3, G428)</f>
        <v>45547</v>
      </c>
      <c r="I428" s="33">
        <f>H428-B428</f>
        <v>25</v>
      </c>
      <c r="J428" s="33">
        <f t="shared" si="36"/>
        <v>0</v>
      </c>
      <c r="K428" s="33">
        <f t="shared" si="37"/>
        <v>0</v>
      </c>
      <c r="L428" s="34" t="s">
        <v>647</v>
      </c>
      <c r="M428" s="34" t="s">
        <v>654</v>
      </c>
      <c r="N428" s="34" t="s">
        <v>691</v>
      </c>
      <c r="O428" s="34" t="s">
        <v>704</v>
      </c>
      <c r="P428" s="34" t="s">
        <v>709</v>
      </c>
      <c r="Q428" s="34" t="s">
        <v>712</v>
      </c>
      <c r="R428" s="34" t="s">
        <v>730</v>
      </c>
      <c r="S428" s="34" t="s">
        <v>1160</v>
      </c>
      <c r="T428" s="35">
        <v>1154.03</v>
      </c>
      <c r="U428" s="35">
        <v>1590.36</v>
      </c>
      <c r="V428" s="35">
        <f t="shared" si="38"/>
        <v>0.3</v>
      </c>
      <c r="W428" s="35">
        <v>0.314</v>
      </c>
      <c r="X428" s="33">
        <f>IF(Table2[[#This Row],[DiscountPct]]&gt;0.2,1,0)</f>
        <v>1</v>
      </c>
      <c r="Y428" s="33">
        <v>18</v>
      </c>
      <c r="Z428" s="30">
        <f>Table2[[#This Row],[UnitPrice]]*Y428*(1-V428)</f>
        <v>20038.536</v>
      </c>
      <c r="AA428" s="31">
        <f>T428*Y428</f>
        <v>20772.54</v>
      </c>
      <c r="AB428" s="31">
        <f t="shared" si="39"/>
        <v>-734.00400000000081</v>
      </c>
      <c r="AC428" s="31">
        <f t="shared" si="40"/>
        <v>-3.6629622044245191E-2</v>
      </c>
      <c r="AD428" s="31" t="e">
        <f>_xlfn.PERCENTILE.INC(S:S, 0.33)</f>
        <v>#NUM!</v>
      </c>
      <c r="AE428" s="31" t="e">
        <f>_xlfn.PERCENTILE.INC(S:S, 0.66)</f>
        <v>#NUM!</v>
      </c>
      <c r="AF428" s="30" t="e">
        <f t="shared" si="41"/>
        <v>#NUM!</v>
      </c>
    </row>
    <row r="429" spans="1:32" x14ac:dyDescent="0.3">
      <c r="A429" s="2" t="s">
        <v>442</v>
      </c>
      <c r="B429" s="4">
        <v>45347</v>
      </c>
      <c r="C429" s="46">
        <f>EOMONTH(Table2[[#This Row],[OrderDate]],-1)+1</f>
        <v>45323</v>
      </c>
      <c r="D429" s="45">
        <f>EOMONTH(_xlfn.MINIFS(B429:B1059,M429:M1059,Table2[[#This Row],[Country]]), -1) + 1</f>
        <v>45017</v>
      </c>
      <c r="E429" s="46"/>
      <c r="F429" s="4" t="str">
        <f>"Q"&amp;ROUNDUP(MONTH(B429)/3,0)&amp;"-"&amp;YEAR(B429)</f>
        <v>Q1-2024</v>
      </c>
      <c r="G429" s="4">
        <v>45360</v>
      </c>
      <c r="H429" s="4">
        <f>IF(G429&lt;B429, B429+3, G429)</f>
        <v>45360</v>
      </c>
      <c r="I429" s="10">
        <f>H429-B429</f>
        <v>13</v>
      </c>
      <c r="J429" s="10">
        <f t="shared" si="36"/>
        <v>0</v>
      </c>
      <c r="K429" s="10">
        <f t="shared" si="37"/>
        <v>0</v>
      </c>
      <c r="L429" s="6" t="s">
        <v>649</v>
      </c>
      <c r="M429" s="6" t="s">
        <v>657</v>
      </c>
      <c r="N429" s="6" t="s">
        <v>673</v>
      </c>
      <c r="O429" s="6" t="s">
        <v>705</v>
      </c>
      <c r="P429" s="6" t="s">
        <v>710</v>
      </c>
      <c r="Q429" s="6" t="s">
        <v>718</v>
      </c>
      <c r="R429" s="6" t="s">
        <v>732</v>
      </c>
      <c r="S429" s="6" t="s">
        <v>1161</v>
      </c>
      <c r="T429" s="8">
        <v>322.44</v>
      </c>
      <c r="U429" s="8">
        <v>395.61</v>
      </c>
      <c r="V429" s="8">
        <f t="shared" si="38"/>
        <v>0</v>
      </c>
      <c r="W429" s="8">
        <v>0</v>
      </c>
      <c r="X429" s="10">
        <f>IF(Table2[[#This Row],[DiscountPct]]&gt;0.2,1,0)</f>
        <v>0</v>
      </c>
      <c r="Y429" s="10">
        <v>34</v>
      </c>
      <c r="Z429" s="30">
        <f>Table2[[#This Row],[UnitPrice]]*Y429*(1-V429)</f>
        <v>13450.74</v>
      </c>
      <c r="AA429" s="2">
        <f>T429*Y429</f>
        <v>10962.96</v>
      </c>
      <c r="AB429" s="2">
        <f t="shared" si="39"/>
        <v>2487.7800000000007</v>
      </c>
      <c r="AC429" s="2">
        <f t="shared" si="40"/>
        <v>0.18495487980586947</v>
      </c>
      <c r="AD429" s="2" t="e">
        <f>_xlfn.PERCENTILE.INC(S:S, 0.33)</f>
        <v>#NUM!</v>
      </c>
      <c r="AE429" s="2" t="e">
        <f>_xlfn.PERCENTILE.INC(S:S, 0.66)</f>
        <v>#NUM!</v>
      </c>
      <c r="AF429" s="30" t="e">
        <f t="shared" si="41"/>
        <v>#NUM!</v>
      </c>
    </row>
    <row r="430" spans="1:32" x14ac:dyDescent="0.3">
      <c r="A430" s="31" t="s">
        <v>443</v>
      </c>
      <c r="B430" s="32">
        <v>45784</v>
      </c>
      <c r="C430" s="47">
        <f>EOMONTH(Table2[[#This Row],[OrderDate]],-1)+1</f>
        <v>45778</v>
      </c>
      <c r="D430" s="45">
        <f>EOMONTH(_xlfn.MINIFS(B430:B1060,M430:M1060,Table2[[#This Row],[Country]]), -1) + 1</f>
        <v>45047</v>
      </c>
      <c r="E430" s="47"/>
      <c r="F430" s="32" t="str">
        <f>"Q"&amp;ROUNDUP(MONTH(B430)/3,0)&amp;"-"&amp;YEAR(B430)</f>
        <v>Q2-2025</v>
      </c>
      <c r="G430" s="32">
        <v>45790</v>
      </c>
      <c r="H430" s="32">
        <f>IF(G430&lt;B430, B430+3, G430)</f>
        <v>45790</v>
      </c>
      <c r="I430" s="33">
        <f>H430-B430</f>
        <v>6</v>
      </c>
      <c r="J430" s="33">
        <f t="shared" si="36"/>
        <v>1</v>
      </c>
      <c r="K430" s="33">
        <f t="shared" si="37"/>
        <v>1</v>
      </c>
      <c r="L430" s="34" t="s">
        <v>647</v>
      </c>
      <c r="M430" s="34" t="s">
        <v>654</v>
      </c>
      <c r="N430" s="34" t="s">
        <v>668</v>
      </c>
      <c r="O430" s="34" t="s">
        <v>706</v>
      </c>
      <c r="P430" s="34" t="s">
        <v>711</v>
      </c>
      <c r="Q430" s="34" t="s">
        <v>713</v>
      </c>
      <c r="R430" s="34" t="s">
        <v>730</v>
      </c>
      <c r="S430" s="34" t="s">
        <v>1162</v>
      </c>
      <c r="T430" s="35">
        <v>935.98</v>
      </c>
      <c r="U430" s="35">
        <v>2077.69</v>
      </c>
      <c r="V430" s="35">
        <f t="shared" si="38"/>
        <v>0.17499999999999999</v>
      </c>
      <c r="W430" s="35">
        <v>0.17499999999999999</v>
      </c>
      <c r="X430" s="33">
        <f>IF(Table2[[#This Row],[DiscountPct]]&gt;0.2,1,0)</f>
        <v>0</v>
      </c>
      <c r="Y430" s="33">
        <v>24</v>
      </c>
      <c r="Z430" s="30">
        <f>Table2[[#This Row],[UnitPrice]]*Y430*(1-V430)</f>
        <v>41138.261999999995</v>
      </c>
      <c r="AA430" s="31">
        <f>T430*Y430</f>
        <v>22463.52</v>
      </c>
      <c r="AB430" s="31">
        <f t="shared" si="39"/>
        <v>18674.741999999995</v>
      </c>
      <c r="AC430" s="31">
        <f t="shared" si="40"/>
        <v>0.45395067978321491</v>
      </c>
      <c r="AD430" s="31" t="e">
        <f>_xlfn.PERCENTILE.INC(S:S, 0.33)</f>
        <v>#NUM!</v>
      </c>
      <c r="AE430" s="31" t="e">
        <f>_xlfn.PERCENTILE.INC(S:S, 0.66)</f>
        <v>#NUM!</v>
      </c>
      <c r="AF430" s="30" t="e">
        <f t="shared" si="41"/>
        <v>#NUM!</v>
      </c>
    </row>
    <row r="431" spans="1:32" x14ac:dyDescent="0.3">
      <c r="A431" s="2" t="s">
        <v>444</v>
      </c>
      <c r="B431" s="4">
        <v>45597</v>
      </c>
      <c r="C431" s="46">
        <f>EOMONTH(Table2[[#This Row],[OrderDate]],-1)+1</f>
        <v>45597</v>
      </c>
      <c r="D431" s="45">
        <f>EOMONTH(_xlfn.MINIFS(B431:B1061,M431:M1061,Table2[[#This Row],[Country]]), -1) + 1</f>
        <v>44927</v>
      </c>
      <c r="E431" s="46"/>
      <c r="F431" s="4" t="str">
        <f>"Q"&amp;ROUNDUP(MONTH(B431)/3,0)&amp;"-"&amp;YEAR(B431)</f>
        <v>Q4-2024</v>
      </c>
      <c r="G431" s="4">
        <v>45608</v>
      </c>
      <c r="H431" s="4">
        <f>IF(G431&lt;B431, B431+3, G431)</f>
        <v>45608</v>
      </c>
      <c r="I431" s="10">
        <f>H431-B431</f>
        <v>11</v>
      </c>
      <c r="J431" s="10">
        <f t="shared" si="36"/>
        <v>0</v>
      </c>
      <c r="K431" s="10">
        <f t="shared" si="37"/>
        <v>0</v>
      </c>
      <c r="L431" s="6" t="s">
        <v>649</v>
      </c>
      <c r="M431" s="6" t="s">
        <v>656</v>
      </c>
      <c r="N431" s="6" t="s">
        <v>698</v>
      </c>
      <c r="O431" s="6" t="s">
        <v>704</v>
      </c>
      <c r="P431" s="6" t="s">
        <v>708</v>
      </c>
      <c r="Q431" s="6" t="s">
        <v>717</v>
      </c>
      <c r="R431" s="6" t="s">
        <v>728</v>
      </c>
      <c r="S431" s="6" t="s">
        <v>1163</v>
      </c>
      <c r="T431" s="8">
        <v>599.84</v>
      </c>
      <c r="U431" s="8">
        <v>1330.85</v>
      </c>
      <c r="V431" s="8">
        <f t="shared" si="38"/>
        <v>0.115</v>
      </c>
      <c r="W431" s="8">
        <v>0.115</v>
      </c>
      <c r="X431" s="10">
        <f>IF(Table2[[#This Row],[DiscountPct]]&gt;0.2,1,0)</f>
        <v>0</v>
      </c>
      <c r="Y431" s="10">
        <v>11</v>
      </c>
      <c r="Z431" s="30">
        <f>Table2[[#This Row],[UnitPrice]]*Y431*(1-V431)</f>
        <v>12955.824749999998</v>
      </c>
      <c r="AA431" s="2">
        <f>T431*Y431</f>
        <v>6598.2400000000007</v>
      </c>
      <c r="AB431" s="2">
        <f t="shared" si="39"/>
        <v>6357.5847499999973</v>
      </c>
      <c r="AC431" s="2">
        <f t="shared" si="40"/>
        <v>0.49071246892252063</v>
      </c>
      <c r="AD431" s="2" t="e">
        <f>_xlfn.PERCENTILE.INC(S:S, 0.33)</f>
        <v>#NUM!</v>
      </c>
      <c r="AE431" s="2" t="e">
        <f>_xlfn.PERCENTILE.INC(S:S, 0.66)</f>
        <v>#NUM!</v>
      </c>
      <c r="AF431" s="30" t="e">
        <f t="shared" si="41"/>
        <v>#NUM!</v>
      </c>
    </row>
    <row r="432" spans="1:32" x14ac:dyDescent="0.3">
      <c r="A432" s="31" t="s">
        <v>445</v>
      </c>
      <c r="B432" s="32">
        <v>45654</v>
      </c>
      <c r="C432" s="47">
        <f>EOMONTH(Table2[[#This Row],[OrderDate]],-1)+1</f>
        <v>45627</v>
      </c>
      <c r="D432" s="45">
        <f>EOMONTH(_xlfn.MINIFS(B432:B1062,M432:M1062,Table2[[#This Row],[Country]]), -1) + 1</f>
        <v>44927</v>
      </c>
      <c r="E432" s="47"/>
      <c r="F432" s="32" t="str">
        <f>"Q"&amp;ROUNDUP(MONTH(B432)/3,0)&amp;"-"&amp;YEAR(B432)</f>
        <v>Q4-2024</v>
      </c>
      <c r="G432" s="32">
        <v>45665</v>
      </c>
      <c r="H432" s="32">
        <f>IF(G432&lt;B432, B432+3, G432)</f>
        <v>45665</v>
      </c>
      <c r="I432" s="33">
        <f>H432-B432</f>
        <v>11</v>
      </c>
      <c r="J432" s="33">
        <f t="shared" si="36"/>
        <v>0</v>
      </c>
      <c r="K432" s="33">
        <f t="shared" si="37"/>
        <v>0</v>
      </c>
      <c r="L432" s="34" t="s">
        <v>647</v>
      </c>
      <c r="M432" s="34" t="s">
        <v>659</v>
      </c>
      <c r="N432" s="34" t="s">
        <v>676</v>
      </c>
      <c r="O432" s="34" t="s">
        <v>706</v>
      </c>
      <c r="P432" s="34" t="s">
        <v>708</v>
      </c>
      <c r="Q432" s="34" t="s">
        <v>723</v>
      </c>
      <c r="R432" s="34" t="s">
        <v>731</v>
      </c>
      <c r="S432" s="34" t="s">
        <v>1164</v>
      </c>
      <c r="T432" s="35">
        <v>1201.31</v>
      </c>
      <c r="U432" s="35">
        <v>2764.65</v>
      </c>
      <c r="V432" s="35">
        <f t="shared" si="38"/>
        <v>0</v>
      </c>
      <c r="W432" s="35">
        <v>0</v>
      </c>
      <c r="X432" s="33">
        <f>IF(Table2[[#This Row],[DiscountPct]]&gt;0.2,1,0)</f>
        <v>0</v>
      </c>
      <c r="Y432" s="33">
        <v>21</v>
      </c>
      <c r="Z432" s="30">
        <f>Table2[[#This Row],[UnitPrice]]*Y432*(1-V432)</f>
        <v>58057.65</v>
      </c>
      <c r="AA432" s="31">
        <f>T432*Y432</f>
        <v>25227.51</v>
      </c>
      <c r="AB432" s="31">
        <f t="shared" si="39"/>
        <v>32830.14</v>
      </c>
      <c r="AC432" s="31">
        <f t="shared" si="40"/>
        <v>0.56547483406579491</v>
      </c>
      <c r="AD432" s="31" t="e">
        <f>_xlfn.PERCENTILE.INC(S:S, 0.33)</f>
        <v>#NUM!</v>
      </c>
      <c r="AE432" s="31" t="e">
        <f>_xlfn.PERCENTILE.INC(S:S, 0.66)</f>
        <v>#NUM!</v>
      </c>
      <c r="AF432" s="30" t="e">
        <f t="shared" si="41"/>
        <v>#NUM!</v>
      </c>
    </row>
    <row r="433" spans="1:32" x14ac:dyDescent="0.3">
      <c r="A433" s="2" t="s">
        <v>446</v>
      </c>
      <c r="B433" s="4">
        <v>45220</v>
      </c>
      <c r="C433" s="46">
        <f>EOMONTH(Table2[[#This Row],[OrderDate]],-1)+1</f>
        <v>45200</v>
      </c>
      <c r="D433" s="45">
        <f>EOMONTH(_xlfn.MINIFS(B433:B1063,M433:M1063,Table2[[#This Row],[Country]]), -1) + 1</f>
        <v>44927</v>
      </c>
      <c r="E433" s="46"/>
      <c r="F433" s="4" t="str">
        <f>"Q"&amp;ROUNDUP(MONTH(B433)/3,0)&amp;"-"&amp;YEAR(B433)</f>
        <v>Q4-2023</v>
      </c>
      <c r="G433" s="4">
        <v>45220</v>
      </c>
      <c r="H433" s="4">
        <f>IF(G433&lt;B433, B433+3, G433)</f>
        <v>45220</v>
      </c>
      <c r="I433" s="10">
        <f>H433-B433</f>
        <v>0</v>
      </c>
      <c r="J433" s="10">
        <f t="shared" si="36"/>
        <v>1</v>
      </c>
      <c r="K433" s="10">
        <f t="shared" si="37"/>
        <v>1</v>
      </c>
      <c r="L433" s="6" t="s">
        <v>649</v>
      </c>
      <c r="M433" s="6" t="s">
        <v>658</v>
      </c>
      <c r="N433" s="6" t="s">
        <v>693</v>
      </c>
      <c r="O433" s="6" t="s">
        <v>706</v>
      </c>
      <c r="P433" s="6" t="s">
        <v>710</v>
      </c>
      <c r="Q433" s="6" t="s">
        <v>713</v>
      </c>
      <c r="R433" s="6" t="s">
        <v>732</v>
      </c>
      <c r="S433" s="6" t="s">
        <v>1165</v>
      </c>
      <c r="T433" s="8">
        <v>384.19</v>
      </c>
      <c r="U433" s="8">
        <v>278.35000000000002</v>
      </c>
      <c r="V433" s="8">
        <f t="shared" si="38"/>
        <v>5.6000000000000001E-2</v>
      </c>
      <c r="W433" s="8">
        <v>5.6000000000000001E-2</v>
      </c>
      <c r="X433" s="10">
        <f>IF(Table2[[#This Row],[DiscountPct]]&gt;0.2,1,0)</f>
        <v>0</v>
      </c>
      <c r="Y433" s="10">
        <v>10</v>
      </c>
      <c r="Z433" s="30">
        <f>Table2[[#This Row],[UnitPrice]]*Y433*(1-V433)</f>
        <v>2627.6239999999998</v>
      </c>
      <c r="AA433" s="2">
        <f>T433*Y433</f>
        <v>3841.9</v>
      </c>
      <c r="AB433" s="2">
        <f t="shared" si="39"/>
        <v>-1214.2760000000003</v>
      </c>
      <c r="AC433" s="2">
        <f t="shared" si="40"/>
        <v>-0.46211938998882657</v>
      </c>
      <c r="AD433" s="2" t="e">
        <f>_xlfn.PERCENTILE.INC(S:S, 0.33)</f>
        <v>#NUM!</v>
      </c>
      <c r="AE433" s="2" t="e">
        <f>_xlfn.PERCENTILE.INC(S:S, 0.66)</f>
        <v>#NUM!</v>
      </c>
      <c r="AF433" s="30" t="e">
        <f t="shared" si="41"/>
        <v>#NUM!</v>
      </c>
    </row>
    <row r="434" spans="1:32" x14ac:dyDescent="0.3">
      <c r="A434" s="31" t="s">
        <v>447</v>
      </c>
      <c r="B434" s="32">
        <v>45636</v>
      </c>
      <c r="C434" s="47">
        <f>EOMONTH(Table2[[#This Row],[OrderDate]],-1)+1</f>
        <v>45627</v>
      </c>
      <c r="D434" s="45">
        <f>EOMONTH(_xlfn.MINIFS(B434:B1064,M434:M1064,Table2[[#This Row],[Country]]), -1) + 1</f>
        <v>44958</v>
      </c>
      <c r="E434" s="47"/>
      <c r="F434" s="32" t="str">
        <f>"Q"&amp;ROUNDUP(MONTH(B434)/3,0)&amp;"-"&amp;YEAR(B434)</f>
        <v>Q4-2024</v>
      </c>
      <c r="G434" s="32">
        <v>45645</v>
      </c>
      <c r="H434" s="32">
        <f>IF(G434&lt;B434, B434+3, G434)</f>
        <v>45645</v>
      </c>
      <c r="I434" s="33">
        <f>H434-B434</f>
        <v>9</v>
      </c>
      <c r="J434" s="33">
        <f t="shared" si="36"/>
        <v>0</v>
      </c>
      <c r="K434" s="33">
        <f t="shared" si="37"/>
        <v>0</v>
      </c>
      <c r="L434" s="34" t="s">
        <v>646</v>
      </c>
      <c r="M434" s="34" t="s">
        <v>651</v>
      </c>
      <c r="N434" s="34" t="s">
        <v>665</v>
      </c>
      <c r="O434" s="34" t="s">
        <v>701</v>
      </c>
      <c r="P434" s="34" t="s">
        <v>707</v>
      </c>
      <c r="Q434" s="34" t="s">
        <v>719</v>
      </c>
      <c r="R434" s="34" t="s">
        <v>732</v>
      </c>
      <c r="S434" s="34" t="s">
        <v>1166</v>
      </c>
      <c r="T434" s="35">
        <v>488.68</v>
      </c>
      <c r="U434" s="35">
        <v>984.36</v>
      </c>
      <c r="V434" s="35">
        <f t="shared" si="38"/>
        <v>5.8999999999999997E-2</v>
      </c>
      <c r="W434" s="35">
        <v>5.8999999999999997E-2</v>
      </c>
      <c r="X434" s="33">
        <f>IF(Table2[[#This Row],[DiscountPct]]&gt;0.2,1,0)</f>
        <v>0</v>
      </c>
      <c r="Y434" s="33">
        <v>14</v>
      </c>
      <c r="Z434" s="30">
        <f>Table2[[#This Row],[UnitPrice]]*Y434*(1-V434)</f>
        <v>12967.958640000001</v>
      </c>
      <c r="AA434" s="31">
        <f>T434*Y434</f>
        <v>6841.52</v>
      </c>
      <c r="AB434" s="31">
        <f t="shared" si="39"/>
        <v>6126.4386400000003</v>
      </c>
      <c r="AC434" s="31">
        <f t="shared" si="40"/>
        <v>0.47242891576649876</v>
      </c>
      <c r="AD434" s="31" t="e">
        <f>_xlfn.PERCENTILE.INC(S:S, 0.33)</f>
        <v>#NUM!</v>
      </c>
      <c r="AE434" s="31" t="e">
        <f>_xlfn.PERCENTILE.INC(S:S, 0.66)</f>
        <v>#NUM!</v>
      </c>
      <c r="AF434" s="30" t="e">
        <f t="shared" si="41"/>
        <v>#NUM!</v>
      </c>
    </row>
    <row r="435" spans="1:32" x14ac:dyDescent="0.3">
      <c r="A435" s="2" t="s">
        <v>448</v>
      </c>
      <c r="B435" s="4">
        <v>45542</v>
      </c>
      <c r="C435" s="46">
        <f>EOMONTH(Table2[[#This Row],[OrderDate]],-1)+1</f>
        <v>45536</v>
      </c>
      <c r="D435" s="45">
        <f>EOMONTH(_xlfn.MINIFS(B435:B1065,M435:M1065,Table2[[#This Row],[Country]]), -1) + 1</f>
        <v>44927</v>
      </c>
      <c r="E435" s="46"/>
      <c r="F435" s="4" t="str">
        <f>"Q"&amp;ROUNDUP(MONTH(B435)/3,0)&amp;"-"&amp;YEAR(B435)</f>
        <v>Q3-2024</v>
      </c>
      <c r="G435" s="4">
        <v>45553</v>
      </c>
      <c r="H435" s="4">
        <f>IF(G435&lt;B435, B435+3, G435)</f>
        <v>45553</v>
      </c>
      <c r="I435" s="10">
        <f>H435-B435</f>
        <v>11</v>
      </c>
      <c r="J435" s="10">
        <f t="shared" si="36"/>
        <v>0</v>
      </c>
      <c r="K435" s="10">
        <f t="shared" si="37"/>
        <v>0</v>
      </c>
      <c r="L435" s="6" t="s">
        <v>647</v>
      </c>
      <c r="M435" s="6" t="s">
        <v>659</v>
      </c>
      <c r="N435" s="6" t="s">
        <v>699</v>
      </c>
      <c r="O435" s="6" t="s">
        <v>704</v>
      </c>
      <c r="P435" s="6" t="s">
        <v>710</v>
      </c>
      <c r="Q435" s="6" t="s">
        <v>719</v>
      </c>
      <c r="R435" s="6" t="s">
        <v>729</v>
      </c>
      <c r="S435" s="6" t="s">
        <v>1167</v>
      </c>
      <c r="T435" s="8">
        <v>181.74</v>
      </c>
      <c r="U435" s="8">
        <v>190.84</v>
      </c>
      <c r="V435" s="8">
        <f t="shared" si="38"/>
        <v>0.214</v>
      </c>
      <c r="W435" s="8">
        <v>0.214</v>
      </c>
      <c r="X435" s="10">
        <f>IF(Table2[[#This Row],[DiscountPct]]&gt;0.2,1,0)</f>
        <v>1</v>
      </c>
      <c r="Y435" s="10">
        <v>13</v>
      </c>
      <c r="Z435" s="30">
        <f>Table2[[#This Row],[UnitPrice]]*Y435*(1-V435)</f>
        <v>1950.0031200000001</v>
      </c>
      <c r="AA435" s="2">
        <f>T435*Y435</f>
        <v>2362.62</v>
      </c>
      <c r="AB435" s="2">
        <f t="shared" si="39"/>
        <v>-412.61687999999981</v>
      </c>
      <c r="AC435" s="2">
        <f t="shared" si="40"/>
        <v>-0.21159806144310159</v>
      </c>
      <c r="AD435" s="2" t="e">
        <f>_xlfn.PERCENTILE.INC(S:S, 0.33)</f>
        <v>#NUM!</v>
      </c>
      <c r="AE435" s="2" t="e">
        <f>_xlfn.PERCENTILE.INC(S:S, 0.66)</f>
        <v>#NUM!</v>
      </c>
      <c r="AF435" s="30" t="e">
        <f t="shared" si="41"/>
        <v>#NUM!</v>
      </c>
    </row>
    <row r="436" spans="1:32" x14ac:dyDescent="0.3">
      <c r="A436" s="31" t="s">
        <v>449</v>
      </c>
      <c r="B436" s="32">
        <v>45217</v>
      </c>
      <c r="C436" s="47">
        <f>EOMONTH(Table2[[#This Row],[OrderDate]],-1)+1</f>
        <v>45200</v>
      </c>
      <c r="D436" s="45">
        <f>EOMONTH(_xlfn.MINIFS(B436:B1066,M436:M1066,Table2[[#This Row],[Country]]), -1) + 1</f>
        <v>44958</v>
      </c>
      <c r="E436" s="47"/>
      <c r="F436" s="32" t="str">
        <f>"Q"&amp;ROUNDUP(MONTH(B436)/3,0)&amp;"-"&amp;YEAR(B436)</f>
        <v>Q4-2023</v>
      </c>
      <c r="G436" s="32">
        <v>45219</v>
      </c>
      <c r="H436" s="32">
        <f>IF(G436&lt;B436, B436+3, G436)</f>
        <v>45219</v>
      </c>
      <c r="I436" s="33">
        <f>H436-B436</f>
        <v>2</v>
      </c>
      <c r="J436" s="33">
        <f t="shared" si="36"/>
        <v>1</v>
      </c>
      <c r="K436" s="33">
        <f t="shared" si="37"/>
        <v>1</v>
      </c>
      <c r="L436" s="34" t="s">
        <v>646</v>
      </c>
      <c r="M436" s="34" t="s">
        <v>650</v>
      </c>
      <c r="N436" s="34" t="s">
        <v>662</v>
      </c>
      <c r="O436" s="34" t="s">
        <v>704</v>
      </c>
      <c r="P436" s="34" t="s">
        <v>707</v>
      </c>
      <c r="Q436" s="34" t="s">
        <v>713</v>
      </c>
      <c r="R436" s="34" t="s">
        <v>730</v>
      </c>
      <c r="S436" s="34" t="s">
        <v>1168</v>
      </c>
      <c r="T436" s="35">
        <v>774.12</v>
      </c>
      <c r="U436" s="35">
        <v>908.3</v>
      </c>
      <c r="V436" s="35">
        <f t="shared" si="38"/>
        <v>0</v>
      </c>
      <c r="W436" s="35">
        <v>0</v>
      </c>
      <c r="X436" s="33">
        <f>IF(Table2[[#This Row],[DiscountPct]]&gt;0.2,1,0)</f>
        <v>0</v>
      </c>
      <c r="Y436" s="33">
        <v>30</v>
      </c>
      <c r="Z436" s="30">
        <f>Table2[[#This Row],[UnitPrice]]*Y436*(1-V436)</f>
        <v>27249</v>
      </c>
      <c r="AA436" s="31">
        <f>T436*Y436</f>
        <v>23223.599999999999</v>
      </c>
      <c r="AB436" s="31">
        <f t="shared" si="39"/>
        <v>4025.4000000000015</v>
      </c>
      <c r="AC436" s="31">
        <f t="shared" si="40"/>
        <v>0.14772652207420461</v>
      </c>
      <c r="AD436" s="31" t="e">
        <f>_xlfn.PERCENTILE.INC(S:S, 0.33)</f>
        <v>#NUM!</v>
      </c>
      <c r="AE436" s="31" t="e">
        <f>_xlfn.PERCENTILE.INC(S:S, 0.66)</f>
        <v>#NUM!</v>
      </c>
      <c r="AF436" s="30" t="e">
        <f t="shared" si="41"/>
        <v>#NUM!</v>
      </c>
    </row>
    <row r="437" spans="1:32" x14ac:dyDescent="0.3">
      <c r="A437" s="2" t="s">
        <v>450</v>
      </c>
      <c r="B437" s="4">
        <v>45650</v>
      </c>
      <c r="C437" s="46">
        <f>EOMONTH(Table2[[#This Row],[OrderDate]],-1)+1</f>
        <v>45627</v>
      </c>
      <c r="D437" s="45">
        <f>EOMONTH(_xlfn.MINIFS(B437:B1067,M437:M1067,Table2[[#This Row],[Country]]), -1) + 1</f>
        <v>45047</v>
      </c>
      <c r="E437" s="46"/>
      <c r="F437" s="4" t="str">
        <f>"Q"&amp;ROUNDUP(MONTH(B437)/3,0)&amp;"-"&amp;YEAR(B437)</f>
        <v>Q4-2024</v>
      </c>
      <c r="G437" s="4">
        <v>45670</v>
      </c>
      <c r="H437" s="4">
        <f>IF(G437&lt;B437, B437+3, G437)</f>
        <v>45670</v>
      </c>
      <c r="I437" s="10">
        <f>H437-B437</f>
        <v>20</v>
      </c>
      <c r="J437" s="10">
        <f t="shared" si="36"/>
        <v>0</v>
      </c>
      <c r="K437" s="10">
        <f t="shared" si="37"/>
        <v>0</v>
      </c>
      <c r="L437" s="6" t="s">
        <v>647</v>
      </c>
      <c r="M437" s="6" t="s">
        <v>654</v>
      </c>
      <c r="N437" s="6" t="s">
        <v>668</v>
      </c>
      <c r="O437" s="6" t="s">
        <v>701</v>
      </c>
      <c r="P437" s="6" t="s">
        <v>709</v>
      </c>
      <c r="Q437" s="6" t="s">
        <v>726</v>
      </c>
      <c r="R437" s="6" t="s">
        <v>729</v>
      </c>
      <c r="S437" s="6" t="s">
        <v>1169</v>
      </c>
      <c r="T437" s="8">
        <v>126.15</v>
      </c>
      <c r="U437" s="8">
        <v>284.23</v>
      </c>
      <c r="V437" s="8">
        <f t="shared" si="38"/>
        <v>0.113</v>
      </c>
      <c r="W437" s="8">
        <v>0.113</v>
      </c>
      <c r="X437" s="10">
        <f>IF(Table2[[#This Row],[DiscountPct]]&gt;0.2,1,0)</f>
        <v>0</v>
      </c>
      <c r="Y437" s="10">
        <v>22</v>
      </c>
      <c r="Z437" s="30">
        <f>Table2[[#This Row],[UnitPrice]]*Y437*(1-V437)</f>
        <v>5546.4642200000008</v>
      </c>
      <c r="AA437" s="2">
        <f>T437*Y437</f>
        <v>2775.3</v>
      </c>
      <c r="AB437" s="2">
        <f t="shared" si="39"/>
        <v>2771.1642200000006</v>
      </c>
      <c r="AC437" s="2">
        <f t="shared" si="40"/>
        <v>0.49962716968541088</v>
      </c>
      <c r="AD437" s="2" t="e">
        <f>_xlfn.PERCENTILE.INC(S:S, 0.33)</f>
        <v>#NUM!</v>
      </c>
      <c r="AE437" s="2" t="e">
        <f>_xlfn.PERCENTILE.INC(S:S, 0.66)</f>
        <v>#NUM!</v>
      </c>
      <c r="AF437" s="30" t="e">
        <f t="shared" si="41"/>
        <v>#NUM!</v>
      </c>
    </row>
    <row r="438" spans="1:32" x14ac:dyDescent="0.3">
      <c r="A438" s="31" t="s">
        <v>451</v>
      </c>
      <c r="B438" s="32">
        <v>45037</v>
      </c>
      <c r="C438" s="47">
        <f>EOMONTH(Table2[[#This Row],[OrderDate]],-1)+1</f>
        <v>45017</v>
      </c>
      <c r="D438" s="45">
        <f>EOMONTH(_xlfn.MINIFS(B438:B1068,M438:M1068,Table2[[#This Row],[Country]]), -1) + 1</f>
        <v>44986</v>
      </c>
      <c r="E438" s="47"/>
      <c r="F438" s="32" t="str">
        <f>"Q"&amp;ROUNDUP(MONTH(B438)/3,0)&amp;"-"&amp;YEAR(B438)</f>
        <v>Q2-2023</v>
      </c>
      <c r="G438" s="32">
        <v>45035</v>
      </c>
      <c r="H438" s="32">
        <f>IF(G438&lt;B438, B438+3, G438)</f>
        <v>45040</v>
      </c>
      <c r="I438" s="33">
        <f>H438-B438</f>
        <v>3</v>
      </c>
      <c r="J438" s="33">
        <f t="shared" si="36"/>
        <v>1</v>
      </c>
      <c r="K438" s="33">
        <f t="shared" si="37"/>
        <v>1</v>
      </c>
      <c r="L438" s="34" t="s">
        <v>647</v>
      </c>
      <c r="M438" s="34" t="s">
        <v>652</v>
      </c>
      <c r="N438" s="34" t="s">
        <v>694</v>
      </c>
      <c r="O438" s="34" t="s">
        <v>705</v>
      </c>
      <c r="P438" s="34" t="s">
        <v>711</v>
      </c>
      <c r="Q438" s="34" t="s">
        <v>724</v>
      </c>
      <c r="R438" s="34" t="s">
        <v>727</v>
      </c>
      <c r="S438" s="34" t="s">
        <v>1170</v>
      </c>
      <c r="T438" s="35">
        <v>607.04</v>
      </c>
      <c r="U438" s="35">
        <v>1229.3399999999999</v>
      </c>
      <c r="V438" s="35">
        <f t="shared" si="38"/>
        <v>0.14699999999999999</v>
      </c>
      <c r="W438" s="35">
        <v>0.14699999999999999</v>
      </c>
      <c r="X438" s="33">
        <f>IF(Table2[[#This Row],[DiscountPct]]&gt;0.2,1,0)</f>
        <v>0</v>
      </c>
      <c r="Y438" s="33">
        <v>7</v>
      </c>
      <c r="Z438" s="30">
        <f>Table2[[#This Row],[UnitPrice]]*Y438*(1-V438)</f>
        <v>7340.3891399999993</v>
      </c>
      <c r="AA438" s="31">
        <f>T438*Y438</f>
        <v>4249.28</v>
      </c>
      <c r="AB438" s="31">
        <f t="shared" si="39"/>
        <v>3091.1091399999996</v>
      </c>
      <c r="AC438" s="31">
        <f t="shared" si="40"/>
        <v>0.42110970972310058</v>
      </c>
      <c r="AD438" s="31" t="e">
        <f>_xlfn.PERCENTILE.INC(S:S, 0.33)</f>
        <v>#NUM!</v>
      </c>
      <c r="AE438" s="31" t="e">
        <f>_xlfn.PERCENTILE.INC(S:S, 0.66)</f>
        <v>#NUM!</v>
      </c>
      <c r="AF438" s="30" t="e">
        <f t="shared" si="41"/>
        <v>#NUM!</v>
      </c>
    </row>
    <row r="439" spans="1:32" x14ac:dyDescent="0.3">
      <c r="A439" s="2" t="s">
        <v>452</v>
      </c>
      <c r="B439" s="4">
        <v>45290</v>
      </c>
      <c r="C439" s="46">
        <f>EOMONTH(Table2[[#This Row],[OrderDate]],-1)+1</f>
        <v>45261</v>
      </c>
      <c r="D439" s="45">
        <f>EOMONTH(_xlfn.MINIFS(B439:B1069,M439:M1069,Table2[[#This Row],[Country]]), -1) + 1</f>
        <v>45017</v>
      </c>
      <c r="E439" s="46"/>
      <c r="F439" s="4" t="str">
        <f>"Q"&amp;ROUNDUP(MONTH(B439)/3,0)&amp;"-"&amp;YEAR(B439)</f>
        <v>Q4-2023</v>
      </c>
      <c r="G439" s="4">
        <v>45299</v>
      </c>
      <c r="H439" s="4">
        <f>IF(G439&lt;B439, B439+3, G439)</f>
        <v>45299</v>
      </c>
      <c r="I439" s="10">
        <f>H439-B439</f>
        <v>9</v>
      </c>
      <c r="J439" s="10">
        <f t="shared" si="36"/>
        <v>0</v>
      </c>
      <c r="K439" s="10">
        <f t="shared" si="37"/>
        <v>0</v>
      </c>
      <c r="L439" s="6" t="s">
        <v>649</v>
      </c>
      <c r="M439" s="6" t="s">
        <v>657</v>
      </c>
      <c r="N439" s="6" t="s">
        <v>673</v>
      </c>
      <c r="O439" s="6" t="s">
        <v>704</v>
      </c>
      <c r="P439" s="6" t="s">
        <v>709</v>
      </c>
      <c r="Q439" s="6" t="s">
        <v>716</v>
      </c>
      <c r="R439" s="6" t="s">
        <v>733</v>
      </c>
      <c r="S439" s="6" t="s">
        <v>1171</v>
      </c>
      <c r="T439" s="8">
        <v>861.1</v>
      </c>
      <c r="U439" s="8">
        <v>1224.72</v>
      </c>
      <c r="V439" s="8">
        <f t="shared" si="38"/>
        <v>0.17399999999999999</v>
      </c>
      <c r="W439" s="8">
        <v>0.17399999999999999</v>
      </c>
      <c r="X439" s="10">
        <f>IF(Table2[[#This Row],[DiscountPct]]&gt;0.2,1,0)</f>
        <v>0</v>
      </c>
      <c r="Y439" s="10">
        <v>24</v>
      </c>
      <c r="Z439" s="30">
        <f>Table2[[#This Row],[UnitPrice]]*Y439*(1-V439)</f>
        <v>24278.849280000002</v>
      </c>
      <c r="AA439" s="2">
        <f>T439*Y439</f>
        <v>20666.400000000001</v>
      </c>
      <c r="AB439" s="2">
        <f t="shared" si="39"/>
        <v>3612.4492800000007</v>
      </c>
      <c r="AC439" s="2">
        <f t="shared" si="40"/>
        <v>0.14878997098827909</v>
      </c>
      <c r="AD439" s="2" t="e">
        <f>_xlfn.PERCENTILE.INC(S:S, 0.33)</f>
        <v>#NUM!</v>
      </c>
      <c r="AE439" s="2" t="e">
        <f>_xlfn.PERCENTILE.INC(S:S, 0.66)</f>
        <v>#NUM!</v>
      </c>
      <c r="AF439" s="30" t="e">
        <f t="shared" si="41"/>
        <v>#NUM!</v>
      </c>
    </row>
    <row r="440" spans="1:32" x14ac:dyDescent="0.3">
      <c r="A440" s="31" t="s">
        <v>453</v>
      </c>
      <c r="B440" s="32">
        <v>44978</v>
      </c>
      <c r="C440" s="47">
        <f>EOMONTH(Table2[[#This Row],[OrderDate]],-1)+1</f>
        <v>44958</v>
      </c>
      <c r="D440" s="45">
        <f>EOMONTH(_xlfn.MINIFS(B440:B1070,M440:M1070,Table2[[#This Row],[Country]]), -1) + 1</f>
        <v>44958</v>
      </c>
      <c r="E440" s="47"/>
      <c r="F440" s="32" t="str">
        <f>"Q"&amp;ROUNDUP(MONTH(B440)/3,0)&amp;"-"&amp;YEAR(B440)</f>
        <v>Q1-2023</v>
      </c>
      <c r="G440" s="32">
        <v>44997</v>
      </c>
      <c r="H440" s="32">
        <f>IF(G440&lt;B440, B440+3, G440)</f>
        <v>44997</v>
      </c>
      <c r="I440" s="33">
        <f>H440-B440</f>
        <v>19</v>
      </c>
      <c r="J440" s="33">
        <f t="shared" si="36"/>
        <v>0</v>
      </c>
      <c r="K440" s="33">
        <f t="shared" si="37"/>
        <v>0</v>
      </c>
      <c r="L440" s="34" t="s">
        <v>646</v>
      </c>
      <c r="M440" s="34" t="s">
        <v>650</v>
      </c>
      <c r="N440" s="34" t="s">
        <v>678</v>
      </c>
      <c r="O440" s="34" t="s">
        <v>701</v>
      </c>
      <c r="P440" s="34" t="s">
        <v>708</v>
      </c>
      <c r="Q440" s="34" t="s">
        <v>721</v>
      </c>
      <c r="R440" s="34" t="s">
        <v>729</v>
      </c>
      <c r="S440" s="34" t="s">
        <v>1172</v>
      </c>
      <c r="T440" s="35">
        <v>352.65</v>
      </c>
      <c r="U440" s="35">
        <v>485.86</v>
      </c>
      <c r="V440" s="35">
        <f t="shared" si="38"/>
        <v>4.1000000000000002E-2</v>
      </c>
      <c r="W440" s="35">
        <v>4.1000000000000002E-2</v>
      </c>
      <c r="X440" s="33">
        <f>IF(Table2[[#This Row],[DiscountPct]]&gt;0.2,1,0)</f>
        <v>0</v>
      </c>
      <c r="Y440" s="33">
        <v>6</v>
      </c>
      <c r="Z440" s="30">
        <f>Table2[[#This Row],[UnitPrice]]*Y440*(1-V440)</f>
        <v>2795.6384399999997</v>
      </c>
      <c r="AA440" s="31">
        <f>T440*Y440</f>
        <v>2115.8999999999996</v>
      </c>
      <c r="AB440" s="31">
        <f t="shared" si="39"/>
        <v>679.73844000000008</v>
      </c>
      <c r="AC440" s="31">
        <f t="shared" si="40"/>
        <v>0.24314247159943908</v>
      </c>
      <c r="AD440" s="31" t="e">
        <f>_xlfn.PERCENTILE.INC(S:S, 0.33)</f>
        <v>#NUM!</v>
      </c>
      <c r="AE440" s="31" t="e">
        <f>_xlfn.PERCENTILE.INC(S:S, 0.66)</f>
        <v>#NUM!</v>
      </c>
      <c r="AF440" s="30" t="e">
        <f t="shared" si="41"/>
        <v>#NUM!</v>
      </c>
    </row>
    <row r="441" spans="1:32" x14ac:dyDescent="0.3">
      <c r="A441" s="2" t="s">
        <v>454</v>
      </c>
      <c r="B441" s="4">
        <v>45063</v>
      </c>
      <c r="C441" s="46">
        <f>EOMONTH(Table2[[#This Row],[OrderDate]],-1)+1</f>
        <v>45047</v>
      </c>
      <c r="D441" s="45">
        <f>EOMONTH(_xlfn.MINIFS(B441:B1071,M441:M1071,Table2[[#This Row],[Country]]), -1) + 1</f>
        <v>44927</v>
      </c>
      <c r="E441" s="46"/>
      <c r="F441" s="4" t="str">
        <f>"Q"&amp;ROUNDUP(MONTH(B441)/3,0)&amp;"-"&amp;YEAR(B441)</f>
        <v>Q2-2023</v>
      </c>
      <c r="G441" s="4">
        <v>45080</v>
      </c>
      <c r="H441" s="4">
        <f>IF(G441&lt;B441, B441+3, G441)</f>
        <v>45080</v>
      </c>
      <c r="I441" s="10">
        <f>H441-B441</f>
        <v>17</v>
      </c>
      <c r="J441" s="10">
        <f t="shared" si="36"/>
        <v>0</v>
      </c>
      <c r="K441" s="10">
        <f t="shared" si="37"/>
        <v>0</v>
      </c>
      <c r="L441" s="6" t="s">
        <v>647</v>
      </c>
      <c r="M441" s="6" t="s">
        <v>659</v>
      </c>
      <c r="N441" s="6" t="s">
        <v>699</v>
      </c>
      <c r="O441" s="6" t="s">
        <v>703</v>
      </c>
      <c r="P441" s="6" t="s">
        <v>710</v>
      </c>
      <c r="Q441" s="6" t="s">
        <v>724</v>
      </c>
      <c r="R441" s="6" t="s">
        <v>728</v>
      </c>
      <c r="S441" s="6" t="s">
        <v>1173</v>
      </c>
      <c r="T441" s="8">
        <v>979.59</v>
      </c>
      <c r="U441" s="8">
        <v>2210.94</v>
      </c>
      <c r="V441" s="8">
        <f t="shared" si="38"/>
        <v>0.15</v>
      </c>
      <c r="W441" s="8">
        <v>0.15</v>
      </c>
      <c r="X441" s="10">
        <f>IF(Table2[[#This Row],[DiscountPct]]&gt;0.2,1,0)</f>
        <v>0</v>
      </c>
      <c r="Y441" s="10">
        <v>11</v>
      </c>
      <c r="Z441" s="30">
        <f>Table2[[#This Row],[UnitPrice]]*Y441*(1-V441)</f>
        <v>20672.289000000001</v>
      </c>
      <c r="AA441" s="2">
        <f>T441*Y441</f>
        <v>10775.49</v>
      </c>
      <c r="AB441" s="2">
        <f t="shared" si="39"/>
        <v>9896.7990000000009</v>
      </c>
      <c r="AC441" s="2">
        <f t="shared" si="40"/>
        <v>0.47874712858358359</v>
      </c>
      <c r="AD441" s="2" t="e">
        <f>_xlfn.PERCENTILE.INC(S:S, 0.33)</f>
        <v>#NUM!</v>
      </c>
      <c r="AE441" s="2" t="e">
        <f>_xlfn.PERCENTILE.INC(S:S, 0.66)</f>
        <v>#NUM!</v>
      </c>
      <c r="AF441" s="30" t="e">
        <f t="shared" si="41"/>
        <v>#NUM!</v>
      </c>
    </row>
    <row r="442" spans="1:32" x14ac:dyDescent="0.3">
      <c r="A442" s="31" t="s">
        <v>455</v>
      </c>
      <c r="B442" s="32">
        <v>45374</v>
      </c>
      <c r="C442" s="47">
        <f>EOMONTH(Table2[[#This Row],[OrderDate]],-1)+1</f>
        <v>45352</v>
      </c>
      <c r="D442" s="45">
        <f>EOMONTH(_xlfn.MINIFS(B442:B1072,M442:M1072,Table2[[#This Row],[Country]]), -1) + 1</f>
        <v>45047</v>
      </c>
      <c r="E442" s="47"/>
      <c r="F442" s="32" t="str">
        <f>"Q"&amp;ROUNDUP(MONTH(B442)/3,0)&amp;"-"&amp;YEAR(B442)</f>
        <v>Q1-2024</v>
      </c>
      <c r="G442" s="32">
        <v>45377</v>
      </c>
      <c r="H442" s="32">
        <f>IF(G442&lt;B442, B442+3, G442)</f>
        <v>45377</v>
      </c>
      <c r="I442" s="33">
        <f>H442-B442</f>
        <v>3</v>
      </c>
      <c r="J442" s="33">
        <f t="shared" si="36"/>
        <v>1</v>
      </c>
      <c r="K442" s="33">
        <f t="shared" si="37"/>
        <v>1</v>
      </c>
      <c r="L442" s="34" t="s">
        <v>647</v>
      </c>
      <c r="M442" s="34" t="s">
        <v>654</v>
      </c>
      <c r="N442" s="34" t="s">
        <v>668</v>
      </c>
      <c r="O442" s="34" t="s">
        <v>702</v>
      </c>
      <c r="P442" s="34" t="s">
        <v>711</v>
      </c>
      <c r="Q442" s="34" t="s">
        <v>715</v>
      </c>
      <c r="R442" s="34" t="s">
        <v>730</v>
      </c>
      <c r="S442" s="34" t="s">
        <v>1174</v>
      </c>
      <c r="T442" s="35">
        <v>382.21</v>
      </c>
      <c r="U442" s="35">
        <v>571.89</v>
      </c>
      <c r="V442" s="35">
        <f t="shared" si="38"/>
        <v>0.14799999999999999</v>
      </c>
      <c r="W442" s="35">
        <v>0.14799999999999999</v>
      </c>
      <c r="X442" s="33">
        <f>IF(Table2[[#This Row],[DiscountPct]]&gt;0.2,1,0)</f>
        <v>0</v>
      </c>
      <c r="Y442" s="33">
        <v>26</v>
      </c>
      <c r="Z442" s="30">
        <f>Table2[[#This Row],[UnitPrice]]*Y442*(1-V442)</f>
        <v>12668.50728</v>
      </c>
      <c r="AA442" s="31">
        <f>T442*Y442</f>
        <v>9937.4599999999991</v>
      </c>
      <c r="AB442" s="31">
        <f t="shared" si="39"/>
        <v>2731.0472800000007</v>
      </c>
      <c r="AC442" s="31">
        <f t="shared" si="40"/>
        <v>0.2155776698578809</v>
      </c>
      <c r="AD442" s="31" t="e">
        <f>_xlfn.PERCENTILE.INC(S:S, 0.33)</f>
        <v>#NUM!</v>
      </c>
      <c r="AE442" s="31" t="e">
        <f>_xlfn.PERCENTILE.INC(S:S, 0.66)</f>
        <v>#NUM!</v>
      </c>
      <c r="AF442" s="30" t="e">
        <f t="shared" si="41"/>
        <v>#NUM!</v>
      </c>
    </row>
    <row r="443" spans="1:32" x14ac:dyDescent="0.3">
      <c r="A443" s="2" t="s">
        <v>456</v>
      </c>
      <c r="B443" s="4">
        <v>45189</v>
      </c>
      <c r="C443" s="46">
        <f>EOMONTH(Table2[[#This Row],[OrderDate]],-1)+1</f>
        <v>45170</v>
      </c>
      <c r="D443" s="45">
        <f>EOMONTH(_xlfn.MINIFS(B443:B1073,M443:M1073,Table2[[#This Row],[Country]]), -1) + 1</f>
        <v>45047</v>
      </c>
      <c r="E443" s="46"/>
      <c r="F443" s="4" t="str">
        <f>"Q"&amp;ROUNDUP(MONTH(B443)/3,0)&amp;"-"&amp;YEAR(B443)</f>
        <v>Q3-2023</v>
      </c>
      <c r="G443" s="4">
        <v>45197</v>
      </c>
      <c r="H443" s="4">
        <f>IF(G443&lt;B443, B443+3, G443)</f>
        <v>45197</v>
      </c>
      <c r="I443" s="10">
        <f>H443-B443</f>
        <v>8</v>
      </c>
      <c r="J443" s="10">
        <f t="shared" si="36"/>
        <v>0</v>
      </c>
      <c r="K443" s="10">
        <f t="shared" si="37"/>
        <v>0</v>
      </c>
      <c r="L443" s="6" t="s">
        <v>647</v>
      </c>
      <c r="M443" s="6" t="s">
        <v>654</v>
      </c>
      <c r="N443" s="2" t="s">
        <v>680</v>
      </c>
      <c r="O443" s="6" t="s">
        <v>701</v>
      </c>
      <c r="P443" s="6" t="s">
        <v>711</v>
      </c>
      <c r="Q443" s="6" t="s">
        <v>717</v>
      </c>
      <c r="R443" s="6" t="s">
        <v>733</v>
      </c>
      <c r="S443" s="6" t="s">
        <v>1175</v>
      </c>
      <c r="T443" s="8">
        <v>1362.06</v>
      </c>
      <c r="U443" s="8">
        <v>3398.37</v>
      </c>
      <c r="V443" s="8">
        <f t="shared" si="38"/>
        <v>0.157</v>
      </c>
      <c r="W443" s="8">
        <v>0.157</v>
      </c>
      <c r="X443" s="10">
        <f>IF(Table2[[#This Row],[DiscountPct]]&gt;0.2,1,0)</f>
        <v>0</v>
      </c>
      <c r="Y443" s="10">
        <v>11</v>
      </c>
      <c r="Z443" s="30">
        <f>Table2[[#This Row],[UnitPrice]]*Y443*(1-V443)</f>
        <v>31513.085009999999</v>
      </c>
      <c r="AA443" s="2">
        <f>T443*Y443</f>
        <v>14982.66</v>
      </c>
      <c r="AB443" s="2">
        <f t="shared" si="39"/>
        <v>16530.425009999999</v>
      </c>
      <c r="AC443" s="2">
        <f t="shared" si="40"/>
        <v>0.52455749745714919</v>
      </c>
      <c r="AD443" s="2" t="e">
        <f>_xlfn.PERCENTILE.INC(S:S, 0.33)</f>
        <v>#NUM!</v>
      </c>
      <c r="AE443" s="2" t="e">
        <f>_xlfn.PERCENTILE.INC(S:S, 0.66)</f>
        <v>#NUM!</v>
      </c>
      <c r="AF443" s="30" t="e">
        <f t="shared" si="41"/>
        <v>#NUM!</v>
      </c>
    </row>
    <row r="444" spans="1:32" x14ac:dyDescent="0.3">
      <c r="A444" s="31" t="s">
        <v>457</v>
      </c>
      <c r="B444" s="32">
        <v>45526</v>
      </c>
      <c r="C444" s="47">
        <f>EOMONTH(Table2[[#This Row],[OrderDate]],-1)+1</f>
        <v>45505</v>
      </c>
      <c r="D444" s="45">
        <f>EOMONTH(_xlfn.MINIFS(B444:B1074,M444:M1074,Table2[[#This Row],[Country]]), -1) + 1</f>
        <v>44927</v>
      </c>
      <c r="E444" s="47"/>
      <c r="F444" s="32" t="str">
        <f>"Q"&amp;ROUNDUP(MONTH(B444)/3,0)&amp;"-"&amp;YEAR(B444)</f>
        <v>Q3-2024</v>
      </c>
      <c r="G444" s="32">
        <v>45539</v>
      </c>
      <c r="H444" s="32">
        <f>IF(G444&lt;B444, B444+3, G444)</f>
        <v>45539</v>
      </c>
      <c r="I444" s="33">
        <f>H444-B444</f>
        <v>13</v>
      </c>
      <c r="J444" s="33">
        <f t="shared" si="36"/>
        <v>0</v>
      </c>
      <c r="K444" s="33">
        <f t="shared" si="37"/>
        <v>0</v>
      </c>
      <c r="L444" s="34" t="s">
        <v>649</v>
      </c>
      <c r="M444" s="34" t="s">
        <v>656</v>
      </c>
      <c r="N444" s="34" t="s">
        <v>698</v>
      </c>
      <c r="O444" s="34" t="s">
        <v>703</v>
      </c>
      <c r="P444" s="34" t="s">
        <v>707</v>
      </c>
      <c r="Q444" s="34" t="s">
        <v>716</v>
      </c>
      <c r="R444" s="34" t="s">
        <v>728</v>
      </c>
      <c r="S444" s="34" t="s">
        <v>1176</v>
      </c>
      <c r="T444" s="35">
        <v>90.04</v>
      </c>
      <c r="U444" s="35">
        <v>194.62</v>
      </c>
      <c r="V444" s="35">
        <f t="shared" si="38"/>
        <v>4.2999999999999997E-2</v>
      </c>
      <c r="W444" s="35">
        <v>4.2999999999999997E-2</v>
      </c>
      <c r="X444" s="33">
        <f>IF(Table2[[#This Row],[DiscountPct]]&gt;0.2,1,0)</f>
        <v>0</v>
      </c>
      <c r="Y444" s="33">
        <v>32</v>
      </c>
      <c r="Z444" s="30">
        <f>Table2[[#This Row],[UnitPrice]]*Y444*(1-V444)</f>
        <v>5960.04288</v>
      </c>
      <c r="AA444" s="31">
        <f>T444*Y444</f>
        <v>2881.28</v>
      </c>
      <c r="AB444" s="31">
        <f t="shared" si="39"/>
        <v>3078.7628799999998</v>
      </c>
      <c r="AC444" s="31">
        <f t="shared" si="40"/>
        <v>0.51656723650954672</v>
      </c>
      <c r="AD444" s="31" t="e">
        <f>_xlfn.PERCENTILE.INC(S:S, 0.33)</f>
        <v>#NUM!</v>
      </c>
      <c r="AE444" s="31" t="e">
        <f>_xlfn.PERCENTILE.INC(S:S, 0.66)</f>
        <v>#NUM!</v>
      </c>
      <c r="AF444" s="30" t="e">
        <f t="shared" si="41"/>
        <v>#NUM!</v>
      </c>
    </row>
    <row r="445" spans="1:32" x14ac:dyDescent="0.3">
      <c r="A445" s="2" t="s">
        <v>458</v>
      </c>
      <c r="B445" s="4">
        <v>45560</v>
      </c>
      <c r="C445" s="46">
        <f>EOMONTH(Table2[[#This Row],[OrderDate]],-1)+1</f>
        <v>45536</v>
      </c>
      <c r="D445" s="45">
        <f>EOMONTH(_xlfn.MINIFS(B445:B1075,M445:M1075,Table2[[#This Row],[Country]]), -1) + 1</f>
        <v>45017</v>
      </c>
      <c r="E445" s="46"/>
      <c r="F445" s="4" t="str">
        <f>"Q"&amp;ROUNDUP(MONTH(B445)/3,0)&amp;"-"&amp;YEAR(B445)</f>
        <v>Q3-2024</v>
      </c>
      <c r="G445" s="4">
        <v>45568</v>
      </c>
      <c r="H445" s="4">
        <f>IF(G445&lt;B445, B445+3, G445)</f>
        <v>45568</v>
      </c>
      <c r="I445" s="10">
        <f>H445-B445</f>
        <v>8</v>
      </c>
      <c r="J445" s="10">
        <f t="shared" si="36"/>
        <v>0</v>
      </c>
      <c r="K445" s="10">
        <f t="shared" si="37"/>
        <v>0</v>
      </c>
      <c r="L445" s="6" t="s">
        <v>648</v>
      </c>
      <c r="M445" s="6" t="s">
        <v>653</v>
      </c>
      <c r="N445" s="6" t="s">
        <v>667</v>
      </c>
      <c r="O445" s="6" t="s">
        <v>704</v>
      </c>
      <c r="P445" s="6" t="s">
        <v>708</v>
      </c>
      <c r="Q445" s="6" t="s">
        <v>718</v>
      </c>
      <c r="R445" s="6" t="s">
        <v>728</v>
      </c>
      <c r="S445" s="6" t="s">
        <v>1177</v>
      </c>
      <c r="T445" s="8">
        <v>558.19000000000005</v>
      </c>
      <c r="U445" s="8">
        <v>1031.6400000000001</v>
      </c>
      <c r="V445" s="8">
        <f t="shared" si="38"/>
        <v>0</v>
      </c>
      <c r="W445" s="8">
        <v>0</v>
      </c>
      <c r="X445" s="10">
        <f>IF(Table2[[#This Row],[DiscountPct]]&gt;0.2,1,0)</f>
        <v>0</v>
      </c>
      <c r="Y445" s="10">
        <v>21</v>
      </c>
      <c r="Z445" s="30">
        <f>Table2[[#This Row],[UnitPrice]]*Y445*(1-V445)</f>
        <v>21664.440000000002</v>
      </c>
      <c r="AA445" s="2">
        <f>T445*Y445</f>
        <v>11721.990000000002</v>
      </c>
      <c r="AB445" s="2">
        <f t="shared" si="39"/>
        <v>9942.4500000000007</v>
      </c>
      <c r="AC445" s="2">
        <f t="shared" si="40"/>
        <v>0.45892947152107322</v>
      </c>
      <c r="AD445" s="2" t="e">
        <f>_xlfn.PERCENTILE.INC(S:S, 0.33)</f>
        <v>#NUM!</v>
      </c>
      <c r="AE445" s="2" t="e">
        <f>_xlfn.PERCENTILE.INC(S:S, 0.66)</f>
        <v>#NUM!</v>
      </c>
      <c r="AF445" s="30" t="e">
        <f t="shared" si="41"/>
        <v>#NUM!</v>
      </c>
    </row>
    <row r="446" spans="1:32" x14ac:dyDescent="0.3">
      <c r="A446" s="31" t="s">
        <v>459</v>
      </c>
      <c r="B446" s="32">
        <v>45090</v>
      </c>
      <c r="C446" s="47">
        <f>EOMONTH(Table2[[#This Row],[OrderDate]],-1)+1</f>
        <v>45078</v>
      </c>
      <c r="D446" s="45">
        <f>EOMONTH(_xlfn.MINIFS(B446:B1076,M446:M1076,Table2[[#This Row],[Country]]), -1) + 1</f>
        <v>45017</v>
      </c>
      <c r="E446" s="47"/>
      <c r="F446" s="32" t="str">
        <f>"Q"&amp;ROUNDUP(MONTH(B446)/3,0)&amp;"-"&amp;YEAR(B446)</f>
        <v>Q2-2023</v>
      </c>
      <c r="G446" s="32">
        <v>45101</v>
      </c>
      <c r="H446" s="32">
        <f>IF(G446&lt;B446, B446+3, G446)</f>
        <v>45101</v>
      </c>
      <c r="I446" s="33">
        <f>H446-B446</f>
        <v>11</v>
      </c>
      <c r="J446" s="33">
        <f t="shared" si="36"/>
        <v>0</v>
      </c>
      <c r="K446" s="33">
        <f t="shared" si="37"/>
        <v>0</v>
      </c>
      <c r="L446" s="34" t="s">
        <v>648</v>
      </c>
      <c r="M446" s="34" t="s">
        <v>653</v>
      </c>
      <c r="N446" s="34" t="s">
        <v>667</v>
      </c>
      <c r="O446" s="34" t="s">
        <v>701</v>
      </c>
      <c r="P446" s="34" t="s">
        <v>708</v>
      </c>
      <c r="Q446" s="34" t="s">
        <v>712</v>
      </c>
      <c r="R446" s="34" t="s">
        <v>728</v>
      </c>
      <c r="S446" s="34" t="s">
        <v>1178</v>
      </c>
      <c r="T446" s="35">
        <v>247.07</v>
      </c>
      <c r="U446" s="35">
        <v>495.19</v>
      </c>
      <c r="V446" s="35">
        <f t="shared" si="38"/>
        <v>2.8000000000000001E-2</v>
      </c>
      <c r="W446" s="35">
        <v>2.8000000000000001E-2</v>
      </c>
      <c r="X446" s="33">
        <f>IF(Table2[[#This Row],[DiscountPct]]&gt;0.2,1,0)</f>
        <v>0</v>
      </c>
      <c r="Y446" s="33">
        <v>4</v>
      </c>
      <c r="Z446" s="30">
        <f>Table2[[#This Row],[UnitPrice]]*Y446*(1-V446)</f>
        <v>1925.29872</v>
      </c>
      <c r="AA446" s="31">
        <f>T446*Y446</f>
        <v>988.28</v>
      </c>
      <c r="AB446" s="31">
        <f t="shared" si="39"/>
        <v>937.01872000000003</v>
      </c>
      <c r="AC446" s="31">
        <f t="shared" si="40"/>
        <v>0.48668744764968214</v>
      </c>
      <c r="AD446" s="31" t="e">
        <f>_xlfn.PERCENTILE.INC(S:S, 0.33)</f>
        <v>#NUM!</v>
      </c>
      <c r="AE446" s="31" t="e">
        <f>_xlfn.PERCENTILE.INC(S:S, 0.66)</f>
        <v>#NUM!</v>
      </c>
      <c r="AF446" s="30" t="e">
        <f t="shared" si="41"/>
        <v>#NUM!</v>
      </c>
    </row>
    <row r="447" spans="1:32" x14ac:dyDescent="0.3">
      <c r="A447" s="2" t="s">
        <v>460</v>
      </c>
      <c r="B447" s="4">
        <v>45284</v>
      </c>
      <c r="C447" s="46">
        <f>EOMONTH(Table2[[#This Row],[OrderDate]],-1)+1</f>
        <v>45261</v>
      </c>
      <c r="D447" s="45">
        <f>EOMONTH(_xlfn.MINIFS(B447:B1077,M447:M1077,Table2[[#This Row],[Country]]), -1) + 1</f>
        <v>44986</v>
      </c>
      <c r="E447" s="46"/>
      <c r="F447" s="4" t="str">
        <f>"Q"&amp;ROUNDUP(MONTH(B447)/3,0)&amp;"-"&amp;YEAR(B447)</f>
        <v>Q4-2023</v>
      </c>
      <c r="G447" s="4">
        <v>45304</v>
      </c>
      <c r="H447" s="4">
        <f>IF(G447&lt;B447, B447+3, G447)</f>
        <v>45304</v>
      </c>
      <c r="I447" s="10">
        <f>H447-B447</f>
        <v>20</v>
      </c>
      <c r="J447" s="10">
        <f t="shared" si="36"/>
        <v>0</v>
      </c>
      <c r="K447" s="10">
        <f t="shared" si="37"/>
        <v>0</v>
      </c>
      <c r="L447" s="6" t="s">
        <v>647</v>
      </c>
      <c r="M447" s="6" t="s">
        <v>652</v>
      </c>
      <c r="N447" s="6" t="s">
        <v>694</v>
      </c>
      <c r="O447" s="6" t="s">
        <v>702</v>
      </c>
      <c r="P447" s="6" t="s">
        <v>711</v>
      </c>
      <c r="Q447" s="6" t="s">
        <v>717</v>
      </c>
      <c r="R447" s="6" t="s">
        <v>731</v>
      </c>
      <c r="S447" s="6" t="s">
        <v>1179</v>
      </c>
      <c r="T447" s="8">
        <v>625.37</v>
      </c>
      <c r="U447" s="8">
        <v>1319.04</v>
      </c>
      <c r="V447" s="8">
        <f t="shared" si="38"/>
        <v>7.3999999999999996E-2</v>
      </c>
      <c r="W447" s="8">
        <v>7.3999999999999996E-2</v>
      </c>
      <c r="X447" s="10">
        <f>IF(Table2[[#This Row],[DiscountPct]]&gt;0.2,1,0)</f>
        <v>0</v>
      </c>
      <c r="Y447" s="10">
        <v>8</v>
      </c>
      <c r="Z447" s="30">
        <f>Table2[[#This Row],[UnitPrice]]*Y447*(1-V447)</f>
        <v>9771.4483199999995</v>
      </c>
      <c r="AA447" s="2">
        <f>T447*Y447</f>
        <v>5002.96</v>
      </c>
      <c r="AB447" s="2">
        <f t="shared" si="39"/>
        <v>4768.4883199999995</v>
      </c>
      <c r="AC447" s="2">
        <f t="shared" si="40"/>
        <v>0.48800220436513547</v>
      </c>
      <c r="AD447" s="2" t="e">
        <f>_xlfn.PERCENTILE.INC(S:S, 0.33)</f>
        <v>#NUM!</v>
      </c>
      <c r="AE447" s="2" t="e">
        <f>_xlfn.PERCENTILE.INC(S:S, 0.66)</f>
        <v>#NUM!</v>
      </c>
      <c r="AF447" s="30" t="e">
        <f t="shared" si="41"/>
        <v>#NUM!</v>
      </c>
    </row>
    <row r="448" spans="1:32" x14ac:dyDescent="0.3">
      <c r="A448" s="31" t="s">
        <v>461</v>
      </c>
      <c r="B448" s="32">
        <v>45746</v>
      </c>
      <c r="C448" s="47">
        <f>EOMONTH(Table2[[#This Row],[OrderDate]],-1)+1</f>
        <v>45717</v>
      </c>
      <c r="D448" s="45">
        <f>EOMONTH(_xlfn.MINIFS(B448:B1078,M448:M1078,Table2[[#This Row],[Country]]), -1) + 1</f>
        <v>44927</v>
      </c>
      <c r="E448" s="47"/>
      <c r="F448" s="32" t="str">
        <f>"Q"&amp;ROUNDUP(MONTH(B448)/3,0)&amp;"-"&amp;YEAR(B448)</f>
        <v>Q1-2025</v>
      </c>
      <c r="G448" s="32">
        <v>45776</v>
      </c>
      <c r="H448" s="32">
        <f>IF(G448&lt;B448, B448+3, G448)</f>
        <v>45776</v>
      </c>
      <c r="I448" s="33">
        <f>H448-B448</f>
        <v>30</v>
      </c>
      <c r="J448" s="33">
        <f t="shared" si="36"/>
        <v>0</v>
      </c>
      <c r="K448" s="33">
        <f t="shared" si="37"/>
        <v>0</v>
      </c>
      <c r="L448" s="34" t="s">
        <v>646</v>
      </c>
      <c r="M448" s="34" t="s">
        <v>661</v>
      </c>
      <c r="N448" s="34" t="s">
        <v>687</v>
      </c>
      <c r="O448" s="34" t="s">
        <v>704</v>
      </c>
      <c r="P448" s="34" t="s">
        <v>709</v>
      </c>
      <c r="Q448" s="34" t="s">
        <v>713</v>
      </c>
      <c r="R448" s="34" t="s">
        <v>732</v>
      </c>
      <c r="S448" s="34" t="s">
        <v>1180</v>
      </c>
      <c r="T448" s="35">
        <v>194.6</v>
      </c>
      <c r="U448" s="35">
        <v>314.87</v>
      </c>
      <c r="V448" s="35">
        <f t="shared" si="38"/>
        <v>0.29299999999999998</v>
      </c>
      <c r="W448" s="35">
        <v>0.29299999999999998</v>
      </c>
      <c r="X448" s="33">
        <f>IF(Table2[[#This Row],[DiscountPct]]&gt;0.2,1,0)</f>
        <v>1</v>
      </c>
      <c r="Y448" s="33">
        <v>25</v>
      </c>
      <c r="Z448" s="30">
        <f>Table2[[#This Row],[UnitPrice]]*Y448*(1-V448)</f>
        <v>5565.3272500000003</v>
      </c>
      <c r="AA448" s="31">
        <f>T448*Y448</f>
        <v>4865</v>
      </c>
      <c r="AB448" s="31">
        <f t="shared" si="39"/>
        <v>700.32725000000028</v>
      </c>
      <c r="AC448" s="31">
        <f t="shared" si="40"/>
        <v>0.1258375686712763</v>
      </c>
      <c r="AD448" s="31" t="e">
        <f>_xlfn.PERCENTILE.INC(S:S, 0.33)</f>
        <v>#NUM!</v>
      </c>
      <c r="AE448" s="31" t="e">
        <f>_xlfn.PERCENTILE.INC(S:S, 0.66)</f>
        <v>#NUM!</v>
      </c>
      <c r="AF448" s="30" t="e">
        <f t="shared" si="41"/>
        <v>#NUM!</v>
      </c>
    </row>
    <row r="449" spans="1:32" x14ac:dyDescent="0.3">
      <c r="A449" s="2" t="s">
        <v>462</v>
      </c>
      <c r="B449" s="4">
        <v>45446</v>
      </c>
      <c r="C449" s="46">
        <f>EOMONTH(Table2[[#This Row],[OrderDate]],-1)+1</f>
        <v>45444</v>
      </c>
      <c r="D449" s="45">
        <f>EOMONTH(_xlfn.MINIFS(B449:B1079,M449:M1079,Table2[[#This Row],[Country]]), -1) + 1</f>
        <v>45017</v>
      </c>
      <c r="E449" s="46"/>
      <c r="F449" s="4" t="str">
        <f>"Q"&amp;ROUNDUP(MONTH(B449)/3,0)&amp;"-"&amp;YEAR(B449)</f>
        <v>Q2-2024</v>
      </c>
      <c r="G449" s="4">
        <v>45467</v>
      </c>
      <c r="H449" s="4">
        <f>IF(G449&lt;B449, B449+3, G449)</f>
        <v>45467</v>
      </c>
      <c r="I449" s="10">
        <f>H449-B449</f>
        <v>21</v>
      </c>
      <c r="J449" s="10">
        <f t="shared" si="36"/>
        <v>0</v>
      </c>
      <c r="K449" s="10">
        <f t="shared" si="37"/>
        <v>0</v>
      </c>
      <c r="L449" s="6" t="s">
        <v>648</v>
      </c>
      <c r="M449" s="6" t="s">
        <v>653</v>
      </c>
      <c r="N449" s="6" t="s">
        <v>667</v>
      </c>
      <c r="O449" s="6" t="s">
        <v>705</v>
      </c>
      <c r="P449" s="6" t="s">
        <v>711</v>
      </c>
      <c r="Q449" s="6" t="s">
        <v>715</v>
      </c>
      <c r="R449" s="6" t="s">
        <v>732</v>
      </c>
      <c r="S449" s="6" t="s">
        <v>1181</v>
      </c>
      <c r="T449" s="8">
        <v>1205.5</v>
      </c>
      <c r="U449" s="8">
        <v>2210.17</v>
      </c>
      <c r="V449" s="8">
        <f t="shared" si="38"/>
        <v>0.104</v>
      </c>
      <c r="W449" s="8">
        <v>0.104</v>
      </c>
      <c r="X449" s="10">
        <f>IF(Table2[[#This Row],[DiscountPct]]&gt;0.2,1,0)</f>
        <v>0</v>
      </c>
      <c r="Y449" s="10">
        <v>23</v>
      </c>
      <c r="Z449" s="30">
        <f>Table2[[#This Row],[UnitPrice]]*Y449*(1-V449)</f>
        <v>45547.183360000003</v>
      </c>
      <c r="AA449" s="2">
        <f>T449*Y449</f>
        <v>27726.5</v>
      </c>
      <c r="AB449" s="2">
        <f t="shared" si="39"/>
        <v>17820.683360000003</v>
      </c>
      <c r="AC449" s="2">
        <f t="shared" si="40"/>
        <v>0.39125763758314652</v>
      </c>
      <c r="AD449" s="2" t="e">
        <f>_xlfn.PERCENTILE.INC(S:S, 0.33)</f>
        <v>#NUM!</v>
      </c>
      <c r="AE449" s="2" t="e">
        <f>_xlfn.PERCENTILE.INC(S:S, 0.66)</f>
        <v>#NUM!</v>
      </c>
      <c r="AF449" s="30" t="e">
        <f t="shared" si="41"/>
        <v>#NUM!</v>
      </c>
    </row>
    <row r="450" spans="1:32" x14ac:dyDescent="0.3">
      <c r="A450" s="31" t="s">
        <v>463</v>
      </c>
      <c r="B450" s="32">
        <v>45454</v>
      </c>
      <c r="C450" s="47">
        <f>EOMONTH(Table2[[#This Row],[OrderDate]],-1)+1</f>
        <v>45444</v>
      </c>
      <c r="D450" s="45">
        <f>EOMONTH(_xlfn.MINIFS(B450:B1080,M450:M1080,Table2[[#This Row],[Country]]), -1) + 1</f>
        <v>44958</v>
      </c>
      <c r="E450" s="47"/>
      <c r="F450" s="32" t="str">
        <f>"Q"&amp;ROUNDUP(MONTH(B450)/3,0)&amp;"-"&amp;YEAR(B450)</f>
        <v>Q2-2024</v>
      </c>
      <c r="G450" s="32">
        <v>45482</v>
      </c>
      <c r="H450" s="32">
        <f>IF(G450&lt;B450, B450+3, G450)</f>
        <v>45482</v>
      </c>
      <c r="I450" s="33">
        <f>H450-B450</f>
        <v>28</v>
      </c>
      <c r="J450" s="33">
        <f t="shared" ref="J450:J513" si="42">IF(I450 &lt;= 7, 1, 0)</f>
        <v>0</v>
      </c>
      <c r="K450" s="33">
        <f t="shared" ref="K450:K513" si="43">IF(I450&lt;=7,1,0)</f>
        <v>0</v>
      </c>
      <c r="L450" s="34" t="s">
        <v>646</v>
      </c>
      <c r="M450" s="34" t="s">
        <v>651</v>
      </c>
      <c r="N450" s="34" t="s">
        <v>663</v>
      </c>
      <c r="O450" s="34" t="s">
        <v>701</v>
      </c>
      <c r="P450" s="34" t="s">
        <v>709</v>
      </c>
      <c r="Q450" s="34" t="s">
        <v>714</v>
      </c>
      <c r="R450" s="34" t="s">
        <v>730</v>
      </c>
      <c r="S450" s="34" t="s">
        <v>1182</v>
      </c>
      <c r="T450" s="35">
        <v>895.54</v>
      </c>
      <c r="U450" s="35">
        <v>1045</v>
      </c>
      <c r="V450" s="35">
        <f t="shared" si="38"/>
        <v>0.216</v>
      </c>
      <c r="W450" s="35">
        <v>0.216</v>
      </c>
      <c r="X450" s="33">
        <f>IF(Table2[[#This Row],[DiscountPct]]&gt;0.2,1,0)</f>
        <v>1</v>
      </c>
      <c r="Y450" s="33">
        <v>15</v>
      </c>
      <c r="Z450" s="30">
        <f>Table2[[#This Row],[UnitPrice]]*Y450*(1-V450)</f>
        <v>12289.2</v>
      </c>
      <c r="AA450" s="31">
        <f>T450*Y450</f>
        <v>13433.099999999999</v>
      </c>
      <c r="AB450" s="31">
        <f t="shared" si="39"/>
        <v>-1143.8999999999978</v>
      </c>
      <c r="AC450" s="31">
        <f t="shared" si="40"/>
        <v>-9.3081730299775234E-2</v>
      </c>
      <c r="AD450" s="31" t="e">
        <f>_xlfn.PERCENTILE.INC(S:S, 0.33)</f>
        <v>#NUM!</v>
      </c>
      <c r="AE450" s="31" t="e">
        <f>_xlfn.PERCENTILE.INC(S:S, 0.66)</f>
        <v>#NUM!</v>
      </c>
      <c r="AF450" s="30" t="e">
        <f t="shared" si="41"/>
        <v>#NUM!</v>
      </c>
    </row>
    <row r="451" spans="1:32" x14ac:dyDescent="0.3">
      <c r="A451" s="2" t="s">
        <v>464</v>
      </c>
      <c r="B451" s="4">
        <v>45129</v>
      </c>
      <c r="C451" s="46">
        <f>EOMONTH(Table2[[#This Row],[OrderDate]],-1)+1</f>
        <v>45108</v>
      </c>
      <c r="D451" s="45">
        <f>EOMONTH(_xlfn.MINIFS(B451:B1081,M451:M1081,Table2[[#This Row],[Country]]), -1) + 1</f>
        <v>45047</v>
      </c>
      <c r="E451" s="46"/>
      <c r="F451" s="4" t="str">
        <f>"Q"&amp;ROUNDUP(MONTH(B451)/3,0)&amp;"-"&amp;YEAR(B451)</f>
        <v>Q3-2023</v>
      </c>
      <c r="G451" s="4">
        <v>45128</v>
      </c>
      <c r="H451" s="4">
        <f>IF(G451&lt;B451, B451+3, G451)</f>
        <v>45132</v>
      </c>
      <c r="I451" s="10">
        <f>H451-B451</f>
        <v>3</v>
      </c>
      <c r="J451" s="10">
        <f t="shared" si="42"/>
        <v>1</v>
      </c>
      <c r="K451" s="10">
        <f t="shared" si="43"/>
        <v>1</v>
      </c>
      <c r="L451" s="6" t="s">
        <v>647</v>
      </c>
      <c r="M451" s="6" t="s">
        <v>654</v>
      </c>
      <c r="N451" s="6" t="s">
        <v>680</v>
      </c>
      <c r="O451" s="6" t="s">
        <v>705</v>
      </c>
      <c r="P451" s="6" t="s">
        <v>710</v>
      </c>
      <c r="Q451" s="6" t="s">
        <v>718</v>
      </c>
      <c r="R451" s="6" t="s">
        <v>728</v>
      </c>
      <c r="S451" s="6" t="s">
        <v>1183</v>
      </c>
      <c r="T451" s="8">
        <v>946.99</v>
      </c>
      <c r="U451" s="8">
        <v>2132.19</v>
      </c>
      <c r="V451" s="8">
        <f t="shared" ref="V451:V514" si="44">IF(W451&gt;0.3,0.3,W451)</f>
        <v>0.16500000000000001</v>
      </c>
      <c r="W451" s="8">
        <v>0.16500000000000001</v>
      </c>
      <c r="X451" s="10">
        <f>IF(Table2[[#This Row],[DiscountPct]]&gt;0.2,1,0)</f>
        <v>0</v>
      </c>
      <c r="Y451" s="10">
        <v>7</v>
      </c>
      <c r="Z451" s="30">
        <f>Table2[[#This Row],[UnitPrice]]*Y451*(1-V451)</f>
        <v>12462.65055</v>
      </c>
      <c r="AA451" s="2">
        <f>T451*Y451</f>
        <v>6628.93</v>
      </c>
      <c r="AB451" s="2">
        <f t="shared" ref="AB451:AB514" si="45">Z451-AA451</f>
        <v>5833.72055</v>
      </c>
      <c r="AC451" s="2">
        <f t="shared" ref="AC451:AC514" si="46">IF(Z451=0,0,AB451/Z451)</f>
        <v>0.46809629513362228</v>
      </c>
      <c r="AD451" s="2" t="e">
        <f>_xlfn.PERCENTILE.INC(S:S, 0.33)</f>
        <v>#NUM!</v>
      </c>
      <c r="AE451" s="2" t="e">
        <f>_xlfn.PERCENTILE.INC(S:S, 0.66)</f>
        <v>#NUM!</v>
      </c>
      <c r="AF451" s="30" t="e">
        <f t="shared" ref="AF451:AF514" si="47">IF(Z451="","",
   IF(Z451&lt;=AD451,"Low",
      IF(Z451&lt;=AE451,"Medium","High")
   )
)</f>
        <v>#NUM!</v>
      </c>
    </row>
    <row r="452" spans="1:32" x14ac:dyDescent="0.3">
      <c r="A452" s="31" t="s">
        <v>465</v>
      </c>
      <c r="B452" s="32">
        <v>44945</v>
      </c>
      <c r="C452" s="47">
        <f>EOMONTH(Table2[[#This Row],[OrderDate]],-1)+1</f>
        <v>44927</v>
      </c>
      <c r="D452" s="45">
        <f>EOMONTH(_xlfn.MINIFS(B452:B1082,M452:M1082,Table2[[#This Row],[Country]]), -1) + 1</f>
        <v>44927</v>
      </c>
      <c r="E452" s="47"/>
      <c r="F452" s="32" t="str">
        <f>"Q"&amp;ROUNDUP(MONTH(B452)/3,0)&amp;"-"&amp;YEAR(B452)</f>
        <v>Q1-2023</v>
      </c>
      <c r="G452" s="32">
        <v>44960</v>
      </c>
      <c r="H452" s="32">
        <f>IF(G452&lt;B452, B452+3, G452)</f>
        <v>44960</v>
      </c>
      <c r="I452" s="33">
        <f>H452-B452</f>
        <v>15</v>
      </c>
      <c r="J452" s="33">
        <f t="shared" si="42"/>
        <v>0</v>
      </c>
      <c r="K452" s="33">
        <f t="shared" si="43"/>
        <v>0</v>
      </c>
      <c r="L452" s="34" t="s">
        <v>649</v>
      </c>
      <c r="M452" s="34" t="s">
        <v>658</v>
      </c>
      <c r="N452" s="34" t="s">
        <v>683</v>
      </c>
      <c r="O452" s="34" t="s">
        <v>706</v>
      </c>
      <c r="P452" s="34" t="s">
        <v>710</v>
      </c>
      <c r="Q452" s="34" t="s">
        <v>715</v>
      </c>
      <c r="R452" s="34" t="s">
        <v>733</v>
      </c>
      <c r="S452" s="34" t="s">
        <v>1184</v>
      </c>
      <c r="T452" s="35">
        <v>873.06</v>
      </c>
      <c r="U452" s="35">
        <v>2101.5500000000002</v>
      </c>
      <c r="V452" s="35">
        <f t="shared" si="44"/>
        <v>6.6000000000000003E-2</v>
      </c>
      <c r="W452" s="35">
        <v>6.6000000000000003E-2</v>
      </c>
      <c r="X452" s="33">
        <f>IF(Table2[[#This Row],[DiscountPct]]&gt;0.2,1,0)</f>
        <v>0</v>
      </c>
      <c r="Y452" s="33">
        <v>10</v>
      </c>
      <c r="Z452" s="30">
        <f>Table2[[#This Row],[UnitPrice]]*Y452*(1-V452)</f>
        <v>19628.476999999999</v>
      </c>
      <c r="AA452" s="31">
        <f>T452*Y452</f>
        <v>8730.5999999999985</v>
      </c>
      <c r="AB452" s="31">
        <f t="shared" si="45"/>
        <v>10897.877</v>
      </c>
      <c r="AC452" s="31">
        <f t="shared" si="46"/>
        <v>0.55520746719167269</v>
      </c>
      <c r="AD452" s="31" t="e">
        <f>_xlfn.PERCENTILE.INC(S:S, 0.33)</f>
        <v>#NUM!</v>
      </c>
      <c r="AE452" s="31" t="e">
        <f>_xlfn.PERCENTILE.INC(S:S, 0.66)</f>
        <v>#NUM!</v>
      </c>
      <c r="AF452" s="30" t="e">
        <f t="shared" si="47"/>
        <v>#NUM!</v>
      </c>
    </row>
    <row r="453" spans="1:32" x14ac:dyDescent="0.3">
      <c r="A453" s="2" t="s">
        <v>466</v>
      </c>
      <c r="B453" s="4">
        <v>45413</v>
      </c>
      <c r="C453" s="46">
        <f>EOMONTH(Table2[[#This Row],[OrderDate]],-1)+1</f>
        <v>45413</v>
      </c>
      <c r="D453" s="45">
        <f>EOMONTH(_xlfn.MINIFS(B453:B1083,M453:M1083,Table2[[#This Row],[Country]]), -1) + 1</f>
        <v>45047</v>
      </c>
      <c r="E453" s="46"/>
      <c r="F453" s="4" t="str">
        <f>"Q"&amp;ROUNDUP(MONTH(B453)/3,0)&amp;"-"&amp;YEAR(B453)</f>
        <v>Q2-2024</v>
      </c>
      <c r="G453" s="4">
        <v>45428</v>
      </c>
      <c r="H453" s="4">
        <f>IF(G453&lt;B453, B453+3, G453)</f>
        <v>45428</v>
      </c>
      <c r="I453" s="10">
        <f>H453-B453</f>
        <v>15</v>
      </c>
      <c r="J453" s="10">
        <f t="shared" si="42"/>
        <v>0</v>
      </c>
      <c r="K453" s="10">
        <f t="shared" si="43"/>
        <v>0</v>
      </c>
      <c r="L453" s="6" t="s">
        <v>647</v>
      </c>
      <c r="M453" s="6" t="s">
        <v>654</v>
      </c>
      <c r="N453" s="6" t="s">
        <v>668</v>
      </c>
      <c r="O453" s="6" t="s">
        <v>705</v>
      </c>
      <c r="P453" s="6" t="s">
        <v>707</v>
      </c>
      <c r="Q453" s="6" t="s">
        <v>716</v>
      </c>
      <c r="R453" s="6" t="s">
        <v>727</v>
      </c>
      <c r="S453" s="6" t="s">
        <v>1185</v>
      </c>
      <c r="T453" s="8">
        <v>901.19</v>
      </c>
      <c r="U453" s="8">
        <v>2125.44</v>
      </c>
      <c r="V453" s="8">
        <f t="shared" si="44"/>
        <v>7.0999999999999994E-2</v>
      </c>
      <c r="W453" s="8">
        <v>7.0999999999999994E-2</v>
      </c>
      <c r="X453" s="10">
        <f>IF(Table2[[#This Row],[DiscountPct]]&gt;0.2,1,0)</f>
        <v>0</v>
      </c>
      <c r="Y453" s="10">
        <v>12</v>
      </c>
      <c r="Z453" s="30">
        <f>Table2[[#This Row],[UnitPrice]]*Y453*(1-V453)</f>
        <v>23694.405119999999</v>
      </c>
      <c r="AA453" s="2">
        <f>T453*Y453</f>
        <v>10814.28</v>
      </c>
      <c r="AB453" s="2">
        <f t="shared" si="45"/>
        <v>12880.125119999999</v>
      </c>
      <c r="AC453" s="2">
        <f t="shared" si="46"/>
        <v>0.54359352154100415</v>
      </c>
      <c r="AD453" s="2" t="e">
        <f>_xlfn.PERCENTILE.INC(S:S, 0.33)</f>
        <v>#NUM!</v>
      </c>
      <c r="AE453" s="2" t="e">
        <f>_xlfn.PERCENTILE.INC(S:S, 0.66)</f>
        <v>#NUM!</v>
      </c>
      <c r="AF453" s="30" t="e">
        <f t="shared" si="47"/>
        <v>#NUM!</v>
      </c>
    </row>
    <row r="454" spans="1:32" x14ac:dyDescent="0.3">
      <c r="A454" s="31" t="s">
        <v>467</v>
      </c>
      <c r="B454" s="32">
        <v>45817</v>
      </c>
      <c r="C454" s="47">
        <f>EOMONTH(Table2[[#This Row],[OrderDate]],-1)+1</f>
        <v>45809</v>
      </c>
      <c r="D454" s="45">
        <f>EOMONTH(_xlfn.MINIFS(B454:B1084,M454:M1084,Table2[[#This Row],[Country]]), -1) + 1</f>
        <v>44986</v>
      </c>
      <c r="E454" s="47"/>
      <c r="F454" s="32" t="str">
        <f>"Q"&amp;ROUNDUP(MONTH(B454)/3,0)&amp;"-"&amp;YEAR(B454)</f>
        <v>Q2-2025</v>
      </c>
      <c r="G454" s="32">
        <v>45832</v>
      </c>
      <c r="H454" s="32">
        <f>IF(G454&lt;B454, B454+3, G454)</f>
        <v>45832</v>
      </c>
      <c r="I454" s="33">
        <f>H454-B454</f>
        <v>15</v>
      </c>
      <c r="J454" s="33">
        <f t="shared" si="42"/>
        <v>0</v>
      </c>
      <c r="K454" s="33">
        <f t="shared" si="43"/>
        <v>0</v>
      </c>
      <c r="L454" s="34" t="s">
        <v>647</v>
      </c>
      <c r="M454" s="34" t="s">
        <v>652</v>
      </c>
      <c r="N454" s="34" t="s">
        <v>694</v>
      </c>
      <c r="O454" s="34" t="s">
        <v>701</v>
      </c>
      <c r="P454" s="34" t="s">
        <v>711</v>
      </c>
      <c r="Q454" s="34" t="s">
        <v>717</v>
      </c>
      <c r="R454" s="34" t="s">
        <v>730</v>
      </c>
      <c r="S454" s="34" t="s">
        <v>1186</v>
      </c>
      <c r="T454" s="35">
        <v>400.39</v>
      </c>
      <c r="U454" s="35">
        <v>712.75</v>
      </c>
      <c r="V454" s="35">
        <f t="shared" si="44"/>
        <v>0.115</v>
      </c>
      <c r="W454" s="35">
        <v>0.115</v>
      </c>
      <c r="X454" s="33">
        <f>IF(Table2[[#This Row],[DiscountPct]]&gt;0.2,1,0)</f>
        <v>0</v>
      </c>
      <c r="Y454" s="33">
        <v>19</v>
      </c>
      <c r="Z454" s="30">
        <f>Table2[[#This Row],[UnitPrice]]*Y454*(1-V454)</f>
        <v>11984.891250000001</v>
      </c>
      <c r="AA454" s="31">
        <f>T454*Y454</f>
        <v>7607.41</v>
      </c>
      <c r="AB454" s="31">
        <f t="shared" si="45"/>
        <v>4377.4812500000007</v>
      </c>
      <c r="AC454" s="31">
        <f t="shared" si="46"/>
        <v>0.36524997671547504</v>
      </c>
      <c r="AD454" s="31" t="e">
        <f>_xlfn.PERCENTILE.INC(S:S, 0.33)</f>
        <v>#NUM!</v>
      </c>
      <c r="AE454" s="31" t="e">
        <f>_xlfn.PERCENTILE.INC(S:S, 0.66)</f>
        <v>#NUM!</v>
      </c>
      <c r="AF454" s="30" t="e">
        <f t="shared" si="47"/>
        <v>#NUM!</v>
      </c>
    </row>
    <row r="455" spans="1:32" x14ac:dyDescent="0.3">
      <c r="A455" s="2" t="s">
        <v>468</v>
      </c>
      <c r="B455" s="4">
        <v>45070</v>
      </c>
      <c r="C455" s="46">
        <f>EOMONTH(Table2[[#This Row],[OrderDate]],-1)+1</f>
        <v>45047</v>
      </c>
      <c r="D455" s="45">
        <f>EOMONTH(_xlfn.MINIFS(B455:B1085,M455:M1085,Table2[[#This Row],[Country]]), -1) + 1</f>
        <v>44958</v>
      </c>
      <c r="E455" s="46"/>
      <c r="F455" s="4" t="str">
        <f>"Q"&amp;ROUNDUP(MONTH(B455)/3,0)&amp;"-"&amp;YEAR(B455)</f>
        <v>Q2-2023</v>
      </c>
      <c r="G455" s="4">
        <v>45098</v>
      </c>
      <c r="H455" s="4">
        <f>IF(G455&lt;B455, B455+3, G455)</f>
        <v>45098</v>
      </c>
      <c r="I455" s="10">
        <f>H455-B455</f>
        <v>28</v>
      </c>
      <c r="J455" s="10">
        <f t="shared" si="42"/>
        <v>0</v>
      </c>
      <c r="K455" s="10">
        <f t="shared" si="43"/>
        <v>0</v>
      </c>
      <c r="L455" s="6" t="s">
        <v>648</v>
      </c>
      <c r="M455" s="6" t="s">
        <v>660</v>
      </c>
      <c r="N455" s="6" t="s">
        <v>697</v>
      </c>
      <c r="O455" s="6" t="s">
        <v>705</v>
      </c>
      <c r="P455" s="6" t="s">
        <v>709</v>
      </c>
      <c r="Q455" s="6" t="s">
        <v>715</v>
      </c>
      <c r="R455" s="6" t="s">
        <v>732</v>
      </c>
      <c r="S455" s="6" t="s">
        <v>1187</v>
      </c>
      <c r="T455" s="8">
        <v>813.97</v>
      </c>
      <c r="U455" s="8">
        <v>1568.83</v>
      </c>
      <c r="V455" s="8">
        <f t="shared" si="44"/>
        <v>1.7000000000000001E-2</v>
      </c>
      <c r="W455" s="8">
        <v>1.7000000000000001E-2</v>
      </c>
      <c r="X455" s="10">
        <f>IF(Table2[[#This Row],[DiscountPct]]&gt;0.2,1,0)</f>
        <v>0</v>
      </c>
      <c r="Y455" s="10">
        <v>15</v>
      </c>
      <c r="Z455" s="30">
        <f>Table2[[#This Row],[UnitPrice]]*Y455*(1-V455)</f>
        <v>23132.398349999996</v>
      </c>
      <c r="AA455" s="2">
        <f>T455*Y455</f>
        <v>12209.550000000001</v>
      </c>
      <c r="AB455" s="2">
        <f t="shared" si="45"/>
        <v>10922.848349999995</v>
      </c>
      <c r="AC455" s="2">
        <f t="shared" si="46"/>
        <v>0.4721883215364911</v>
      </c>
      <c r="AD455" s="2" t="e">
        <f>_xlfn.PERCENTILE.INC(S:S, 0.33)</f>
        <v>#NUM!</v>
      </c>
      <c r="AE455" s="2" t="e">
        <f>_xlfn.PERCENTILE.INC(S:S, 0.66)</f>
        <v>#NUM!</v>
      </c>
      <c r="AF455" s="30" t="e">
        <f t="shared" si="47"/>
        <v>#NUM!</v>
      </c>
    </row>
    <row r="456" spans="1:32" x14ac:dyDescent="0.3">
      <c r="A456" s="31" t="s">
        <v>469</v>
      </c>
      <c r="B456" s="32">
        <v>45653</v>
      </c>
      <c r="C456" s="47">
        <f>EOMONTH(Table2[[#This Row],[OrderDate]],-1)+1</f>
        <v>45627</v>
      </c>
      <c r="D456" s="45">
        <f>EOMONTH(_xlfn.MINIFS(B456:B1086,M456:M1086,Table2[[#This Row],[Country]]), -1) + 1</f>
        <v>45017</v>
      </c>
      <c r="E456" s="47"/>
      <c r="F456" s="32" t="str">
        <f>"Q"&amp;ROUNDUP(MONTH(B456)/3,0)&amp;"-"&amp;YEAR(B456)</f>
        <v>Q4-2024</v>
      </c>
      <c r="G456" s="32">
        <v>45655</v>
      </c>
      <c r="H456" s="32">
        <f>IF(G456&lt;B456, B456+3, G456)</f>
        <v>45655</v>
      </c>
      <c r="I456" s="33">
        <f>H456-B456</f>
        <v>2</v>
      </c>
      <c r="J456" s="33">
        <f t="shared" si="42"/>
        <v>1</v>
      </c>
      <c r="K456" s="33">
        <f t="shared" si="43"/>
        <v>1</v>
      </c>
      <c r="L456" s="34" t="s">
        <v>648</v>
      </c>
      <c r="M456" s="34" t="s">
        <v>653</v>
      </c>
      <c r="N456" s="34" t="s">
        <v>688</v>
      </c>
      <c r="O456" s="34" t="s">
        <v>706</v>
      </c>
      <c r="P456" s="34" t="s">
        <v>709</v>
      </c>
      <c r="Q456" s="34" t="s">
        <v>712</v>
      </c>
      <c r="R456" s="34" t="s">
        <v>733</v>
      </c>
      <c r="S456" s="34" t="s">
        <v>1188</v>
      </c>
      <c r="T456" s="35">
        <v>1146.72</v>
      </c>
      <c r="U456" s="35">
        <v>2074.34</v>
      </c>
      <c r="V456" s="35">
        <f t="shared" si="44"/>
        <v>0.111</v>
      </c>
      <c r="W456" s="35">
        <v>0.111</v>
      </c>
      <c r="X456" s="33">
        <f>IF(Table2[[#This Row],[DiscountPct]]&gt;0.2,1,0)</f>
        <v>0</v>
      </c>
      <c r="Y456" s="33">
        <v>8</v>
      </c>
      <c r="Z456" s="30">
        <f>Table2[[#This Row],[UnitPrice]]*Y456*(1-V456)</f>
        <v>14752.706080000002</v>
      </c>
      <c r="AA456" s="31">
        <f>T456*Y456</f>
        <v>9173.76</v>
      </c>
      <c r="AB456" s="31">
        <f t="shared" si="45"/>
        <v>5578.9460800000015</v>
      </c>
      <c r="AC456" s="31">
        <f t="shared" si="46"/>
        <v>0.37816425337472737</v>
      </c>
      <c r="AD456" s="31" t="e">
        <f>_xlfn.PERCENTILE.INC(S:S, 0.33)</f>
        <v>#NUM!</v>
      </c>
      <c r="AE456" s="31" t="e">
        <f>_xlfn.PERCENTILE.INC(S:S, 0.66)</f>
        <v>#NUM!</v>
      </c>
      <c r="AF456" s="30" t="e">
        <f t="shared" si="47"/>
        <v>#NUM!</v>
      </c>
    </row>
    <row r="457" spans="1:32" x14ac:dyDescent="0.3">
      <c r="A457" s="2" t="s">
        <v>470</v>
      </c>
      <c r="B457" s="4">
        <v>45265</v>
      </c>
      <c r="C457" s="46">
        <f>EOMONTH(Table2[[#This Row],[OrderDate]],-1)+1</f>
        <v>45261</v>
      </c>
      <c r="D457" s="45">
        <f>EOMONTH(_xlfn.MINIFS(B457:B1087,M457:M1087,Table2[[#This Row],[Country]]), -1) + 1</f>
        <v>44927</v>
      </c>
      <c r="E457" s="46"/>
      <c r="F457" s="4" t="str">
        <f>"Q"&amp;ROUNDUP(MONTH(B457)/3,0)&amp;"-"&amp;YEAR(B457)</f>
        <v>Q4-2023</v>
      </c>
      <c r="G457" s="4">
        <v>45272</v>
      </c>
      <c r="H457" s="4">
        <f>IF(G457&lt;B457, B457+3, G457)</f>
        <v>45272</v>
      </c>
      <c r="I457" s="10">
        <f>H457-B457</f>
        <v>7</v>
      </c>
      <c r="J457" s="10">
        <f t="shared" si="42"/>
        <v>1</v>
      </c>
      <c r="K457" s="10">
        <f t="shared" si="43"/>
        <v>1</v>
      </c>
      <c r="L457" s="6" t="s">
        <v>648</v>
      </c>
      <c r="M457" s="6" t="s">
        <v>655</v>
      </c>
      <c r="N457" s="6" t="s">
        <v>672</v>
      </c>
      <c r="O457" s="6" t="s">
        <v>701</v>
      </c>
      <c r="P457" s="6" t="s">
        <v>711</v>
      </c>
      <c r="Q457" s="6" t="s">
        <v>721</v>
      </c>
      <c r="R457" s="6" t="s">
        <v>730</v>
      </c>
      <c r="S457" s="6" t="s">
        <v>1189</v>
      </c>
      <c r="T457" s="8">
        <v>307.43</v>
      </c>
      <c r="U457" s="8">
        <v>495.19</v>
      </c>
      <c r="V457" s="8">
        <f t="shared" si="44"/>
        <v>0</v>
      </c>
      <c r="W457" s="8">
        <v>0</v>
      </c>
      <c r="X457" s="10">
        <f>IF(Table2[[#This Row],[DiscountPct]]&gt;0.2,1,0)</f>
        <v>0</v>
      </c>
      <c r="Y457" s="10">
        <v>42</v>
      </c>
      <c r="Z457" s="30">
        <f>Table2[[#This Row],[UnitPrice]]*Y457*(1-V457)</f>
        <v>20797.98</v>
      </c>
      <c r="AA457" s="2">
        <f>T457*Y457</f>
        <v>12912.06</v>
      </c>
      <c r="AB457" s="2">
        <f t="shared" si="45"/>
        <v>7885.92</v>
      </c>
      <c r="AC457" s="2">
        <f t="shared" si="46"/>
        <v>0.37916759223732305</v>
      </c>
      <c r="AD457" s="2" t="e">
        <f>_xlfn.PERCENTILE.INC(S:S, 0.33)</f>
        <v>#NUM!</v>
      </c>
      <c r="AE457" s="2" t="e">
        <f>_xlfn.PERCENTILE.INC(S:S, 0.66)</f>
        <v>#NUM!</v>
      </c>
      <c r="AF457" s="30" t="e">
        <f t="shared" si="47"/>
        <v>#NUM!</v>
      </c>
    </row>
    <row r="458" spans="1:32" x14ac:dyDescent="0.3">
      <c r="A458" s="31" t="s">
        <v>471</v>
      </c>
      <c r="B458" s="32">
        <v>45048</v>
      </c>
      <c r="C458" s="47">
        <f>EOMONTH(Table2[[#This Row],[OrderDate]],-1)+1</f>
        <v>45047</v>
      </c>
      <c r="D458" s="45">
        <f>EOMONTH(_xlfn.MINIFS(B458:B1088,M458:M1088,Table2[[#This Row],[Country]]), -1) + 1</f>
        <v>44927</v>
      </c>
      <c r="E458" s="47"/>
      <c r="F458" s="32" t="str">
        <f>"Q"&amp;ROUNDUP(MONTH(B458)/3,0)&amp;"-"&amp;YEAR(B458)</f>
        <v>Q2-2023</v>
      </c>
      <c r="G458" s="32">
        <v>45065</v>
      </c>
      <c r="H458" s="32">
        <f>IF(G458&lt;B458, B458+3, G458)</f>
        <v>45065</v>
      </c>
      <c r="I458" s="33">
        <f>H458-B458</f>
        <v>17</v>
      </c>
      <c r="J458" s="33">
        <f t="shared" si="42"/>
        <v>0</v>
      </c>
      <c r="K458" s="33">
        <f t="shared" si="43"/>
        <v>0</v>
      </c>
      <c r="L458" s="34" t="s">
        <v>647</v>
      </c>
      <c r="M458" s="34" t="s">
        <v>659</v>
      </c>
      <c r="N458" s="34" t="s">
        <v>685</v>
      </c>
      <c r="O458" s="34" t="s">
        <v>703</v>
      </c>
      <c r="P458" s="34" t="s">
        <v>711</v>
      </c>
      <c r="Q458" s="34" t="s">
        <v>713</v>
      </c>
      <c r="R458" s="34" t="s">
        <v>732</v>
      </c>
      <c r="S458" s="34" t="s">
        <v>1190</v>
      </c>
      <c r="T458" s="35">
        <v>714.28</v>
      </c>
      <c r="U458" s="35">
        <v>757.59</v>
      </c>
      <c r="V458" s="35">
        <f t="shared" si="44"/>
        <v>0.13600000000000001</v>
      </c>
      <c r="W458" s="35">
        <v>0.13600000000000001</v>
      </c>
      <c r="X458" s="33">
        <f>IF(Table2[[#This Row],[DiscountPct]]&gt;0.2,1,0)</f>
        <v>0</v>
      </c>
      <c r="Y458" s="33">
        <v>12</v>
      </c>
      <c r="Z458" s="30">
        <f>Table2[[#This Row],[UnitPrice]]*Y458*(1-V458)</f>
        <v>7854.6931199999999</v>
      </c>
      <c r="AA458" s="31">
        <f>T458*Y458</f>
        <v>8571.36</v>
      </c>
      <c r="AB458" s="31">
        <f t="shared" si="45"/>
        <v>-716.66688000000067</v>
      </c>
      <c r="AC458" s="31">
        <f t="shared" si="46"/>
        <v>-9.1240595787910383E-2</v>
      </c>
      <c r="AD458" s="31" t="e">
        <f>_xlfn.PERCENTILE.INC(S:S, 0.33)</f>
        <v>#NUM!</v>
      </c>
      <c r="AE458" s="31" t="e">
        <f>_xlfn.PERCENTILE.INC(S:S, 0.66)</f>
        <v>#NUM!</v>
      </c>
      <c r="AF458" s="30" t="e">
        <f t="shared" si="47"/>
        <v>#NUM!</v>
      </c>
    </row>
    <row r="459" spans="1:32" x14ac:dyDescent="0.3">
      <c r="A459" s="2" t="s">
        <v>472</v>
      </c>
      <c r="B459" s="4">
        <v>45260</v>
      </c>
      <c r="C459" s="46">
        <f>EOMONTH(Table2[[#This Row],[OrderDate]],-1)+1</f>
        <v>45231</v>
      </c>
      <c r="D459" s="45">
        <f>EOMONTH(_xlfn.MINIFS(B459:B1089,M459:M1089,Table2[[#This Row],[Country]]), -1) + 1</f>
        <v>44927</v>
      </c>
      <c r="E459" s="46"/>
      <c r="F459" s="4" t="str">
        <f>"Q"&amp;ROUNDUP(MONTH(B459)/3,0)&amp;"-"&amp;YEAR(B459)</f>
        <v>Q4-2023</v>
      </c>
      <c r="G459" s="4">
        <v>45270</v>
      </c>
      <c r="H459" s="4">
        <f>IF(G459&lt;B459, B459+3, G459)</f>
        <v>45270</v>
      </c>
      <c r="I459" s="10">
        <f>H459-B459</f>
        <v>10</v>
      </c>
      <c r="J459" s="10">
        <f t="shared" si="42"/>
        <v>0</v>
      </c>
      <c r="K459" s="10">
        <f t="shared" si="43"/>
        <v>0</v>
      </c>
      <c r="L459" s="6" t="s">
        <v>649</v>
      </c>
      <c r="M459" s="6" t="s">
        <v>656</v>
      </c>
      <c r="N459" s="6" t="s">
        <v>684</v>
      </c>
      <c r="O459" s="6" t="s">
        <v>705</v>
      </c>
      <c r="P459" s="6" t="s">
        <v>711</v>
      </c>
      <c r="Q459" s="6" t="s">
        <v>721</v>
      </c>
      <c r="R459" s="6" t="s">
        <v>731</v>
      </c>
      <c r="S459" s="6" t="s">
        <v>1191</v>
      </c>
      <c r="T459" s="8">
        <v>174.74</v>
      </c>
      <c r="U459" s="8">
        <v>415.96</v>
      </c>
      <c r="V459" s="8">
        <f t="shared" si="44"/>
        <v>0.125</v>
      </c>
      <c r="W459" s="8">
        <v>0.125</v>
      </c>
      <c r="X459" s="10">
        <f>IF(Table2[[#This Row],[DiscountPct]]&gt;0.2,1,0)</f>
        <v>0</v>
      </c>
      <c r="Y459" s="10">
        <v>21</v>
      </c>
      <c r="Z459" s="30">
        <f>Table2[[#This Row],[UnitPrice]]*Y459*(1-V459)</f>
        <v>7643.2649999999994</v>
      </c>
      <c r="AA459" s="2">
        <f>T459*Y459</f>
        <v>3669.54</v>
      </c>
      <c r="AB459" s="2">
        <f t="shared" si="45"/>
        <v>3973.7249999999995</v>
      </c>
      <c r="AC459" s="2">
        <f t="shared" si="46"/>
        <v>0.51989889137691803</v>
      </c>
      <c r="AD459" s="2" t="e">
        <f>_xlfn.PERCENTILE.INC(S:S, 0.33)</f>
        <v>#NUM!</v>
      </c>
      <c r="AE459" s="2" t="e">
        <f>_xlfn.PERCENTILE.INC(S:S, 0.66)</f>
        <v>#NUM!</v>
      </c>
      <c r="AF459" s="30" t="e">
        <f t="shared" si="47"/>
        <v>#NUM!</v>
      </c>
    </row>
    <row r="460" spans="1:32" x14ac:dyDescent="0.3">
      <c r="A460" s="31" t="s">
        <v>473</v>
      </c>
      <c r="B460" s="32">
        <v>45417</v>
      </c>
      <c r="C460" s="47">
        <f>EOMONTH(Table2[[#This Row],[OrderDate]],-1)+1</f>
        <v>45413</v>
      </c>
      <c r="D460" s="45">
        <f>EOMONTH(_xlfn.MINIFS(B460:B1090,M460:M1090,Table2[[#This Row],[Country]]), -1) + 1</f>
        <v>45017</v>
      </c>
      <c r="E460" s="47"/>
      <c r="F460" s="32" t="str">
        <f>"Q"&amp;ROUNDUP(MONTH(B460)/3,0)&amp;"-"&amp;YEAR(B460)</f>
        <v>Q2-2024</v>
      </c>
      <c r="G460" s="32">
        <v>45430</v>
      </c>
      <c r="H460" s="32">
        <f>IF(G460&lt;B460, B460+3, G460)</f>
        <v>45430</v>
      </c>
      <c r="I460" s="33">
        <f>H460-B460</f>
        <v>13</v>
      </c>
      <c r="J460" s="33">
        <f t="shared" si="42"/>
        <v>0</v>
      </c>
      <c r="K460" s="33">
        <f t="shared" si="43"/>
        <v>0</v>
      </c>
      <c r="L460" s="34" t="s">
        <v>649</v>
      </c>
      <c r="M460" s="34" t="s">
        <v>657</v>
      </c>
      <c r="N460" s="34" t="s">
        <v>673</v>
      </c>
      <c r="O460" s="34" t="s">
        <v>701</v>
      </c>
      <c r="P460" s="34" t="s">
        <v>709</v>
      </c>
      <c r="Q460" s="34" t="s">
        <v>720</v>
      </c>
      <c r="R460" s="34" t="s">
        <v>727</v>
      </c>
      <c r="S460" s="34" t="s">
        <v>1192</v>
      </c>
      <c r="T460" s="35">
        <v>1264.04</v>
      </c>
      <c r="U460" s="35">
        <v>1870.89</v>
      </c>
      <c r="V460" s="35">
        <f t="shared" si="44"/>
        <v>0</v>
      </c>
      <c r="W460" s="35">
        <v>0</v>
      </c>
      <c r="X460" s="33">
        <f>IF(Table2[[#This Row],[DiscountPct]]&gt;0.2,1,0)</f>
        <v>0</v>
      </c>
      <c r="Y460" s="33">
        <v>13</v>
      </c>
      <c r="Z460" s="30">
        <f>Table2[[#This Row],[UnitPrice]]*Y460*(1-V460)</f>
        <v>24321.57</v>
      </c>
      <c r="AA460" s="31">
        <f>T460*Y460</f>
        <v>16432.52</v>
      </c>
      <c r="AB460" s="31">
        <f t="shared" si="45"/>
        <v>7889.0499999999993</v>
      </c>
      <c r="AC460" s="31">
        <f t="shared" si="46"/>
        <v>0.32436433996653996</v>
      </c>
      <c r="AD460" s="31" t="e">
        <f>_xlfn.PERCENTILE.INC(S:S, 0.33)</f>
        <v>#NUM!</v>
      </c>
      <c r="AE460" s="31" t="e">
        <f>_xlfn.PERCENTILE.INC(S:S, 0.66)</f>
        <v>#NUM!</v>
      </c>
      <c r="AF460" s="30" t="e">
        <f t="shared" si="47"/>
        <v>#NUM!</v>
      </c>
    </row>
    <row r="461" spans="1:32" x14ac:dyDescent="0.3">
      <c r="A461" s="2" t="s">
        <v>474</v>
      </c>
      <c r="B461" s="4">
        <v>45116</v>
      </c>
      <c r="C461" s="46">
        <f>EOMONTH(Table2[[#This Row],[OrderDate]],-1)+1</f>
        <v>45108</v>
      </c>
      <c r="D461" s="45">
        <f>EOMONTH(_xlfn.MINIFS(B461:B1091,M461:M1091,Table2[[#This Row],[Country]]), -1) + 1</f>
        <v>44986</v>
      </c>
      <c r="E461" s="46"/>
      <c r="F461" s="4" t="str">
        <f>"Q"&amp;ROUNDUP(MONTH(B461)/3,0)&amp;"-"&amp;YEAR(B461)</f>
        <v>Q3-2023</v>
      </c>
      <c r="G461" s="4">
        <v>45126</v>
      </c>
      <c r="H461" s="4">
        <f>IF(G461&lt;B461, B461+3, G461)</f>
        <v>45126</v>
      </c>
      <c r="I461" s="10">
        <f>H461-B461</f>
        <v>10</v>
      </c>
      <c r="J461" s="10">
        <f t="shared" si="42"/>
        <v>0</v>
      </c>
      <c r="K461" s="10">
        <f t="shared" si="43"/>
        <v>0</v>
      </c>
      <c r="L461" s="6" t="s">
        <v>647</v>
      </c>
      <c r="M461" s="6" t="s">
        <v>652</v>
      </c>
      <c r="N461" s="6" t="s">
        <v>689</v>
      </c>
      <c r="O461" s="6" t="s">
        <v>706</v>
      </c>
      <c r="P461" s="6" t="s">
        <v>710</v>
      </c>
      <c r="Q461" s="6" t="s">
        <v>725</v>
      </c>
      <c r="R461" s="6" t="s">
        <v>727</v>
      </c>
      <c r="S461" s="6" t="s">
        <v>1193</v>
      </c>
      <c r="T461" s="8">
        <v>141.26</v>
      </c>
      <c r="U461" s="8">
        <v>206.88</v>
      </c>
      <c r="V461" s="8">
        <f t="shared" si="44"/>
        <v>0.107</v>
      </c>
      <c r="W461" s="8">
        <v>0.107</v>
      </c>
      <c r="X461" s="10">
        <f>IF(Table2[[#This Row],[DiscountPct]]&gt;0.2,1,0)</f>
        <v>0</v>
      </c>
      <c r="Y461" s="10">
        <v>9</v>
      </c>
      <c r="Z461" s="30">
        <f>Table2[[#This Row],[UnitPrice]]*Y461*(1-V461)</f>
        <v>1662.6945600000001</v>
      </c>
      <c r="AA461" s="2">
        <f>T461*Y461</f>
        <v>1271.3399999999999</v>
      </c>
      <c r="AB461" s="2">
        <f t="shared" si="45"/>
        <v>391.35456000000022</v>
      </c>
      <c r="AC461" s="2">
        <f t="shared" si="46"/>
        <v>0.23537369365062469</v>
      </c>
      <c r="AD461" s="2" t="e">
        <f>_xlfn.PERCENTILE.INC(S:S, 0.33)</f>
        <v>#NUM!</v>
      </c>
      <c r="AE461" s="2" t="e">
        <f>_xlfn.PERCENTILE.INC(S:S, 0.66)</f>
        <v>#NUM!</v>
      </c>
      <c r="AF461" s="30" t="e">
        <f t="shared" si="47"/>
        <v>#NUM!</v>
      </c>
    </row>
    <row r="462" spans="1:32" x14ac:dyDescent="0.3">
      <c r="A462" s="31" t="s">
        <v>475</v>
      </c>
      <c r="B462" s="32">
        <v>45063</v>
      </c>
      <c r="C462" s="47">
        <f>EOMONTH(Table2[[#This Row],[OrderDate]],-1)+1</f>
        <v>45047</v>
      </c>
      <c r="D462" s="45">
        <f>EOMONTH(_xlfn.MINIFS(B462:B1092,M462:M1092,Table2[[#This Row],[Country]]), -1) + 1</f>
        <v>44927</v>
      </c>
      <c r="E462" s="47"/>
      <c r="F462" s="32" t="str">
        <f>"Q"&amp;ROUNDUP(MONTH(B462)/3,0)&amp;"-"&amp;YEAR(B462)</f>
        <v>Q2-2023</v>
      </c>
      <c r="G462" s="32">
        <v>45092</v>
      </c>
      <c r="H462" s="32">
        <f>IF(G462&lt;B462, B462+3, G462)</f>
        <v>45092</v>
      </c>
      <c r="I462" s="33">
        <f>H462-B462</f>
        <v>29</v>
      </c>
      <c r="J462" s="33">
        <f t="shared" si="42"/>
        <v>0</v>
      </c>
      <c r="K462" s="33">
        <f t="shared" si="43"/>
        <v>0</v>
      </c>
      <c r="L462" s="34" t="s">
        <v>646</v>
      </c>
      <c r="M462" s="34" t="s">
        <v>661</v>
      </c>
      <c r="N462" s="34" t="s">
        <v>687</v>
      </c>
      <c r="O462" s="34" t="s">
        <v>706</v>
      </c>
      <c r="P462" s="34" t="s">
        <v>707</v>
      </c>
      <c r="Q462" s="34" t="s">
        <v>723</v>
      </c>
      <c r="R462" s="34" t="s">
        <v>733</v>
      </c>
      <c r="S462" s="34" t="s">
        <v>1194</v>
      </c>
      <c r="T462" s="35">
        <v>40.89</v>
      </c>
      <c r="U462" s="35">
        <v>62.82</v>
      </c>
      <c r="V462" s="35">
        <f t="shared" si="44"/>
        <v>0.129</v>
      </c>
      <c r="W462" s="35">
        <v>0.129</v>
      </c>
      <c r="X462" s="33">
        <f>IF(Table2[[#This Row],[DiscountPct]]&gt;0.2,1,0)</f>
        <v>0</v>
      </c>
      <c r="Y462" s="33">
        <v>17</v>
      </c>
      <c r="Z462" s="30">
        <f>Table2[[#This Row],[UnitPrice]]*Y462*(1-V462)</f>
        <v>930.17574000000002</v>
      </c>
      <c r="AA462" s="31">
        <f>T462*Y462</f>
        <v>695.13</v>
      </c>
      <c r="AB462" s="31">
        <f t="shared" si="45"/>
        <v>235.04574000000002</v>
      </c>
      <c r="AC462" s="31">
        <f t="shared" si="46"/>
        <v>0.25268960465470752</v>
      </c>
      <c r="AD462" s="31" t="e">
        <f>_xlfn.PERCENTILE.INC(S:S, 0.33)</f>
        <v>#NUM!</v>
      </c>
      <c r="AE462" s="31" t="e">
        <f>_xlfn.PERCENTILE.INC(S:S, 0.66)</f>
        <v>#NUM!</v>
      </c>
      <c r="AF462" s="30" t="e">
        <f t="shared" si="47"/>
        <v>#NUM!</v>
      </c>
    </row>
    <row r="463" spans="1:32" x14ac:dyDescent="0.3">
      <c r="A463" s="2" t="s">
        <v>476</v>
      </c>
      <c r="B463" s="4">
        <v>45358</v>
      </c>
      <c r="C463" s="46">
        <f>EOMONTH(Table2[[#This Row],[OrderDate]],-1)+1</f>
        <v>45352</v>
      </c>
      <c r="D463" s="45">
        <f>EOMONTH(_xlfn.MINIFS(B463:B1093,M463:M1093,Table2[[#This Row],[Country]]), -1) + 1</f>
        <v>44927</v>
      </c>
      <c r="E463" s="46"/>
      <c r="F463" s="4" t="str">
        <f>"Q"&amp;ROUNDUP(MONTH(B463)/3,0)&amp;"-"&amp;YEAR(B463)</f>
        <v>Q1-2024</v>
      </c>
      <c r="G463" s="4">
        <v>45385</v>
      </c>
      <c r="H463" s="4">
        <f>IF(G463&lt;B463, B463+3, G463)</f>
        <v>45385</v>
      </c>
      <c r="I463" s="10">
        <f>H463-B463</f>
        <v>27</v>
      </c>
      <c r="J463" s="10">
        <f t="shared" si="42"/>
        <v>0</v>
      </c>
      <c r="K463" s="10">
        <f t="shared" si="43"/>
        <v>0</v>
      </c>
      <c r="L463" s="6" t="s">
        <v>649</v>
      </c>
      <c r="M463" s="6" t="s">
        <v>656</v>
      </c>
      <c r="N463" s="6" t="s">
        <v>698</v>
      </c>
      <c r="O463" s="6" t="s">
        <v>701</v>
      </c>
      <c r="P463" s="6" t="s">
        <v>711</v>
      </c>
      <c r="Q463" s="6" t="s">
        <v>724</v>
      </c>
      <c r="R463" s="6" t="s">
        <v>728</v>
      </c>
      <c r="S463" s="6" t="s">
        <v>1195</v>
      </c>
      <c r="T463" s="8">
        <v>738.16</v>
      </c>
      <c r="U463" s="8">
        <v>956.49</v>
      </c>
      <c r="V463" s="8">
        <f t="shared" si="44"/>
        <v>0.152</v>
      </c>
      <c r="W463" s="8">
        <v>0.152</v>
      </c>
      <c r="X463" s="10">
        <f>IF(Table2[[#This Row],[DiscountPct]]&gt;0.2,1,0)</f>
        <v>0</v>
      </c>
      <c r="Y463" s="10">
        <v>5</v>
      </c>
      <c r="Z463" s="30">
        <f>Table2[[#This Row],[UnitPrice]]*Y463*(1-V463)</f>
        <v>4055.5175999999997</v>
      </c>
      <c r="AA463" s="2">
        <f>T463*Y463</f>
        <v>3690.7999999999997</v>
      </c>
      <c r="AB463" s="2">
        <f t="shared" si="45"/>
        <v>364.71759999999995</v>
      </c>
      <c r="AC463" s="2">
        <f t="shared" si="46"/>
        <v>8.9931208780847108E-2</v>
      </c>
      <c r="AD463" s="2" t="e">
        <f>_xlfn.PERCENTILE.INC(S:S, 0.33)</f>
        <v>#NUM!</v>
      </c>
      <c r="AE463" s="2" t="e">
        <f>_xlfn.PERCENTILE.INC(S:S, 0.66)</f>
        <v>#NUM!</v>
      </c>
      <c r="AF463" s="30" t="e">
        <f t="shared" si="47"/>
        <v>#NUM!</v>
      </c>
    </row>
    <row r="464" spans="1:32" x14ac:dyDescent="0.3">
      <c r="A464" s="31" t="s">
        <v>477</v>
      </c>
      <c r="B464" s="32">
        <v>45757</v>
      </c>
      <c r="C464" s="47">
        <f>EOMONTH(Table2[[#This Row],[OrderDate]],-1)+1</f>
        <v>45748</v>
      </c>
      <c r="D464" s="45">
        <f>EOMONTH(_xlfn.MINIFS(B464:B1094,M464:M1094,Table2[[#This Row],[Country]]), -1) + 1</f>
        <v>44927</v>
      </c>
      <c r="E464" s="47"/>
      <c r="F464" s="32" t="str">
        <f>"Q"&amp;ROUNDUP(MONTH(B464)/3,0)&amp;"-"&amp;YEAR(B464)</f>
        <v>Q2-2025</v>
      </c>
      <c r="G464" s="32">
        <v>45766</v>
      </c>
      <c r="H464" s="32">
        <f>IF(G464&lt;B464, B464+3, G464)</f>
        <v>45766</v>
      </c>
      <c r="I464" s="33">
        <f>H464-B464</f>
        <v>9</v>
      </c>
      <c r="J464" s="33">
        <f t="shared" si="42"/>
        <v>0</v>
      </c>
      <c r="K464" s="33">
        <f t="shared" si="43"/>
        <v>0</v>
      </c>
      <c r="L464" s="34" t="s">
        <v>646</v>
      </c>
      <c r="M464" s="34" t="s">
        <v>661</v>
      </c>
      <c r="N464" s="34" t="s">
        <v>687</v>
      </c>
      <c r="O464" s="34" t="s">
        <v>706</v>
      </c>
      <c r="P464" s="34" t="s">
        <v>1440</v>
      </c>
      <c r="Q464" s="34" t="s">
        <v>715</v>
      </c>
      <c r="R464" s="34" t="s">
        <v>729</v>
      </c>
      <c r="S464" s="34" t="s">
        <v>1196</v>
      </c>
      <c r="T464" s="35">
        <v>113.74</v>
      </c>
      <c r="U464" s="35">
        <v>165.7</v>
      </c>
      <c r="V464" s="35">
        <f t="shared" si="44"/>
        <v>0.124</v>
      </c>
      <c r="W464" s="35">
        <v>0.124</v>
      </c>
      <c r="X464" s="33">
        <f>IF(Table2[[#This Row],[DiscountPct]]&gt;0.2,1,0)</f>
        <v>0</v>
      </c>
      <c r="Y464" s="33">
        <v>13</v>
      </c>
      <c r="Z464" s="30">
        <f>Table2[[#This Row],[UnitPrice]]*Y464*(1-V464)</f>
        <v>1886.9915999999998</v>
      </c>
      <c r="AA464" s="31">
        <f>T464*Y464</f>
        <v>1478.62</v>
      </c>
      <c r="AB464" s="31">
        <f t="shared" si="45"/>
        <v>408.37159999999994</v>
      </c>
      <c r="AC464" s="31">
        <f t="shared" si="46"/>
        <v>0.21641410592394794</v>
      </c>
      <c r="AD464" s="31" t="e">
        <f>_xlfn.PERCENTILE.INC(S:S, 0.33)</f>
        <v>#NUM!</v>
      </c>
      <c r="AE464" s="31" t="e">
        <f>_xlfn.PERCENTILE.INC(S:S, 0.66)</f>
        <v>#NUM!</v>
      </c>
      <c r="AF464" s="30" t="e">
        <f t="shared" si="47"/>
        <v>#NUM!</v>
      </c>
    </row>
    <row r="465" spans="1:32" x14ac:dyDescent="0.3">
      <c r="A465" s="2" t="s">
        <v>478</v>
      </c>
      <c r="B465" s="4">
        <v>45865</v>
      </c>
      <c r="C465" s="46">
        <f>EOMONTH(Table2[[#This Row],[OrderDate]],-1)+1</f>
        <v>45839</v>
      </c>
      <c r="D465" s="45">
        <f>EOMONTH(_xlfn.MINIFS(B465:B1095,M465:M1095,Table2[[#This Row],[Country]]), -1) + 1</f>
        <v>44986</v>
      </c>
      <c r="E465" s="46"/>
      <c r="F465" s="4" t="str">
        <f>"Q"&amp;ROUNDUP(MONTH(B465)/3,0)&amp;"-"&amp;YEAR(B465)</f>
        <v>Q3-2025</v>
      </c>
      <c r="G465" s="4">
        <v>45884</v>
      </c>
      <c r="H465" s="4">
        <f>IF(G465&lt;B465, B465+3, G465)</f>
        <v>45884</v>
      </c>
      <c r="I465" s="10">
        <f>H465-B465</f>
        <v>19</v>
      </c>
      <c r="J465" s="10">
        <f t="shared" si="42"/>
        <v>0</v>
      </c>
      <c r="K465" s="10">
        <f t="shared" si="43"/>
        <v>0</v>
      </c>
      <c r="L465" s="6" t="s">
        <v>647</v>
      </c>
      <c r="M465" s="6" t="s">
        <v>652</v>
      </c>
      <c r="N465" s="6" t="s">
        <v>689</v>
      </c>
      <c r="O465" s="6" t="s">
        <v>705</v>
      </c>
      <c r="P465" s="6" t="s">
        <v>709</v>
      </c>
      <c r="Q465" s="6" t="s">
        <v>713</v>
      </c>
      <c r="R465" s="6" t="s">
        <v>727</v>
      </c>
      <c r="S465" s="6" t="s">
        <v>1197</v>
      </c>
      <c r="T465" s="8">
        <v>275.43</v>
      </c>
      <c r="U465" s="8">
        <v>608.36</v>
      </c>
      <c r="V465" s="8">
        <f t="shared" si="44"/>
        <v>0.25700000000000001</v>
      </c>
      <c r="W465" s="8">
        <v>0.25700000000000001</v>
      </c>
      <c r="X465" s="10">
        <f>IF(Table2[[#This Row],[DiscountPct]]&gt;0.2,1,0)</f>
        <v>1</v>
      </c>
      <c r="Y465" s="10">
        <v>4</v>
      </c>
      <c r="Z465" s="30">
        <f>Table2[[#This Row],[UnitPrice]]*Y465*(1-V465)</f>
        <v>1808.04592</v>
      </c>
      <c r="AA465" s="2">
        <f>T465*Y465</f>
        <v>1101.72</v>
      </c>
      <c r="AB465" s="2">
        <f t="shared" si="45"/>
        <v>706.32592</v>
      </c>
      <c r="AC465" s="2">
        <f t="shared" si="46"/>
        <v>0.39065706915231446</v>
      </c>
      <c r="AD465" s="2" t="e">
        <f>_xlfn.PERCENTILE.INC(S:S, 0.33)</f>
        <v>#NUM!</v>
      </c>
      <c r="AE465" s="2" t="e">
        <f>_xlfn.PERCENTILE.INC(S:S, 0.66)</f>
        <v>#NUM!</v>
      </c>
      <c r="AF465" s="30" t="e">
        <f t="shared" si="47"/>
        <v>#NUM!</v>
      </c>
    </row>
    <row r="466" spans="1:32" x14ac:dyDescent="0.3">
      <c r="A466" s="31" t="s">
        <v>479</v>
      </c>
      <c r="B466" s="32">
        <v>45618</v>
      </c>
      <c r="C466" s="47">
        <f>EOMONTH(Table2[[#This Row],[OrderDate]],-1)+1</f>
        <v>45597</v>
      </c>
      <c r="D466" s="45">
        <f>EOMONTH(_xlfn.MINIFS(B466:B1096,M466:M1096,Table2[[#This Row],[Country]]), -1) + 1</f>
        <v>45047</v>
      </c>
      <c r="E466" s="47"/>
      <c r="F466" s="32" t="str">
        <f>"Q"&amp;ROUNDUP(MONTH(B466)/3,0)&amp;"-"&amp;YEAR(B466)</f>
        <v>Q4-2024</v>
      </c>
      <c r="G466" s="32">
        <v>45641</v>
      </c>
      <c r="H466" s="32">
        <f>IF(G466&lt;B466, B466+3, G466)</f>
        <v>45641</v>
      </c>
      <c r="I466" s="33">
        <f>H466-B466</f>
        <v>23</v>
      </c>
      <c r="J466" s="33">
        <f t="shared" si="42"/>
        <v>0</v>
      </c>
      <c r="K466" s="33">
        <f t="shared" si="43"/>
        <v>0</v>
      </c>
      <c r="L466" s="34" t="s">
        <v>646</v>
      </c>
      <c r="M466" s="34" t="s">
        <v>650</v>
      </c>
      <c r="N466" s="34" t="s">
        <v>675</v>
      </c>
      <c r="O466" s="34" t="s">
        <v>703</v>
      </c>
      <c r="P466" s="34" t="s">
        <v>710</v>
      </c>
      <c r="Q466" s="34" t="s">
        <v>712</v>
      </c>
      <c r="R466" s="34" t="s">
        <v>727</v>
      </c>
      <c r="S466" s="34" t="s">
        <v>1198</v>
      </c>
      <c r="T466" s="35">
        <v>1335.76</v>
      </c>
      <c r="U466" s="35">
        <v>2665.91</v>
      </c>
      <c r="V466" s="35">
        <f t="shared" si="44"/>
        <v>0.21099999999999999</v>
      </c>
      <c r="W466" s="35">
        <v>0.21099999999999999</v>
      </c>
      <c r="X466" s="33">
        <f>IF(Table2[[#This Row],[DiscountPct]]&gt;0.2,1,0)</f>
        <v>1</v>
      </c>
      <c r="Y466" s="33">
        <v>40</v>
      </c>
      <c r="Z466" s="30">
        <f>Table2[[#This Row],[UnitPrice]]*Y466*(1-V466)</f>
        <v>84136.119600000005</v>
      </c>
      <c r="AA466" s="31">
        <f>T466*Y466</f>
        <v>53430.400000000001</v>
      </c>
      <c r="AB466" s="31">
        <f t="shared" si="45"/>
        <v>30705.719600000004</v>
      </c>
      <c r="AC466" s="31">
        <f t="shared" si="46"/>
        <v>0.36495288522909253</v>
      </c>
      <c r="AD466" s="31" t="e">
        <f>_xlfn.PERCENTILE.INC(S:S, 0.33)</f>
        <v>#NUM!</v>
      </c>
      <c r="AE466" s="31" t="e">
        <f>_xlfn.PERCENTILE.INC(S:S, 0.66)</f>
        <v>#NUM!</v>
      </c>
      <c r="AF466" s="30" t="e">
        <f t="shared" si="47"/>
        <v>#NUM!</v>
      </c>
    </row>
    <row r="467" spans="1:32" x14ac:dyDescent="0.3">
      <c r="A467" s="2" t="s">
        <v>480</v>
      </c>
      <c r="B467" s="4">
        <v>45466</v>
      </c>
      <c r="C467" s="46">
        <f>EOMONTH(Table2[[#This Row],[OrderDate]],-1)+1</f>
        <v>45444</v>
      </c>
      <c r="D467" s="45">
        <f>EOMONTH(_xlfn.MINIFS(B467:B1097,M467:M1097,Table2[[#This Row],[Country]]), -1) + 1</f>
        <v>44958</v>
      </c>
      <c r="E467" s="46"/>
      <c r="F467" s="4" t="str">
        <f>"Q"&amp;ROUNDUP(MONTH(B467)/3,0)&amp;"-"&amp;YEAR(B467)</f>
        <v>Q2-2024</v>
      </c>
      <c r="G467" s="4">
        <v>45471</v>
      </c>
      <c r="H467" s="4">
        <f>IF(G467&lt;B467, B467+3, G467)</f>
        <v>45471</v>
      </c>
      <c r="I467" s="10">
        <f>H467-B467</f>
        <v>5</v>
      </c>
      <c r="J467" s="10">
        <f t="shared" si="42"/>
        <v>1</v>
      </c>
      <c r="K467" s="10">
        <f t="shared" si="43"/>
        <v>1</v>
      </c>
      <c r="L467" s="6" t="s">
        <v>646</v>
      </c>
      <c r="M467" s="6" t="s">
        <v>651</v>
      </c>
      <c r="N467" s="6" t="s">
        <v>663</v>
      </c>
      <c r="O467" s="6" t="s">
        <v>703</v>
      </c>
      <c r="P467" s="6" t="s">
        <v>711</v>
      </c>
      <c r="Q467" s="6" t="s">
        <v>724</v>
      </c>
      <c r="R467" s="6" t="s">
        <v>733</v>
      </c>
      <c r="S467" s="6" t="s">
        <v>1199</v>
      </c>
      <c r="T467" s="8">
        <v>242.31</v>
      </c>
      <c r="U467" s="8">
        <v>587.95000000000005</v>
      </c>
      <c r="V467" s="8">
        <f t="shared" si="44"/>
        <v>0.22900000000000001</v>
      </c>
      <c r="W467" s="8">
        <v>0.22900000000000001</v>
      </c>
      <c r="X467" s="10">
        <f>IF(Table2[[#This Row],[DiscountPct]]&gt;0.2,1,0)</f>
        <v>1</v>
      </c>
      <c r="Y467" s="10">
        <v>6</v>
      </c>
      <c r="Z467" s="30">
        <f>Table2[[#This Row],[UnitPrice]]*Y467*(1-V467)</f>
        <v>2719.8567000000003</v>
      </c>
      <c r="AA467" s="2">
        <f>T467*Y467</f>
        <v>1453.8600000000001</v>
      </c>
      <c r="AB467" s="2">
        <f t="shared" si="45"/>
        <v>1265.9967000000001</v>
      </c>
      <c r="AC467" s="2">
        <f t="shared" si="46"/>
        <v>0.46546448568411714</v>
      </c>
      <c r="AD467" s="2" t="e">
        <f>_xlfn.PERCENTILE.INC(S:S, 0.33)</f>
        <v>#NUM!</v>
      </c>
      <c r="AE467" s="2" t="e">
        <f>_xlfn.PERCENTILE.INC(S:S, 0.66)</f>
        <v>#NUM!</v>
      </c>
      <c r="AF467" s="30" t="e">
        <f t="shared" si="47"/>
        <v>#NUM!</v>
      </c>
    </row>
    <row r="468" spans="1:32" x14ac:dyDescent="0.3">
      <c r="A468" s="31" t="s">
        <v>481</v>
      </c>
      <c r="B468" s="32">
        <v>45278</v>
      </c>
      <c r="C468" s="47">
        <f>EOMONTH(Table2[[#This Row],[OrderDate]],-1)+1</f>
        <v>45261</v>
      </c>
      <c r="D468" s="45">
        <f>EOMONTH(_xlfn.MINIFS(B468:B1098,M468:M1098,Table2[[#This Row],[Country]]), -1) + 1</f>
        <v>45047</v>
      </c>
      <c r="E468" s="47"/>
      <c r="F468" s="32" t="str">
        <f>"Q"&amp;ROUNDUP(MONTH(B468)/3,0)&amp;"-"&amp;YEAR(B468)</f>
        <v>Q4-2023</v>
      </c>
      <c r="G468" s="32">
        <v>45305</v>
      </c>
      <c r="H468" s="32">
        <f>IF(G468&lt;B468, B468+3, G468)</f>
        <v>45305</v>
      </c>
      <c r="I468" s="33">
        <f>H468-B468</f>
        <v>27</v>
      </c>
      <c r="J468" s="33">
        <f t="shared" si="42"/>
        <v>0</v>
      </c>
      <c r="K468" s="33">
        <f t="shared" si="43"/>
        <v>0</v>
      </c>
      <c r="L468" s="34" t="s">
        <v>647</v>
      </c>
      <c r="M468" s="34" t="s">
        <v>654</v>
      </c>
      <c r="N468" s="34" t="s">
        <v>691</v>
      </c>
      <c r="O468" s="34" t="s">
        <v>704</v>
      </c>
      <c r="P468" s="34" t="s">
        <v>710</v>
      </c>
      <c r="Q468" s="34" t="s">
        <v>726</v>
      </c>
      <c r="R468" s="34" t="s">
        <v>729</v>
      </c>
      <c r="S468" s="34" t="s">
        <v>1200</v>
      </c>
      <c r="T468" s="35">
        <v>1408.3</v>
      </c>
      <c r="U468" s="35">
        <v>2193.13</v>
      </c>
      <c r="V468" s="35">
        <f t="shared" si="44"/>
        <v>7.0999999999999994E-2</v>
      </c>
      <c r="W468" s="35">
        <v>7.0999999999999994E-2</v>
      </c>
      <c r="X468" s="33">
        <f>IF(Table2[[#This Row],[DiscountPct]]&gt;0.2,1,0)</f>
        <v>0</v>
      </c>
      <c r="Y468" s="33">
        <v>7</v>
      </c>
      <c r="Z468" s="30">
        <f>Table2[[#This Row],[UnitPrice]]*Y468*(1-V468)</f>
        <v>14261.92439</v>
      </c>
      <c r="AA468" s="31">
        <f>T468*Y468</f>
        <v>9858.1</v>
      </c>
      <c r="AB468" s="31">
        <f t="shared" si="45"/>
        <v>4403.8243899999998</v>
      </c>
      <c r="AC468" s="31">
        <f t="shared" si="46"/>
        <v>0.30878191957656281</v>
      </c>
      <c r="AD468" s="31" t="e">
        <f>_xlfn.PERCENTILE.INC(S:S, 0.33)</f>
        <v>#NUM!</v>
      </c>
      <c r="AE468" s="31" t="e">
        <f>_xlfn.PERCENTILE.INC(S:S, 0.66)</f>
        <v>#NUM!</v>
      </c>
      <c r="AF468" s="30" t="e">
        <f t="shared" si="47"/>
        <v>#NUM!</v>
      </c>
    </row>
    <row r="469" spans="1:32" x14ac:dyDescent="0.3">
      <c r="A469" s="2" t="s">
        <v>482</v>
      </c>
      <c r="B469" s="4">
        <v>45809</v>
      </c>
      <c r="C469" s="46">
        <f>EOMONTH(Table2[[#This Row],[OrderDate]],-1)+1</f>
        <v>45809</v>
      </c>
      <c r="D469" s="45">
        <f>EOMONTH(_xlfn.MINIFS(B469:B1099,M469:M1099,Table2[[#This Row],[Country]]), -1) + 1</f>
        <v>44927</v>
      </c>
      <c r="E469" s="46"/>
      <c r="F469" s="4" t="str">
        <f>"Q"&amp;ROUNDUP(MONTH(B469)/3,0)&amp;"-"&amp;YEAR(B469)</f>
        <v>Q2-2025</v>
      </c>
      <c r="G469" s="4">
        <v>45813</v>
      </c>
      <c r="H469" s="4">
        <f>IF(G469&lt;B469, B469+3, G469)</f>
        <v>45813</v>
      </c>
      <c r="I469" s="10">
        <f>H469-B469</f>
        <v>4</v>
      </c>
      <c r="J469" s="10">
        <f t="shared" si="42"/>
        <v>1</v>
      </c>
      <c r="K469" s="10">
        <f t="shared" si="43"/>
        <v>1</v>
      </c>
      <c r="L469" s="6" t="s">
        <v>649</v>
      </c>
      <c r="M469" s="6" t="s">
        <v>656</v>
      </c>
      <c r="N469" s="6" t="s">
        <v>684</v>
      </c>
      <c r="O469" s="6" t="s">
        <v>706</v>
      </c>
      <c r="P469" s="6" t="s">
        <v>711</v>
      </c>
      <c r="Q469" s="6" t="s">
        <v>724</v>
      </c>
      <c r="R469" s="6" t="s">
        <v>727</v>
      </c>
      <c r="S469" s="6" t="s">
        <v>1201</v>
      </c>
      <c r="T469" s="8">
        <v>1171.42</v>
      </c>
      <c r="U469" s="8">
        <v>2187.8000000000002</v>
      </c>
      <c r="V469" s="8">
        <f t="shared" si="44"/>
        <v>0.23</v>
      </c>
      <c r="W469" s="8">
        <v>0.23</v>
      </c>
      <c r="X469" s="10">
        <f>IF(Table2[[#This Row],[DiscountPct]]&gt;0.2,1,0)</f>
        <v>1</v>
      </c>
      <c r="Y469" s="10">
        <v>15</v>
      </c>
      <c r="Z469" s="30">
        <f>Table2[[#This Row],[UnitPrice]]*Y469*(1-V469)</f>
        <v>25269.09</v>
      </c>
      <c r="AA469" s="2">
        <f>T469*Y469</f>
        <v>17571.300000000003</v>
      </c>
      <c r="AB469" s="2">
        <f t="shared" si="45"/>
        <v>7697.7899999999972</v>
      </c>
      <c r="AC469" s="2">
        <f t="shared" si="46"/>
        <v>0.30463265594447592</v>
      </c>
      <c r="AD469" s="2" t="e">
        <f>_xlfn.PERCENTILE.INC(S:S, 0.33)</f>
        <v>#NUM!</v>
      </c>
      <c r="AE469" s="2" t="e">
        <f>_xlfn.PERCENTILE.INC(S:S, 0.66)</f>
        <v>#NUM!</v>
      </c>
      <c r="AF469" s="30" t="e">
        <f t="shared" si="47"/>
        <v>#NUM!</v>
      </c>
    </row>
    <row r="470" spans="1:32" x14ac:dyDescent="0.3">
      <c r="A470" s="31" t="s">
        <v>483</v>
      </c>
      <c r="B470" s="32">
        <v>45739</v>
      </c>
      <c r="C470" s="47">
        <f>EOMONTH(Table2[[#This Row],[OrderDate]],-1)+1</f>
        <v>45717</v>
      </c>
      <c r="D470" s="45">
        <f>EOMONTH(_xlfn.MINIFS(B470:B1100,M470:M1100,Table2[[#This Row],[Country]]), -1) + 1</f>
        <v>44927</v>
      </c>
      <c r="E470" s="47"/>
      <c r="F470" s="32" t="str">
        <f>"Q"&amp;ROUNDUP(MONTH(B470)/3,0)&amp;"-"&amp;YEAR(B470)</f>
        <v>Q1-2025</v>
      </c>
      <c r="G470" s="32">
        <v>45749</v>
      </c>
      <c r="H470" s="32">
        <f>IF(G470&lt;B470, B470+3, G470)</f>
        <v>45749</v>
      </c>
      <c r="I470" s="33">
        <f>H470-B470</f>
        <v>10</v>
      </c>
      <c r="J470" s="33">
        <f t="shared" si="42"/>
        <v>0</v>
      </c>
      <c r="K470" s="33">
        <f t="shared" si="43"/>
        <v>0</v>
      </c>
      <c r="L470" s="34" t="s">
        <v>649</v>
      </c>
      <c r="M470" s="34" t="s">
        <v>656</v>
      </c>
      <c r="N470" s="34" t="s">
        <v>671</v>
      </c>
      <c r="O470" s="34" t="s">
        <v>706</v>
      </c>
      <c r="P470" s="34" t="s">
        <v>708</v>
      </c>
      <c r="Q470" s="34" t="s">
        <v>718</v>
      </c>
      <c r="R470" s="34" t="s">
        <v>728</v>
      </c>
      <c r="S470" s="34" t="s">
        <v>1202</v>
      </c>
      <c r="T470" s="35">
        <v>663.61</v>
      </c>
      <c r="U470" s="35">
        <v>1002.11</v>
      </c>
      <c r="V470" s="35">
        <f t="shared" si="44"/>
        <v>4.5999999999999999E-2</v>
      </c>
      <c r="W470" s="35">
        <v>4.5999999999999999E-2</v>
      </c>
      <c r="X470" s="33">
        <f>IF(Table2[[#This Row],[DiscountPct]]&gt;0.2,1,0)</f>
        <v>0</v>
      </c>
      <c r="Y470" s="33">
        <v>17</v>
      </c>
      <c r="Z470" s="30">
        <f>Table2[[#This Row],[UnitPrice]]*Y470*(1-V470)</f>
        <v>16252.219979999998</v>
      </c>
      <c r="AA470" s="31">
        <f>T470*Y470</f>
        <v>11281.37</v>
      </c>
      <c r="AB470" s="31">
        <f t="shared" si="45"/>
        <v>4970.8499799999972</v>
      </c>
      <c r="AC470" s="31">
        <f t="shared" si="46"/>
        <v>0.30585667595670812</v>
      </c>
      <c r="AD470" s="31" t="e">
        <f>_xlfn.PERCENTILE.INC(S:S, 0.33)</f>
        <v>#NUM!</v>
      </c>
      <c r="AE470" s="31" t="e">
        <f>_xlfn.PERCENTILE.INC(S:S, 0.66)</f>
        <v>#NUM!</v>
      </c>
      <c r="AF470" s="30" t="e">
        <f t="shared" si="47"/>
        <v>#NUM!</v>
      </c>
    </row>
    <row r="471" spans="1:32" x14ac:dyDescent="0.3">
      <c r="A471" s="2" t="s">
        <v>484</v>
      </c>
      <c r="B471" s="4">
        <v>45060</v>
      </c>
      <c r="C471" s="46">
        <f>EOMONTH(Table2[[#This Row],[OrderDate]],-1)+1</f>
        <v>45047</v>
      </c>
      <c r="D471" s="45">
        <f>EOMONTH(_xlfn.MINIFS(B471:B1101,M471:M1101,Table2[[#This Row],[Country]]), -1) + 1</f>
        <v>45047</v>
      </c>
      <c r="E471" s="46"/>
      <c r="F471" s="4" t="str">
        <f>"Q"&amp;ROUNDUP(MONTH(B471)/3,0)&amp;"-"&amp;YEAR(B471)</f>
        <v>Q2-2023</v>
      </c>
      <c r="G471" s="4">
        <v>45068</v>
      </c>
      <c r="H471" s="4">
        <f>IF(G471&lt;B471, B471+3, G471)</f>
        <v>45068</v>
      </c>
      <c r="I471" s="10">
        <f>H471-B471</f>
        <v>8</v>
      </c>
      <c r="J471" s="10">
        <f t="shared" si="42"/>
        <v>0</v>
      </c>
      <c r="K471" s="10">
        <f t="shared" si="43"/>
        <v>0</v>
      </c>
      <c r="L471" s="6" t="s">
        <v>646</v>
      </c>
      <c r="M471" s="6" t="s">
        <v>650</v>
      </c>
      <c r="N471" s="6" t="s">
        <v>675</v>
      </c>
      <c r="O471" s="6" t="s">
        <v>705</v>
      </c>
      <c r="P471" s="6" t="s">
        <v>710</v>
      </c>
      <c r="Q471" s="6" t="s">
        <v>721</v>
      </c>
      <c r="R471" s="6" t="s">
        <v>728</v>
      </c>
      <c r="S471" s="6" t="s">
        <v>1203</v>
      </c>
      <c r="T471" s="8">
        <v>432.01</v>
      </c>
      <c r="U471" s="8">
        <v>913.78</v>
      </c>
      <c r="V471" s="8">
        <f t="shared" si="44"/>
        <v>4.9000000000000002E-2</v>
      </c>
      <c r="W471" s="8">
        <v>4.9000000000000002E-2</v>
      </c>
      <c r="X471" s="10">
        <f>IF(Table2[[#This Row],[DiscountPct]]&gt;0.2,1,0)</f>
        <v>0</v>
      </c>
      <c r="Y471" s="10">
        <v>12</v>
      </c>
      <c r="Z471" s="30">
        <f>Table2[[#This Row],[UnitPrice]]*Y471*(1-V471)</f>
        <v>10428.057360000001</v>
      </c>
      <c r="AA471" s="2">
        <f>T471*Y471</f>
        <v>5184.12</v>
      </c>
      <c r="AB471" s="2">
        <f t="shared" si="45"/>
        <v>5243.9373600000008</v>
      </c>
      <c r="AC471" s="2">
        <f t="shared" si="46"/>
        <v>0.50286809699711899</v>
      </c>
      <c r="AD471" s="2" t="e">
        <f>_xlfn.PERCENTILE.INC(S:S, 0.33)</f>
        <v>#NUM!</v>
      </c>
      <c r="AE471" s="2" t="e">
        <f>_xlfn.PERCENTILE.INC(S:S, 0.66)</f>
        <v>#NUM!</v>
      </c>
      <c r="AF471" s="30" t="e">
        <f t="shared" si="47"/>
        <v>#NUM!</v>
      </c>
    </row>
    <row r="472" spans="1:32" x14ac:dyDescent="0.3">
      <c r="A472" s="31" t="s">
        <v>485</v>
      </c>
      <c r="B472" s="32">
        <v>45167</v>
      </c>
      <c r="C472" s="47">
        <f>EOMONTH(Table2[[#This Row],[OrderDate]],-1)+1</f>
        <v>45139</v>
      </c>
      <c r="D472" s="45">
        <f>EOMONTH(_xlfn.MINIFS(B472:B1102,M472:M1102,Table2[[#This Row],[Country]]), -1) + 1</f>
        <v>45017</v>
      </c>
      <c r="E472" s="47"/>
      <c r="F472" s="32" t="str">
        <f>"Q"&amp;ROUNDUP(MONTH(B472)/3,0)&amp;"-"&amp;YEAR(B472)</f>
        <v>Q3-2023</v>
      </c>
      <c r="G472" s="32">
        <v>45188</v>
      </c>
      <c r="H472" s="32">
        <f>IF(G472&lt;B472, B472+3, G472)</f>
        <v>45188</v>
      </c>
      <c r="I472" s="33">
        <f>H472-B472</f>
        <v>21</v>
      </c>
      <c r="J472" s="33">
        <f t="shared" si="42"/>
        <v>0</v>
      </c>
      <c r="K472" s="33">
        <f t="shared" si="43"/>
        <v>0</v>
      </c>
      <c r="L472" s="34" t="s">
        <v>649</v>
      </c>
      <c r="M472" s="34" t="s">
        <v>657</v>
      </c>
      <c r="N472" s="34" t="s">
        <v>679</v>
      </c>
      <c r="O472" s="34" t="s">
        <v>705</v>
      </c>
      <c r="P472" s="34" t="s">
        <v>711</v>
      </c>
      <c r="Q472" s="34" t="s">
        <v>717</v>
      </c>
      <c r="R472" s="34" t="s">
        <v>728</v>
      </c>
      <c r="S472" s="34" t="s">
        <v>1204</v>
      </c>
      <c r="T472" s="35">
        <v>784.46</v>
      </c>
      <c r="U472" s="35">
        <v>1843.51</v>
      </c>
      <c r="V472" s="35">
        <f t="shared" si="44"/>
        <v>0.13800000000000001</v>
      </c>
      <c r="W472" s="35">
        <v>0.13800000000000001</v>
      </c>
      <c r="X472" s="33">
        <f>IF(Table2[[#This Row],[DiscountPct]]&gt;0.2,1,0)</f>
        <v>0</v>
      </c>
      <c r="Y472" s="33">
        <v>23</v>
      </c>
      <c r="Z472" s="30">
        <f>Table2[[#This Row],[UnitPrice]]*Y472*(1-V472)</f>
        <v>36549.429260000004</v>
      </c>
      <c r="AA472" s="31">
        <f>T472*Y472</f>
        <v>18042.580000000002</v>
      </c>
      <c r="AB472" s="31">
        <f t="shared" si="45"/>
        <v>18506.849260000003</v>
      </c>
      <c r="AC472" s="31">
        <f t="shared" si="46"/>
        <v>0.50635125184441798</v>
      </c>
      <c r="AD472" s="31" t="e">
        <f>_xlfn.PERCENTILE.INC(S:S, 0.33)</f>
        <v>#NUM!</v>
      </c>
      <c r="AE472" s="31" t="e">
        <f>_xlfn.PERCENTILE.INC(S:S, 0.66)</f>
        <v>#NUM!</v>
      </c>
      <c r="AF472" s="30" t="e">
        <f t="shared" si="47"/>
        <v>#NUM!</v>
      </c>
    </row>
    <row r="473" spans="1:32" x14ac:dyDescent="0.3">
      <c r="A473" s="2" t="s">
        <v>486</v>
      </c>
      <c r="B473" s="4">
        <v>45841</v>
      </c>
      <c r="C473" s="46">
        <f>EOMONTH(Table2[[#This Row],[OrderDate]],-1)+1</f>
        <v>45839</v>
      </c>
      <c r="D473" s="45">
        <f>EOMONTH(_xlfn.MINIFS(B473:B1103,M473:M1103,Table2[[#This Row],[Country]]), -1) + 1</f>
        <v>44927</v>
      </c>
      <c r="E473" s="46"/>
      <c r="F473" s="4" t="str">
        <f>"Q"&amp;ROUNDUP(MONTH(B473)/3,0)&amp;"-"&amp;YEAR(B473)</f>
        <v>Q3-2025</v>
      </c>
      <c r="G473" s="4">
        <v>45861</v>
      </c>
      <c r="H473" s="4">
        <f>IF(G473&lt;B473, B473+3, G473)</f>
        <v>45861</v>
      </c>
      <c r="I473" s="10">
        <f>H473-B473</f>
        <v>20</v>
      </c>
      <c r="J473" s="10">
        <f t="shared" si="42"/>
        <v>0</v>
      </c>
      <c r="K473" s="10">
        <f t="shared" si="43"/>
        <v>0</v>
      </c>
      <c r="L473" s="6" t="s">
        <v>647</v>
      </c>
      <c r="M473" s="6" t="s">
        <v>659</v>
      </c>
      <c r="N473" s="6" t="s">
        <v>699</v>
      </c>
      <c r="O473" s="6" t="s">
        <v>705</v>
      </c>
      <c r="P473" s="6" t="s">
        <v>708</v>
      </c>
      <c r="Q473" s="6" t="s">
        <v>724</v>
      </c>
      <c r="R473" s="6" t="s">
        <v>727</v>
      </c>
      <c r="S473" s="6" t="s">
        <v>1205</v>
      </c>
      <c r="T473" s="8">
        <v>647.36</v>
      </c>
      <c r="U473" s="8">
        <v>1383.6</v>
      </c>
      <c r="V473" s="8">
        <f t="shared" si="44"/>
        <v>7.3999999999999996E-2</v>
      </c>
      <c r="W473" s="8">
        <v>7.3999999999999996E-2</v>
      </c>
      <c r="X473" s="10">
        <f>IF(Table2[[#This Row],[DiscountPct]]&gt;0.2,1,0)</f>
        <v>0</v>
      </c>
      <c r="Y473" s="10">
        <v>12</v>
      </c>
      <c r="Z473" s="30">
        <f>Table2[[#This Row],[UnitPrice]]*Y473*(1-V473)</f>
        <v>15374.563199999999</v>
      </c>
      <c r="AA473" s="2">
        <f>T473*Y473</f>
        <v>7768.32</v>
      </c>
      <c r="AB473" s="2">
        <f t="shared" si="45"/>
        <v>7606.243199999999</v>
      </c>
      <c r="AC473" s="2">
        <f t="shared" si="46"/>
        <v>0.49472906000997802</v>
      </c>
      <c r="AD473" s="2" t="e">
        <f>_xlfn.PERCENTILE.INC(S:S, 0.33)</f>
        <v>#NUM!</v>
      </c>
      <c r="AE473" s="2" t="e">
        <f>_xlfn.PERCENTILE.INC(S:S, 0.66)</f>
        <v>#NUM!</v>
      </c>
      <c r="AF473" s="30" t="e">
        <f t="shared" si="47"/>
        <v>#NUM!</v>
      </c>
    </row>
    <row r="474" spans="1:32" x14ac:dyDescent="0.3">
      <c r="A474" s="31" t="s">
        <v>487</v>
      </c>
      <c r="B474" s="32">
        <v>45328</v>
      </c>
      <c r="C474" s="47">
        <f>EOMONTH(Table2[[#This Row],[OrderDate]],-1)+1</f>
        <v>45323</v>
      </c>
      <c r="D474" s="45">
        <f>EOMONTH(_xlfn.MINIFS(B474:B1104,M474:M1104,Table2[[#This Row],[Country]]), -1) + 1</f>
        <v>45108</v>
      </c>
      <c r="E474" s="47"/>
      <c r="F474" s="32" t="str">
        <f>"Q"&amp;ROUNDUP(MONTH(B474)/3,0)&amp;"-"&amp;YEAR(B474)</f>
        <v>Q1-2024</v>
      </c>
      <c r="G474" s="32">
        <v>45350</v>
      </c>
      <c r="H474" s="32">
        <f>IF(G474&lt;B474, B474+3, G474)</f>
        <v>45350</v>
      </c>
      <c r="I474" s="33">
        <f>H474-B474</f>
        <v>22</v>
      </c>
      <c r="J474" s="33">
        <f t="shared" si="42"/>
        <v>0</v>
      </c>
      <c r="K474" s="33">
        <f t="shared" si="43"/>
        <v>0</v>
      </c>
      <c r="L474" s="34" t="s">
        <v>646</v>
      </c>
      <c r="M474" s="34" t="s">
        <v>650</v>
      </c>
      <c r="N474" s="34" t="s">
        <v>662</v>
      </c>
      <c r="O474" s="34" t="s">
        <v>703</v>
      </c>
      <c r="P474" s="34" t="s">
        <v>708</v>
      </c>
      <c r="Q474" s="34" t="s">
        <v>723</v>
      </c>
      <c r="R474" s="34" t="s">
        <v>732</v>
      </c>
      <c r="S474" s="34" t="s">
        <v>1206</v>
      </c>
      <c r="T474" s="35">
        <v>834.93</v>
      </c>
      <c r="U474" s="35">
        <v>1588.53</v>
      </c>
      <c r="V474" s="35">
        <f t="shared" si="44"/>
        <v>0.126</v>
      </c>
      <c r="W474" s="35">
        <v>0.126</v>
      </c>
      <c r="X474" s="33">
        <f>IF(Table2[[#This Row],[DiscountPct]]&gt;0.2,1,0)</f>
        <v>0</v>
      </c>
      <c r="Y474" s="33">
        <v>6</v>
      </c>
      <c r="Z474" s="30">
        <f>Table2[[#This Row],[UnitPrice]]*Y474*(1-V474)</f>
        <v>8330.2513199999994</v>
      </c>
      <c r="AA474" s="31">
        <f>T474*Y474</f>
        <v>5009.58</v>
      </c>
      <c r="AB474" s="31">
        <f t="shared" si="45"/>
        <v>3320.6713199999995</v>
      </c>
      <c r="AC474" s="31">
        <f t="shared" si="46"/>
        <v>0.39862798761274343</v>
      </c>
      <c r="AD474" s="31" t="e">
        <f>_xlfn.PERCENTILE.INC(S:S, 0.33)</f>
        <v>#NUM!</v>
      </c>
      <c r="AE474" s="31" t="e">
        <f>_xlfn.PERCENTILE.INC(S:S, 0.66)</f>
        <v>#NUM!</v>
      </c>
      <c r="AF474" s="30" t="e">
        <f t="shared" si="47"/>
        <v>#NUM!</v>
      </c>
    </row>
    <row r="475" spans="1:32" x14ac:dyDescent="0.3">
      <c r="A475" s="2" t="s">
        <v>488</v>
      </c>
      <c r="B475" s="4">
        <v>45882</v>
      </c>
      <c r="C475" s="46">
        <f>EOMONTH(Table2[[#This Row],[OrderDate]],-1)+1</f>
        <v>45870</v>
      </c>
      <c r="D475" s="45">
        <f>EOMONTH(_xlfn.MINIFS(B475:B1105,M475:M1105,Table2[[#This Row],[Country]]), -1) + 1</f>
        <v>45017</v>
      </c>
      <c r="E475" s="46"/>
      <c r="F475" s="4" t="str">
        <f>"Q"&amp;ROUNDUP(MONTH(B475)/3,0)&amp;"-"&amp;YEAR(B475)</f>
        <v>Q3-2025</v>
      </c>
      <c r="G475" s="4">
        <v>45903</v>
      </c>
      <c r="H475" s="4">
        <f>IF(G475&lt;B475, B475+3, G475)</f>
        <v>45903</v>
      </c>
      <c r="I475" s="10">
        <f>H475-B475</f>
        <v>21</v>
      </c>
      <c r="J475" s="10">
        <f t="shared" si="42"/>
        <v>0</v>
      </c>
      <c r="K475" s="10">
        <f t="shared" si="43"/>
        <v>0</v>
      </c>
      <c r="L475" s="6" t="s">
        <v>649</v>
      </c>
      <c r="M475" s="6" t="s">
        <v>657</v>
      </c>
      <c r="N475" s="6" t="s">
        <v>690</v>
      </c>
      <c r="O475" s="6" t="s">
        <v>702</v>
      </c>
      <c r="P475" s="6" t="s">
        <v>707</v>
      </c>
      <c r="Q475" s="6" t="s">
        <v>714</v>
      </c>
      <c r="R475" s="6" t="s">
        <v>730</v>
      </c>
      <c r="S475" s="6" t="s">
        <v>1207</v>
      </c>
      <c r="T475" s="8">
        <v>603.47</v>
      </c>
      <c r="U475" s="8">
        <v>1344.05</v>
      </c>
      <c r="V475" s="8">
        <f t="shared" si="44"/>
        <v>0.20499999999999999</v>
      </c>
      <c r="W475" s="8">
        <v>0.20499999999999999</v>
      </c>
      <c r="X475" s="10">
        <f>IF(Table2[[#This Row],[DiscountPct]]&gt;0.2,1,0)</f>
        <v>1</v>
      </c>
      <c r="Y475" s="10">
        <v>18</v>
      </c>
      <c r="Z475" s="30">
        <f>Table2[[#This Row],[UnitPrice]]*Y475*(1-V475)</f>
        <v>19233.355499999998</v>
      </c>
      <c r="AA475" s="2">
        <f>T475*Y475</f>
        <v>10862.460000000001</v>
      </c>
      <c r="AB475" s="2">
        <f t="shared" si="45"/>
        <v>8370.8954999999969</v>
      </c>
      <c r="AC475" s="2">
        <f t="shared" si="46"/>
        <v>0.43522803392262976</v>
      </c>
      <c r="AD475" s="2" t="e">
        <f>_xlfn.PERCENTILE.INC(S:S, 0.33)</f>
        <v>#NUM!</v>
      </c>
      <c r="AE475" s="2" t="e">
        <f>_xlfn.PERCENTILE.INC(S:S, 0.66)</f>
        <v>#NUM!</v>
      </c>
      <c r="AF475" s="30" t="e">
        <f t="shared" si="47"/>
        <v>#NUM!</v>
      </c>
    </row>
    <row r="476" spans="1:32" x14ac:dyDescent="0.3">
      <c r="A476" s="31" t="s">
        <v>489</v>
      </c>
      <c r="B476" s="32">
        <v>45069</v>
      </c>
      <c r="C476" s="47">
        <f>EOMONTH(Table2[[#This Row],[OrderDate]],-1)+1</f>
        <v>45047</v>
      </c>
      <c r="D476" s="45">
        <f>EOMONTH(_xlfn.MINIFS(B476:B1106,M476:M1106,Table2[[#This Row],[Country]]), -1) + 1</f>
        <v>44927</v>
      </c>
      <c r="E476" s="47"/>
      <c r="F476" s="32" t="str">
        <f>"Q"&amp;ROUNDUP(MONTH(B476)/3,0)&amp;"-"&amp;YEAR(B476)</f>
        <v>Q2-2023</v>
      </c>
      <c r="G476" s="32">
        <v>45071</v>
      </c>
      <c r="H476" s="32">
        <f>IF(G476&lt;B476, B476+3, G476)</f>
        <v>45071</v>
      </c>
      <c r="I476" s="33">
        <f>H476-B476</f>
        <v>2</v>
      </c>
      <c r="J476" s="33">
        <f t="shared" si="42"/>
        <v>1</v>
      </c>
      <c r="K476" s="33">
        <f t="shared" si="43"/>
        <v>1</v>
      </c>
      <c r="L476" s="34" t="s">
        <v>648</v>
      </c>
      <c r="M476" s="34" t="s">
        <v>655</v>
      </c>
      <c r="N476" s="34" t="s">
        <v>692</v>
      </c>
      <c r="O476" s="34" t="s">
        <v>706</v>
      </c>
      <c r="P476" s="34" t="s">
        <v>707</v>
      </c>
      <c r="Q476" s="34" t="s">
        <v>724</v>
      </c>
      <c r="R476" s="34" t="s">
        <v>728</v>
      </c>
      <c r="S476" s="34" t="s">
        <v>1208</v>
      </c>
      <c r="T476" s="35">
        <v>690.49</v>
      </c>
      <c r="U476" s="35">
        <v>1290.29</v>
      </c>
      <c r="V476" s="35">
        <f t="shared" si="44"/>
        <v>4.2000000000000003E-2</v>
      </c>
      <c r="W476" s="35">
        <v>4.2000000000000003E-2</v>
      </c>
      <c r="X476" s="33">
        <f>IF(Table2[[#This Row],[DiscountPct]]&gt;0.2,1,0)</f>
        <v>0</v>
      </c>
      <c r="Y476" s="33">
        <v>22</v>
      </c>
      <c r="Z476" s="30">
        <f>Table2[[#This Row],[UnitPrice]]*Y476*(1-V476)</f>
        <v>27194.152039999997</v>
      </c>
      <c r="AA476" s="31">
        <f>T476*Y476</f>
        <v>15190.78</v>
      </c>
      <c r="AB476" s="31">
        <f t="shared" si="45"/>
        <v>12003.372039999997</v>
      </c>
      <c r="AC476" s="31">
        <f t="shared" si="46"/>
        <v>0.44139534199647718</v>
      </c>
      <c r="AD476" s="31" t="e">
        <f>_xlfn.PERCENTILE.INC(S:S, 0.33)</f>
        <v>#NUM!</v>
      </c>
      <c r="AE476" s="31" t="e">
        <f>_xlfn.PERCENTILE.INC(S:S, 0.66)</f>
        <v>#NUM!</v>
      </c>
      <c r="AF476" s="30" t="e">
        <f t="shared" si="47"/>
        <v>#NUM!</v>
      </c>
    </row>
    <row r="477" spans="1:32" x14ac:dyDescent="0.3">
      <c r="A477" s="2" t="s">
        <v>490</v>
      </c>
      <c r="B477" s="4">
        <v>45422</v>
      </c>
      <c r="C477" s="46">
        <f>EOMONTH(Table2[[#This Row],[OrderDate]],-1)+1</f>
        <v>45413</v>
      </c>
      <c r="D477" s="45">
        <f>EOMONTH(_xlfn.MINIFS(B477:B1107,M477:M1107,Table2[[#This Row],[Country]]), -1) + 1</f>
        <v>45017</v>
      </c>
      <c r="E477" s="46"/>
      <c r="F477" s="4" t="str">
        <f>"Q"&amp;ROUNDUP(MONTH(B477)/3,0)&amp;"-"&amp;YEAR(B477)</f>
        <v>Q2-2024</v>
      </c>
      <c r="G477" s="4">
        <v>45428</v>
      </c>
      <c r="H477" s="4">
        <f>IF(G477&lt;B477, B477+3, G477)</f>
        <v>45428</v>
      </c>
      <c r="I477" s="10">
        <f>H477-B477</f>
        <v>6</v>
      </c>
      <c r="J477" s="10">
        <f t="shared" si="42"/>
        <v>1</v>
      </c>
      <c r="K477" s="10">
        <f t="shared" si="43"/>
        <v>1</v>
      </c>
      <c r="L477" s="6" t="s">
        <v>649</v>
      </c>
      <c r="M477" s="6" t="s">
        <v>658</v>
      </c>
      <c r="N477" s="6" t="s">
        <v>674</v>
      </c>
      <c r="O477" s="6" t="s">
        <v>703</v>
      </c>
      <c r="P477" s="6" t="s">
        <v>711</v>
      </c>
      <c r="Q477" s="6" t="s">
        <v>715</v>
      </c>
      <c r="R477" s="6" t="s">
        <v>731</v>
      </c>
      <c r="S477" s="6" t="s">
        <v>1209</v>
      </c>
      <c r="T477" s="8">
        <v>210.76</v>
      </c>
      <c r="U477" s="8">
        <v>221.58</v>
      </c>
      <c r="V477" s="8">
        <f t="shared" si="44"/>
        <v>8.8999999999999996E-2</v>
      </c>
      <c r="W477" s="8">
        <v>8.8999999999999996E-2</v>
      </c>
      <c r="X477" s="10">
        <f>IF(Table2[[#This Row],[DiscountPct]]&gt;0.2,1,0)</f>
        <v>0</v>
      </c>
      <c r="Y477" s="10">
        <v>5</v>
      </c>
      <c r="Z477" s="30">
        <f>Table2[[#This Row],[UnitPrice]]*Y477*(1-V477)</f>
        <v>1009.2969000000002</v>
      </c>
      <c r="AA477" s="2">
        <f>T477*Y477</f>
        <v>1053.8</v>
      </c>
      <c r="AB477" s="2">
        <f t="shared" si="45"/>
        <v>-44.50309999999979</v>
      </c>
      <c r="AC477" s="2">
        <f t="shared" si="46"/>
        <v>-4.4093170205912434E-2</v>
      </c>
      <c r="AD477" s="2" t="e">
        <f>_xlfn.PERCENTILE.INC(S:S, 0.33)</f>
        <v>#NUM!</v>
      </c>
      <c r="AE477" s="2" t="e">
        <f>_xlfn.PERCENTILE.INC(S:S, 0.66)</f>
        <v>#NUM!</v>
      </c>
      <c r="AF477" s="30" t="e">
        <f t="shared" si="47"/>
        <v>#NUM!</v>
      </c>
    </row>
    <row r="478" spans="1:32" x14ac:dyDescent="0.3">
      <c r="A478" s="31" t="s">
        <v>491</v>
      </c>
      <c r="B478" s="32">
        <v>44999</v>
      </c>
      <c r="C478" s="47">
        <f>EOMONTH(Table2[[#This Row],[OrderDate]],-1)+1</f>
        <v>44986</v>
      </c>
      <c r="D478" s="45">
        <f>EOMONTH(_xlfn.MINIFS(B478:B1108,M478:M1108,Table2[[#This Row],[Country]]), -1) + 1</f>
        <v>44927</v>
      </c>
      <c r="E478" s="47"/>
      <c r="F478" s="32" t="str">
        <f>"Q"&amp;ROUNDUP(MONTH(B478)/3,0)&amp;"-"&amp;YEAR(B478)</f>
        <v>Q1-2023</v>
      </c>
      <c r="G478" s="32">
        <v>45003</v>
      </c>
      <c r="H478" s="32">
        <f>IF(G478&lt;B478, B478+3, G478)</f>
        <v>45003</v>
      </c>
      <c r="I478" s="33">
        <f>H478-B478</f>
        <v>4</v>
      </c>
      <c r="J478" s="33">
        <f t="shared" si="42"/>
        <v>1</v>
      </c>
      <c r="K478" s="33">
        <f t="shared" si="43"/>
        <v>1</v>
      </c>
      <c r="L478" s="34" t="s">
        <v>649</v>
      </c>
      <c r="M478" s="34" t="s">
        <v>656</v>
      </c>
      <c r="N478" s="34" t="s">
        <v>698</v>
      </c>
      <c r="O478" s="34" t="s">
        <v>706</v>
      </c>
      <c r="P478" s="34" t="s">
        <v>711</v>
      </c>
      <c r="Q478" s="34" t="s">
        <v>720</v>
      </c>
      <c r="R478" s="34" t="s">
        <v>727</v>
      </c>
      <c r="S478" s="34" t="s">
        <v>1210</v>
      </c>
      <c r="T478" s="35">
        <v>472.33</v>
      </c>
      <c r="U478" s="35">
        <v>360.34</v>
      </c>
      <c r="V478" s="35">
        <f t="shared" si="44"/>
        <v>0.16500000000000001</v>
      </c>
      <c r="W478" s="35">
        <v>0.16500000000000001</v>
      </c>
      <c r="X478" s="33">
        <f>IF(Table2[[#This Row],[DiscountPct]]&gt;0.2,1,0)</f>
        <v>0</v>
      </c>
      <c r="Y478" s="33">
        <v>14</v>
      </c>
      <c r="Z478" s="30">
        <f>Table2[[#This Row],[UnitPrice]]*Y478*(1-V478)</f>
        <v>4212.3745999999992</v>
      </c>
      <c r="AA478" s="31">
        <f>T478*Y478</f>
        <v>6612.62</v>
      </c>
      <c r="AB478" s="31">
        <f t="shared" si="45"/>
        <v>-2400.2454000000007</v>
      </c>
      <c r="AC478" s="31">
        <f t="shared" si="46"/>
        <v>-0.56980815523861561</v>
      </c>
      <c r="AD478" s="31" t="e">
        <f>_xlfn.PERCENTILE.INC(S:S, 0.33)</f>
        <v>#NUM!</v>
      </c>
      <c r="AE478" s="31" t="e">
        <f>_xlfn.PERCENTILE.INC(S:S, 0.66)</f>
        <v>#NUM!</v>
      </c>
      <c r="AF478" s="30" t="e">
        <f t="shared" si="47"/>
        <v>#NUM!</v>
      </c>
    </row>
    <row r="479" spans="1:32" x14ac:dyDescent="0.3">
      <c r="A479" s="2" t="s">
        <v>492</v>
      </c>
      <c r="B479" s="4">
        <v>45123</v>
      </c>
      <c r="C479" s="46">
        <f>EOMONTH(Table2[[#This Row],[OrderDate]],-1)+1</f>
        <v>45108</v>
      </c>
      <c r="D479" s="45">
        <f>EOMONTH(_xlfn.MINIFS(B479:B1109,M479:M1109,Table2[[#This Row],[Country]]), -1) + 1</f>
        <v>45017</v>
      </c>
      <c r="E479" s="46"/>
      <c r="F479" s="4" t="str">
        <f>"Q"&amp;ROUNDUP(MONTH(B479)/3,0)&amp;"-"&amp;YEAR(B479)</f>
        <v>Q3-2023</v>
      </c>
      <c r="G479" s="4">
        <v>45151</v>
      </c>
      <c r="H479" s="4">
        <f>IF(G479&lt;B479, B479+3, G479)</f>
        <v>45151</v>
      </c>
      <c r="I479" s="10">
        <f>H479-B479</f>
        <v>28</v>
      </c>
      <c r="J479" s="10">
        <f t="shared" si="42"/>
        <v>0</v>
      </c>
      <c r="K479" s="10">
        <f t="shared" si="43"/>
        <v>0</v>
      </c>
      <c r="L479" s="6" t="s">
        <v>649</v>
      </c>
      <c r="M479" s="6" t="s">
        <v>658</v>
      </c>
      <c r="N479" s="6" t="s">
        <v>693</v>
      </c>
      <c r="O479" s="6" t="s">
        <v>703</v>
      </c>
      <c r="P479" s="6" t="s">
        <v>708</v>
      </c>
      <c r="Q479" s="6" t="s">
        <v>713</v>
      </c>
      <c r="R479" s="6" t="s">
        <v>731</v>
      </c>
      <c r="S479" s="6" t="s">
        <v>1211</v>
      </c>
      <c r="T479" s="8">
        <v>1039.03</v>
      </c>
      <c r="U479" s="8">
        <v>2545.81</v>
      </c>
      <c r="V479" s="8">
        <f t="shared" si="44"/>
        <v>0.216</v>
      </c>
      <c r="W479" s="8">
        <v>0.216</v>
      </c>
      <c r="X479" s="10">
        <f>IF(Table2[[#This Row],[DiscountPct]]&gt;0.2,1,0)</f>
        <v>1</v>
      </c>
      <c r="Y479" s="10">
        <v>21</v>
      </c>
      <c r="Z479" s="30">
        <f>Table2[[#This Row],[UnitPrice]]*Y479*(1-V479)</f>
        <v>41914.215840000004</v>
      </c>
      <c r="AA479" s="2">
        <f>T479*Y479</f>
        <v>21819.63</v>
      </c>
      <c r="AB479" s="2">
        <f t="shared" si="45"/>
        <v>20094.585840000003</v>
      </c>
      <c r="AC479" s="2">
        <f t="shared" si="46"/>
        <v>0.47942172929364774</v>
      </c>
      <c r="AD479" s="2" t="e">
        <f>_xlfn.PERCENTILE.INC(S:S, 0.33)</f>
        <v>#NUM!</v>
      </c>
      <c r="AE479" s="2" t="e">
        <f>_xlfn.PERCENTILE.INC(S:S, 0.66)</f>
        <v>#NUM!</v>
      </c>
      <c r="AF479" s="30" t="e">
        <f t="shared" si="47"/>
        <v>#NUM!</v>
      </c>
    </row>
    <row r="480" spans="1:32" x14ac:dyDescent="0.3">
      <c r="A480" s="31" t="s">
        <v>493</v>
      </c>
      <c r="B480" s="32">
        <v>45032</v>
      </c>
      <c r="C480" s="47">
        <f>EOMONTH(Table2[[#This Row],[OrderDate]],-1)+1</f>
        <v>45017</v>
      </c>
      <c r="D480" s="45">
        <f>EOMONTH(_xlfn.MINIFS(B480:B1110,M480:M1110,Table2[[#This Row],[Country]]), -1) + 1</f>
        <v>44927</v>
      </c>
      <c r="E480" s="47"/>
      <c r="F480" s="32" t="str">
        <f>"Q"&amp;ROUNDUP(MONTH(B480)/3,0)&amp;"-"&amp;YEAR(B480)</f>
        <v>Q2-2023</v>
      </c>
      <c r="G480" s="32">
        <v>45035</v>
      </c>
      <c r="H480" s="32">
        <f>IF(G480&lt;B480, B480+3, G480)</f>
        <v>45035</v>
      </c>
      <c r="I480" s="33">
        <f>H480-B480</f>
        <v>3</v>
      </c>
      <c r="J480" s="33">
        <f t="shared" si="42"/>
        <v>1</v>
      </c>
      <c r="K480" s="33">
        <f t="shared" si="43"/>
        <v>1</v>
      </c>
      <c r="L480" s="34" t="s">
        <v>649</v>
      </c>
      <c r="M480" s="34" t="s">
        <v>656</v>
      </c>
      <c r="N480" s="34" t="s">
        <v>684</v>
      </c>
      <c r="O480" s="34" t="s">
        <v>701</v>
      </c>
      <c r="P480" s="34" t="s">
        <v>711</v>
      </c>
      <c r="Q480" s="34" t="s">
        <v>717</v>
      </c>
      <c r="R480" s="34" t="s">
        <v>733</v>
      </c>
      <c r="S480" s="34" t="s">
        <v>1212</v>
      </c>
      <c r="T480" s="35">
        <v>553.61</v>
      </c>
      <c r="U480" s="35">
        <v>699.47</v>
      </c>
      <c r="V480" s="35">
        <f t="shared" si="44"/>
        <v>0.02</v>
      </c>
      <c r="W480" s="35">
        <v>0.02</v>
      </c>
      <c r="X480" s="33">
        <f>IF(Table2[[#This Row],[DiscountPct]]&gt;0.2,1,0)</f>
        <v>0</v>
      </c>
      <c r="Y480" s="33">
        <v>33</v>
      </c>
      <c r="Z480" s="30">
        <f>Table2[[#This Row],[UnitPrice]]*Y480*(1-V480)</f>
        <v>22620.859800000002</v>
      </c>
      <c r="AA480" s="31">
        <f>T480*Y480</f>
        <v>18269.13</v>
      </c>
      <c r="AB480" s="31">
        <f t="shared" si="45"/>
        <v>4351.729800000001</v>
      </c>
      <c r="AC480" s="31">
        <f t="shared" si="46"/>
        <v>0.19237685209472014</v>
      </c>
      <c r="AD480" s="31" t="e">
        <f>_xlfn.PERCENTILE.INC(S:S, 0.33)</f>
        <v>#NUM!</v>
      </c>
      <c r="AE480" s="31" t="e">
        <f>_xlfn.PERCENTILE.INC(S:S, 0.66)</f>
        <v>#NUM!</v>
      </c>
      <c r="AF480" s="30" t="e">
        <f t="shared" si="47"/>
        <v>#NUM!</v>
      </c>
    </row>
    <row r="481" spans="1:32" x14ac:dyDescent="0.3">
      <c r="A481" s="2" t="s">
        <v>494</v>
      </c>
      <c r="B481" s="4">
        <v>45293</v>
      </c>
      <c r="C481" s="46">
        <f>EOMONTH(Table2[[#This Row],[OrderDate]],-1)+1</f>
        <v>45292</v>
      </c>
      <c r="D481" s="45">
        <f>EOMONTH(_xlfn.MINIFS(B481:B1111,M481:M1111,Table2[[#This Row],[Country]]), -1) + 1</f>
        <v>44986</v>
      </c>
      <c r="E481" s="46"/>
      <c r="F481" s="4" t="str">
        <f>"Q"&amp;ROUNDUP(MONTH(B481)/3,0)&amp;"-"&amp;YEAR(B481)</f>
        <v>Q1-2024</v>
      </c>
      <c r="G481" s="4">
        <v>45306</v>
      </c>
      <c r="H481" s="4">
        <f>IF(G481&lt;B481, B481+3, G481)</f>
        <v>45306</v>
      </c>
      <c r="I481" s="10">
        <f>H481-B481</f>
        <v>13</v>
      </c>
      <c r="J481" s="10">
        <f t="shared" si="42"/>
        <v>0</v>
      </c>
      <c r="K481" s="10">
        <f t="shared" si="43"/>
        <v>0</v>
      </c>
      <c r="L481" s="6" t="s">
        <v>647</v>
      </c>
      <c r="M481" s="6" t="s">
        <v>652</v>
      </c>
      <c r="N481" s="6" t="s">
        <v>694</v>
      </c>
      <c r="O481" s="6" t="s">
        <v>705</v>
      </c>
      <c r="P481" s="6" t="s">
        <v>709</v>
      </c>
      <c r="Q481" s="6" t="s">
        <v>715</v>
      </c>
      <c r="R481" s="6" t="s">
        <v>729</v>
      </c>
      <c r="S481" s="6" t="s">
        <v>1213</v>
      </c>
      <c r="T481" s="8">
        <v>1219.06</v>
      </c>
      <c r="U481" s="8">
        <v>2738.69</v>
      </c>
      <c r="V481" s="8">
        <f t="shared" si="44"/>
        <v>7.5999999999999998E-2</v>
      </c>
      <c r="W481" s="8">
        <v>7.5999999999999998E-2</v>
      </c>
      <c r="X481" s="10">
        <f>IF(Table2[[#This Row],[DiscountPct]]&gt;0.2,1,0)</f>
        <v>0</v>
      </c>
      <c r="Y481" s="10">
        <v>16</v>
      </c>
      <c r="Z481" s="30">
        <f>Table2[[#This Row],[UnitPrice]]*Y481*(1-V481)</f>
        <v>40488.792960000006</v>
      </c>
      <c r="AA481" s="2">
        <f>T481*Y481</f>
        <v>19504.96</v>
      </c>
      <c r="AB481" s="2">
        <f t="shared" si="45"/>
        <v>20983.832960000007</v>
      </c>
      <c r="AC481" s="2">
        <f t="shared" si="46"/>
        <v>0.51826274447673737</v>
      </c>
      <c r="AD481" s="2" t="e">
        <f>_xlfn.PERCENTILE.INC(S:S, 0.33)</f>
        <v>#NUM!</v>
      </c>
      <c r="AE481" s="2" t="e">
        <f>_xlfn.PERCENTILE.INC(S:S, 0.66)</f>
        <v>#NUM!</v>
      </c>
      <c r="AF481" s="30" t="e">
        <f t="shared" si="47"/>
        <v>#NUM!</v>
      </c>
    </row>
    <row r="482" spans="1:32" x14ac:dyDescent="0.3">
      <c r="A482" s="31" t="s">
        <v>495</v>
      </c>
      <c r="B482" s="32">
        <v>45538</v>
      </c>
      <c r="C482" s="47">
        <f>EOMONTH(Table2[[#This Row],[OrderDate]],-1)+1</f>
        <v>45536</v>
      </c>
      <c r="D482" s="45">
        <f>EOMONTH(_xlfn.MINIFS(B482:B1112,M482:M1112,Table2[[#This Row],[Country]]), -1) + 1</f>
        <v>44986</v>
      </c>
      <c r="E482" s="47"/>
      <c r="F482" s="32" t="str">
        <f>"Q"&amp;ROUNDUP(MONTH(B482)/3,0)&amp;"-"&amp;YEAR(B482)</f>
        <v>Q3-2024</v>
      </c>
      <c r="G482" s="32">
        <v>45542</v>
      </c>
      <c r="H482" s="32">
        <f>IF(G482&lt;B482, B482+3, G482)</f>
        <v>45542</v>
      </c>
      <c r="I482" s="33">
        <f>H482-B482</f>
        <v>4</v>
      </c>
      <c r="J482" s="33">
        <f t="shared" si="42"/>
        <v>1</v>
      </c>
      <c r="K482" s="33">
        <f t="shared" si="43"/>
        <v>1</v>
      </c>
      <c r="L482" s="34" t="s">
        <v>647</v>
      </c>
      <c r="M482" s="34" t="s">
        <v>652</v>
      </c>
      <c r="N482" s="34" t="s">
        <v>689</v>
      </c>
      <c r="O482" s="34" t="s">
        <v>705</v>
      </c>
      <c r="P482" s="34" t="s">
        <v>710</v>
      </c>
      <c r="Q482" s="34" t="s">
        <v>725</v>
      </c>
      <c r="R482" s="34" t="s">
        <v>728</v>
      </c>
      <c r="S482" s="34" t="s">
        <v>1214</v>
      </c>
      <c r="T482" s="35">
        <v>43.23</v>
      </c>
      <c r="U482" s="35">
        <v>94.78</v>
      </c>
      <c r="V482" s="35">
        <f t="shared" si="44"/>
        <v>9.0999999999999998E-2</v>
      </c>
      <c r="W482" s="35">
        <v>9.0999999999999998E-2</v>
      </c>
      <c r="X482" s="33">
        <f>IF(Table2[[#This Row],[DiscountPct]]&gt;0.2,1,0)</f>
        <v>0</v>
      </c>
      <c r="Y482" s="33">
        <v>55</v>
      </c>
      <c r="Z482" s="30">
        <f>Table2[[#This Row],[UnitPrice]]*Y482*(1-V482)</f>
        <v>4738.5261</v>
      </c>
      <c r="AA482" s="31">
        <f>T482*Y482</f>
        <v>2377.6499999999996</v>
      </c>
      <c r="AB482" s="31">
        <f t="shared" si="45"/>
        <v>2360.8761000000004</v>
      </c>
      <c r="AC482" s="31">
        <f t="shared" si="46"/>
        <v>0.49823005090127082</v>
      </c>
      <c r="AD482" s="31" t="e">
        <f>_xlfn.PERCENTILE.INC(S:S, 0.33)</f>
        <v>#NUM!</v>
      </c>
      <c r="AE482" s="31" t="e">
        <f>_xlfn.PERCENTILE.INC(S:S, 0.66)</f>
        <v>#NUM!</v>
      </c>
      <c r="AF482" s="30" t="e">
        <f t="shared" si="47"/>
        <v>#NUM!</v>
      </c>
    </row>
    <row r="483" spans="1:32" x14ac:dyDescent="0.3">
      <c r="A483" s="2" t="s">
        <v>496</v>
      </c>
      <c r="B483" s="4">
        <v>45899</v>
      </c>
      <c r="C483" s="46">
        <f>EOMONTH(Table2[[#This Row],[OrderDate]],-1)+1</f>
        <v>45870</v>
      </c>
      <c r="D483" s="45">
        <f>EOMONTH(_xlfn.MINIFS(B483:B1113,M483:M1113,Table2[[#This Row],[Country]]), -1) + 1</f>
        <v>45017</v>
      </c>
      <c r="E483" s="46"/>
      <c r="F483" s="4" t="str">
        <f>"Q"&amp;ROUNDUP(MONTH(B483)/3,0)&amp;"-"&amp;YEAR(B483)</f>
        <v>Q3-2025</v>
      </c>
      <c r="G483" s="4">
        <v>45903</v>
      </c>
      <c r="H483" s="4">
        <f>IF(G483&lt;B483, B483+3, G483)</f>
        <v>45903</v>
      </c>
      <c r="I483" s="10">
        <f>H483-B483</f>
        <v>4</v>
      </c>
      <c r="J483" s="10">
        <f t="shared" si="42"/>
        <v>1</v>
      </c>
      <c r="K483" s="10">
        <f t="shared" si="43"/>
        <v>1</v>
      </c>
      <c r="L483" s="6" t="s">
        <v>649</v>
      </c>
      <c r="M483" s="6" t="s">
        <v>657</v>
      </c>
      <c r="N483" s="6" t="s">
        <v>673</v>
      </c>
      <c r="O483" s="6" t="s">
        <v>705</v>
      </c>
      <c r="P483" s="6" t="s">
        <v>709</v>
      </c>
      <c r="Q483" s="6" t="s">
        <v>713</v>
      </c>
      <c r="R483" s="6" t="s">
        <v>731</v>
      </c>
      <c r="S483" s="6" t="s">
        <v>1215</v>
      </c>
      <c r="T483" s="8">
        <v>1286.56</v>
      </c>
      <c r="U483" s="8">
        <v>2777.35</v>
      </c>
      <c r="V483" s="8">
        <f t="shared" si="44"/>
        <v>0.13200000000000001</v>
      </c>
      <c r="W483" s="8">
        <v>0.13200000000000001</v>
      </c>
      <c r="X483" s="10">
        <f>IF(Table2[[#This Row],[DiscountPct]]&gt;0.2,1,0)</f>
        <v>0</v>
      </c>
      <c r="Y483" s="10">
        <v>15</v>
      </c>
      <c r="Z483" s="30">
        <f>Table2[[#This Row],[UnitPrice]]*Y483*(1-V483)</f>
        <v>36161.097000000002</v>
      </c>
      <c r="AA483" s="2">
        <f>T483*Y483</f>
        <v>19298.399999999998</v>
      </c>
      <c r="AB483" s="2">
        <f t="shared" si="45"/>
        <v>16862.697000000004</v>
      </c>
      <c r="AC483" s="2">
        <f t="shared" si="46"/>
        <v>0.46632150014696744</v>
      </c>
      <c r="AD483" s="2" t="e">
        <f>_xlfn.PERCENTILE.INC(S:S, 0.33)</f>
        <v>#NUM!</v>
      </c>
      <c r="AE483" s="2" t="e">
        <f>_xlfn.PERCENTILE.INC(S:S, 0.66)</f>
        <v>#NUM!</v>
      </c>
      <c r="AF483" s="30" t="e">
        <f t="shared" si="47"/>
        <v>#NUM!</v>
      </c>
    </row>
    <row r="484" spans="1:32" x14ac:dyDescent="0.3">
      <c r="A484" s="31" t="s">
        <v>497</v>
      </c>
      <c r="B484" s="32">
        <v>45775</v>
      </c>
      <c r="C484" s="47">
        <f>EOMONTH(Table2[[#This Row],[OrderDate]],-1)+1</f>
        <v>45748</v>
      </c>
      <c r="D484" s="45">
        <f>EOMONTH(_xlfn.MINIFS(B484:B1114,M484:M1114,Table2[[#This Row],[Country]]), -1) + 1</f>
        <v>44927</v>
      </c>
      <c r="E484" s="47"/>
      <c r="F484" s="32" t="str">
        <f>"Q"&amp;ROUNDUP(MONTH(B484)/3,0)&amp;"-"&amp;YEAR(B484)</f>
        <v>Q2-2025</v>
      </c>
      <c r="G484" s="32">
        <v>45796</v>
      </c>
      <c r="H484" s="32">
        <f>IF(G484&lt;B484, B484+3, G484)</f>
        <v>45796</v>
      </c>
      <c r="I484" s="33">
        <f>H484-B484</f>
        <v>21</v>
      </c>
      <c r="J484" s="33">
        <f t="shared" si="42"/>
        <v>0</v>
      </c>
      <c r="K484" s="33">
        <f t="shared" si="43"/>
        <v>0</v>
      </c>
      <c r="L484" s="34" t="s">
        <v>649</v>
      </c>
      <c r="M484" s="34" t="s">
        <v>656</v>
      </c>
      <c r="N484" s="34" t="s">
        <v>671</v>
      </c>
      <c r="O484" s="34" t="s">
        <v>701</v>
      </c>
      <c r="P484" s="34" t="s">
        <v>710</v>
      </c>
      <c r="Q484" s="34" t="s">
        <v>717</v>
      </c>
      <c r="R484" s="34" t="s">
        <v>730</v>
      </c>
      <c r="S484" s="34" t="s">
        <v>1216</v>
      </c>
      <c r="T484" s="35">
        <v>350.76</v>
      </c>
      <c r="U484" s="35">
        <v>492.18</v>
      </c>
      <c r="V484" s="35">
        <f t="shared" si="44"/>
        <v>5.2999999999999999E-2</v>
      </c>
      <c r="W484" s="35">
        <v>5.2999999999999999E-2</v>
      </c>
      <c r="X484" s="33">
        <f>IF(Table2[[#This Row],[DiscountPct]]&gt;0.2,1,0)</f>
        <v>0</v>
      </c>
      <c r="Y484" s="33">
        <v>11</v>
      </c>
      <c r="Z484" s="30">
        <f>Table2[[#This Row],[UnitPrice]]*Y484*(1-V484)</f>
        <v>5127.0390600000001</v>
      </c>
      <c r="AA484" s="31">
        <f>T484*Y484</f>
        <v>3858.3599999999997</v>
      </c>
      <c r="AB484" s="31">
        <f t="shared" si="45"/>
        <v>1268.6790600000004</v>
      </c>
      <c r="AC484" s="31">
        <f t="shared" si="46"/>
        <v>0.24744868239798437</v>
      </c>
      <c r="AD484" s="31" t="e">
        <f>_xlfn.PERCENTILE.INC(S:S, 0.33)</f>
        <v>#NUM!</v>
      </c>
      <c r="AE484" s="31" t="e">
        <f>_xlfn.PERCENTILE.INC(S:S, 0.66)</f>
        <v>#NUM!</v>
      </c>
      <c r="AF484" s="30" t="e">
        <f t="shared" si="47"/>
        <v>#NUM!</v>
      </c>
    </row>
    <row r="485" spans="1:32" x14ac:dyDescent="0.3">
      <c r="A485" s="2" t="s">
        <v>498</v>
      </c>
      <c r="B485" s="4">
        <v>45148</v>
      </c>
      <c r="C485" s="46">
        <f>EOMONTH(Table2[[#This Row],[OrderDate]],-1)+1</f>
        <v>45139</v>
      </c>
      <c r="D485" s="45">
        <f>EOMONTH(_xlfn.MINIFS(B485:B1115,M485:M1115,Table2[[#This Row],[Country]]), -1) + 1</f>
        <v>44927</v>
      </c>
      <c r="E485" s="46"/>
      <c r="F485" s="4" t="str">
        <f>"Q"&amp;ROUNDUP(MONTH(B485)/3,0)&amp;"-"&amp;YEAR(B485)</f>
        <v>Q3-2023</v>
      </c>
      <c r="G485" s="4">
        <v>45153</v>
      </c>
      <c r="H485" s="4">
        <f>IF(G485&lt;B485, B485+3, G485)</f>
        <v>45153</v>
      </c>
      <c r="I485" s="10">
        <f>H485-B485</f>
        <v>5</v>
      </c>
      <c r="J485" s="10">
        <f t="shared" si="42"/>
        <v>1</v>
      </c>
      <c r="K485" s="10">
        <f t="shared" si="43"/>
        <v>1</v>
      </c>
      <c r="L485" s="6" t="s">
        <v>648</v>
      </c>
      <c r="M485" s="6" t="s">
        <v>655</v>
      </c>
      <c r="N485" s="6" t="s">
        <v>670</v>
      </c>
      <c r="O485" s="6" t="s">
        <v>702</v>
      </c>
      <c r="P485" s="6" t="s">
        <v>711</v>
      </c>
      <c r="Q485" s="6" t="s">
        <v>715</v>
      </c>
      <c r="R485" s="6" t="s">
        <v>729</v>
      </c>
      <c r="S485" s="6" t="s">
        <v>1217</v>
      </c>
      <c r="T485" s="8">
        <v>1307.52</v>
      </c>
      <c r="U485" s="8">
        <v>1921.65</v>
      </c>
      <c r="V485" s="8">
        <f t="shared" si="44"/>
        <v>0.123</v>
      </c>
      <c r="W485" s="8">
        <v>0.123</v>
      </c>
      <c r="X485" s="10">
        <f>IF(Table2[[#This Row],[DiscountPct]]&gt;0.2,1,0)</f>
        <v>0</v>
      </c>
      <c r="Y485" s="10">
        <v>13</v>
      </c>
      <c r="Z485" s="30">
        <f>Table2[[#This Row],[UnitPrice]]*Y485*(1-V485)</f>
        <v>21908.731650000002</v>
      </c>
      <c r="AA485" s="2">
        <f>T485*Y485</f>
        <v>16997.759999999998</v>
      </c>
      <c r="AB485" s="2">
        <f t="shared" si="45"/>
        <v>4910.9716500000031</v>
      </c>
      <c r="AC485" s="2">
        <f t="shared" si="46"/>
        <v>0.22415590863289445</v>
      </c>
      <c r="AD485" s="2" t="e">
        <f>_xlfn.PERCENTILE.INC(S:S, 0.33)</f>
        <v>#NUM!</v>
      </c>
      <c r="AE485" s="2" t="e">
        <f>_xlfn.PERCENTILE.INC(S:S, 0.66)</f>
        <v>#NUM!</v>
      </c>
      <c r="AF485" s="30" t="e">
        <f t="shared" si="47"/>
        <v>#NUM!</v>
      </c>
    </row>
    <row r="486" spans="1:32" x14ac:dyDescent="0.3">
      <c r="A486" s="31" t="s">
        <v>499</v>
      </c>
      <c r="B486" s="32">
        <v>45634</v>
      </c>
      <c r="C486" s="47">
        <f>EOMONTH(Table2[[#This Row],[OrderDate]],-1)+1</f>
        <v>45627</v>
      </c>
      <c r="D486" s="45">
        <f>EOMONTH(_xlfn.MINIFS(B486:B1116,M486:M1116,Table2[[#This Row],[Country]]), -1) + 1</f>
        <v>45017</v>
      </c>
      <c r="E486" s="47"/>
      <c r="F486" s="32" t="str">
        <f>"Q"&amp;ROUNDUP(MONTH(B486)/3,0)&amp;"-"&amp;YEAR(B486)</f>
        <v>Q4-2024</v>
      </c>
      <c r="G486" s="32">
        <v>45634</v>
      </c>
      <c r="H486" s="32">
        <f>IF(G486&lt;B486, B486+3, G486)</f>
        <v>45634</v>
      </c>
      <c r="I486" s="33">
        <f>H486-B486</f>
        <v>0</v>
      </c>
      <c r="J486" s="33">
        <f t="shared" si="42"/>
        <v>1</v>
      </c>
      <c r="K486" s="33">
        <f t="shared" si="43"/>
        <v>1</v>
      </c>
      <c r="L486" s="34" t="s">
        <v>649</v>
      </c>
      <c r="M486" s="34" t="s">
        <v>657</v>
      </c>
      <c r="N486" s="34" t="s">
        <v>679</v>
      </c>
      <c r="O486" s="34" t="s">
        <v>706</v>
      </c>
      <c r="P486" s="34" t="s">
        <v>707</v>
      </c>
      <c r="Q486" s="34" t="s">
        <v>722</v>
      </c>
      <c r="R486" s="34" t="s">
        <v>727</v>
      </c>
      <c r="S486" s="34" t="s">
        <v>1218</v>
      </c>
      <c r="T486" s="35">
        <v>257.44</v>
      </c>
      <c r="U486" s="35">
        <v>290.33</v>
      </c>
      <c r="V486" s="35">
        <f t="shared" si="44"/>
        <v>9.1999999999999998E-2</v>
      </c>
      <c r="W486" s="35">
        <v>9.1999999999999998E-2</v>
      </c>
      <c r="X486" s="33">
        <f>IF(Table2[[#This Row],[DiscountPct]]&gt;0.2,1,0)</f>
        <v>0</v>
      </c>
      <c r="Y486" s="33">
        <v>23</v>
      </c>
      <c r="Z486" s="30">
        <f>Table2[[#This Row],[UnitPrice]]*Y486*(1-V486)</f>
        <v>6063.2517199999993</v>
      </c>
      <c r="AA486" s="31">
        <f>T486*Y486</f>
        <v>5921.12</v>
      </c>
      <c r="AB486" s="31">
        <f t="shared" si="45"/>
        <v>142.1317199999994</v>
      </c>
      <c r="AC486" s="31">
        <f t="shared" si="46"/>
        <v>2.3441500792581216E-2</v>
      </c>
      <c r="AD486" s="31" t="e">
        <f>_xlfn.PERCENTILE.INC(S:S, 0.33)</f>
        <v>#NUM!</v>
      </c>
      <c r="AE486" s="31" t="e">
        <f>_xlfn.PERCENTILE.INC(S:S, 0.66)</f>
        <v>#NUM!</v>
      </c>
      <c r="AF486" s="30" t="e">
        <f t="shared" si="47"/>
        <v>#NUM!</v>
      </c>
    </row>
    <row r="487" spans="1:32" x14ac:dyDescent="0.3">
      <c r="A487" s="2" t="s">
        <v>500</v>
      </c>
      <c r="B487" s="4">
        <v>45224</v>
      </c>
      <c r="C487" s="46">
        <f>EOMONTH(Table2[[#This Row],[OrderDate]],-1)+1</f>
        <v>45200</v>
      </c>
      <c r="D487" s="45">
        <f>EOMONTH(_xlfn.MINIFS(B487:B1117,M487:M1117,Table2[[#This Row],[Country]]), -1) + 1</f>
        <v>45017</v>
      </c>
      <c r="E487" s="46"/>
      <c r="F487" s="4" t="str">
        <f>"Q"&amp;ROUNDUP(MONTH(B487)/3,0)&amp;"-"&amp;YEAR(B487)</f>
        <v>Q4-2023</v>
      </c>
      <c r="G487" s="4">
        <v>45254</v>
      </c>
      <c r="H487" s="4">
        <f>IF(G487&lt;B487, B487+3, G487)</f>
        <v>45254</v>
      </c>
      <c r="I487" s="10">
        <f>H487-B487</f>
        <v>30</v>
      </c>
      <c r="J487" s="10">
        <f t="shared" si="42"/>
        <v>0</v>
      </c>
      <c r="K487" s="10">
        <f t="shared" si="43"/>
        <v>0</v>
      </c>
      <c r="L487" s="6" t="s">
        <v>649</v>
      </c>
      <c r="M487" s="6" t="s">
        <v>657</v>
      </c>
      <c r="N487" s="6" t="s">
        <v>690</v>
      </c>
      <c r="O487" s="6" t="s">
        <v>706</v>
      </c>
      <c r="P487" s="6" t="s">
        <v>710</v>
      </c>
      <c r="Q487" s="6" t="s">
        <v>712</v>
      </c>
      <c r="R487" s="6" t="s">
        <v>730</v>
      </c>
      <c r="S487" s="6" t="s">
        <v>1219</v>
      </c>
      <c r="T487" s="8">
        <v>287.85000000000002</v>
      </c>
      <c r="U487" s="8">
        <v>602.91999999999996</v>
      </c>
      <c r="V487" s="8">
        <f t="shared" si="44"/>
        <v>0.222</v>
      </c>
      <c r="W487" s="8">
        <v>0.222</v>
      </c>
      <c r="X487" s="10">
        <f>IF(Table2[[#This Row],[DiscountPct]]&gt;0.2,1,0)</f>
        <v>1</v>
      </c>
      <c r="Y487" s="10">
        <v>11</v>
      </c>
      <c r="Z487" s="30">
        <f>Table2[[#This Row],[UnitPrice]]*Y487*(1-V487)</f>
        <v>5159.7893599999998</v>
      </c>
      <c r="AA487" s="2">
        <f>T487*Y487</f>
        <v>3166.3500000000004</v>
      </c>
      <c r="AB487" s="2">
        <f t="shared" si="45"/>
        <v>1993.4393599999994</v>
      </c>
      <c r="AC487" s="2">
        <f t="shared" si="46"/>
        <v>0.38634122847216373</v>
      </c>
      <c r="AD487" s="2" t="e">
        <f>_xlfn.PERCENTILE.INC(S:S, 0.33)</f>
        <v>#NUM!</v>
      </c>
      <c r="AE487" s="2" t="e">
        <f>_xlfn.PERCENTILE.INC(S:S, 0.66)</f>
        <v>#NUM!</v>
      </c>
      <c r="AF487" s="30" t="e">
        <f t="shared" si="47"/>
        <v>#NUM!</v>
      </c>
    </row>
    <row r="488" spans="1:32" x14ac:dyDescent="0.3">
      <c r="A488" s="31" t="s">
        <v>501</v>
      </c>
      <c r="B488" s="32">
        <v>45613</v>
      </c>
      <c r="C488" s="47">
        <f>EOMONTH(Table2[[#This Row],[OrderDate]],-1)+1</f>
        <v>45597</v>
      </c>
      <c r="D488" s="45">
        <f>EOMONTH(_xlfn.MINIFS(B488:B1118,M488:M1118,Table2[[#This Row],[Country]]), -1) + 1</f>
        <v>45017</v>
      </c>
      <c r="E488" s="47"/>
      <c r="F488" s="32" t="str">
        <f>"Q"&amp;ROUNDUP(MONTH(B488)/3,0)&amp;"-"&amp;YEAR(B488)</f>
        <v>Q4-2024</v>
      </c>
      <c r="G488" s="32">
        <v>45624</v>
      </c>
      <c r="H488" s="32">
        <f>IF(G488&lt;B488, B488+3, G488)</f>
        <v>45624</v>
      </c>
      <c r="I488" s="33">
        <f>H488-B488</f>
        <v>11</v>
      </c>
      <c r="J488" s="33">
        <f t="shared" si="42"/>
        <v>0</v>
      </c>
      <c r="K488" s="33">
        <f t="shared" si="43"/>
        <v>0</v>
      </c>
      <c r="L488" s="34" t="s">
        <v>648</v>
      </c>
      <c r="M488" s="34" t="s">
        <v>653</v>
      </c>
      <c r="N488" s="31" t="s">
        <v>1364</v>
      </c>
      <c r="O488" s="34" t="s">
        <v>704</v>
      </c>
      <c r="P488" s="34" t="s">
        <v>710</v>
      </c>
      <c r="Q488" s="34" t="s">
        <v>720</v>
      </c>
      <c r="R488" s="34" t="s">
        <v>728</v>
      </c>
      <c r="S488" s="34" t="s">
        <v>1220</v>
      </c>
      <c r="T488" s="35">
        <v>1008.16</v>
      </c>
      <c r="U488" s="35">
        <v>2077.5</v>
      </c>
      <c r="V488" s="35">
        <f t="shared" si="44"/>
        <v>7.3999999999999996E-2</v>
      </c>
      <c r="W488" s="35">
        <v>7.3999999999999996E-2</v>
      </c>
      <c r="X488" s="33">
        <f>IF(Table2[[#This Row],[DiscountPct]]&gt;0.2,1,0)</f>
        <v>0</v>
      </c>
      <c r="Y488" s="33">
        <v>15</v>
      </c>
      <c r="Z488" s="30">
        <f>Table2[[#This Row],[UnitPrice]]*Y488*(1-V488)</f>
        <v>28856.475000000002</v>
      </c>
      <c r="AA488" s="31">
        <f>T488*Y488</f>
        <v>15122.4</v>
      </c>
      <c r="AB488" s="31">
        <f t="shared" si="45"/>
        <v>13734.075000000003</v>
      </c>
      <c r="AC488" s="31">
        <f t="shared" si="46"/>
        <v>0.47594430712691005</v>
      </c>
      <c r="AD488" s="31" t="e">
        <f>_xlfn.PERCENTILE.INC(S:S, 0.33)</f>
        <v>#NUM!</v>
      </c>
      <c r="AE488" s="31" t="e">
        <f>_xlfn.PERCENTILE.INC(S:S, 0.66)</f>
        <v>#NUM!</v>
      </c>
      <c r="AF488" s="30" t="e">
        <f t="shared" si="47"/>
        <v>#NUM!</v>
      </c>
    </row>
    <row r="489" spans="1:32" x14ac:dyDescent="0.3">
      <c r="A489" s="2" t="s">
        <v>502</v>
      </c>
      <c r="B489" s="4">
        <v>45424</v>
      </c>
      <c r="C489" s="46">
        <f>EOMONTH(Table2[[#This Row],[OrderDate]],-1)+1</f>
        <v>45413</v>
      </c>
      <c r="D489" s="45">
        <f>EOMONTH(_xlfn.MINIFS(B489:B1119,M489:M1119,Table2[[#This Row],[Country]]), -1) + 1</f>
        <v>45017</v>
      </c>
      <c r="E489" s="46"/>
      <c r="F489" s="4" t="str">
        <f>"Q"&amp;ROUNDUP(MONTH(B489)/3,0)&amp;"-"&amp;YEAR(B489)</f>
        <v>Q2-2024</v>
      </c>
      <c r="G489" s="4">
        <v>45436</v>
      </c>
      <c r="H489" s="4">
        <f>IF(G489&lt;B489, B489+3, G489)</f>
        <v>45436</v>
      </c>
      <c r="I489" s="10">
        <f>H489-B489</f>
        <v>12</v>
      </c>
      <c r="J489" s="10">
        <f t="shared" si="42"/>
        <v>0</v>
      </c>
      <c r="K489" s="10">
        <f t="shared" si="43"/>
        <v>0</v>
      </c>
      <c r="L489" s="6" t="s">
        <v>649</v>
      </c>
      <c r="M489" s="6" t="s">
        <v>658</v>
      </c>
      <c r="N489" s="6" t="s">
        <v>693</v>
      </c>
      <c r="O489" s="6" t="s">
        <v>702</v>
      </c>
      <c r="P489" s="6" t="s">
        <v>709</v>
      </c>
      <c r="Q489" s="6" t="s">
        <v>723</v>
      </c>
      <c r="R489" s="6" t="s">
        <v>728</v>
      </c>
      <c r="S489" s="6" t="s">
        <v>1221</v>
      </c>
      <c r="T489" s="8">
        <v>111.02</v>
      </c>
      <c r="U489" s="8">
        <v>172.88</v>
      </c>
      <c r="V489" s="8">
        <f t="shared" si="44"/>
        <v>0.19700000000000001</v>
      </c>
      <c r="W489" s="8">
        <v>0.19700000000000001</v>
      </c>
      <c r="X489" s="10">
        <f>IF(Table2[[#This Row],[DiscountPct]]&gt;0.2,1,0)</f>
        <v>0</v>
      </c>
      <c r="Y489" s="10">
        <v>29</v>
      </c>
      <c r="Z489" s="30">
        <f>Table2[[#This Row],[UnitPrice]]*Y489*(1-V489)</f>
        <v>4025.8565599999993</v>
      </c>
      <c r="AA489" s="2">
        <f>T489*Y489</f>
        <v>3219.58</v>
      </c>
      <c r="AB489" s="2">
        <f t="shared" si="45"/>
        <v>806.27655999999934</v>
      </c>
      <c r="AC489" s="2">
        <f t="shared" si="46"/>
        <v>0.20027453735212053</v>
      </c>
      <c r="AD489" s="2" t="e">
        <f>_xlfn.PERCENTILE.INC(S:S, 0.33)</f>
        <v>#NUM!</v>
      </c>
      <c r="AE489" s="2" t="e">
        <f>_xlfn.PERCENTILE.INC(S:S, 0.66)</f>
        <v>#NUM!</v>
      </c>
      <c r="AF489" s="30" t="e">
        <f t="shared" si="47"/>
        <v>#NUM!</v>
      </c>
    </row>
    <row r="490" spans="1:32" x14ac:dyDescent="0.3">
      <c r="A490" s="31" t="s">
        <v>503</v>
      </c>
      <c r="B490" s="32">
        <v>45792</v>
      </c>
      <c r="C490" s="47">
        <f>EOMONTH(Table2[[#This Row],[OrderDate]],-1)+1</f>
        <v>45778</v>
      </c>
      <c r="D490" s="45">
        <f>EOMONTH(_xlfn.MINIFS(B490:B1120,M490:M1120,Table2[[#This Row],[Country]]), -1) + 1</f>
        <v>44986</v>
      </c>
      <c r="E490" s="47"/>
      <c r="F490" s="32" t="str">
        <f>"Q"&amp;ROUNDUP(MONTH(B490)/3,0)&amp;"-"&amp;YEAR(B490)</f>
        <v>Q2-2025</v>
      </c>
      <c r="G490" s="32">
        <v>45813</v>
      </c>
      <c r="H490" s="32">
        <f>IF(G490&lt;B490, B490+3, G490)</f>
        <v>45813</v>
      </c>
      <c r="I490" s="33">
        <f>H490-B490</f>
        <v>21</v>
      </c>
      <c r="J490" s="33">
        <f t="shared" si="42"/>
        <v>0</v>
      </c>
      <c r="K490" s="33">
        <f t="shared" si="43"/>
        <v>0</v>
      </c>
      <c r="L490" s="34" t="s">
        <v>647</v>
      </c>
      <c r="M490" s="34" t="s">
        <v>652</v>
      </c>
      <c r="N490" s="34" t="s">
        <v>666</v>
      </c>
      <c r="O490" s="34" t="s">
        <v>706</v>
      </c>
      <c r="P490" s="34" t="s">
        <v>711</v>
      </c>
      <c r="Q490" s="34" t="s">
        <v>722</v>
      </c>
      <c r="R490" s="34" t="s">
        <v>730</v>
      </c>
      <c r="S490" s="34" t="s">
        <v>1222</v>
      </c>
      <c r="T490" s="35">
        <v>1466.5</v>
      </c>
      <c r="U490" s="35">
        <v>2778.74</v>
      </c>
      <c r="V490" s="35">
        <f t="shared" si="44"/>
        <v>0.13500000000000001</v>
      </c>
      <c r="W490" s="35">
        <v>0.13500000000000001</v>
      </c>
      <c r="X490" s="33">
        <f>IF(Table2[[#This Row],[DiscountPct]]&gt;0.2,1,0)</f>
        <v>0</v>
      </c>
      <c r="Y490" s="33">
        <v>4</v>
      </c>
      <c r="Z490" s="30">
        <f>Table2[[#This Row],[UnitPrice]]*Y490*(1-V490)</f>
        <v>9614.4403999999995</v>
      </c>
      <c r="AA490" s="31">
        <f>T490*Y490</f>
        <v>5866</v>
      </c>
      <c r="AB490" s="31">
        <f t="shared" si="45"/>
        <v>3748.4403999999995</v>
      </c>
      <c r="AC490" s="31">
        <f t="shared" si="46"/>
        <v>0.38987608680792279</v>
      </c>
      <c r="AD490" s="31" t="e">
        <f>_xlfn.PERCENTILE.INC(S:S, 0.33)</f>
        <v>#NUM!</v>
      </c>
      <c r="AE490" s="31" t="e">
        <f>_xlfn.PERCENTILE.INC(S:S, 0.66)</f>
        <v>#NUM!</v>
      </c>
      <c r="AF490" s="30" t="e">
        <f t="shared" si="47"/>
        <v>#NUM!</v>
      </c>
    </row>
    <row r="491" spans="1:32" x14ac:dyDescent="0.3">
      <c r="A491" s="2" t="s">
        <v>504</v>
      </c>
      <c r="B491" s="4">
        <v>45403</v>
      </c>
      <c r="C491" s="46">
        <f>EOMONTH(Table2[[#This Row],[OrderDate]],-1)+1</f>
        <v>45383</v>
      </c>
      <c r="D491" s="45">
        <f>EOMONTH(_xlfn.MINIFS(B491:B1121,M491:M1121,Table2[[#This Row],[Country]]), -1) + 1</f>
        <v>44958</v>
      </c>
      <c r="E491" s="46"/>
      <c r="F491" s="4" t="str">
        <f>"Q"&amp;ROUNDUP(MONTH(B491)/3,0)&amp;"-"&amp;YEAR(B491)</f>
        <v>Q2-2024</v>
      </c>
      <c r="G491" s="4">
        <v>45431</v>
      </c>
      <c r="H491" s="4">
        <f>IF(G491&lt;B491, B491+3, G491)</f>
        <v>45431</v>
      </c>
      <c r="I491" s="10">
        <f>H491-B491</f>
        <v>28</v>
      </c>
      <c r="J491" s="10">
        <f t="shared" si="42"/>
        <v>0</v>
      </c>
      <c r="K491" s="10">
        <f t="shared" si="43"/>
        <v>0</v>
      </c>
      <c r="L491" s="6" t="s">
        <v>646</v>
      </c>
      <c r="M491" s="6" t="s">
        <v>651</v>
      </c>
      <c r="N491" s="6" t="s">
        <v>665</v>
      </c>
      <c r="O491" s="6" t="s">
        <v>701</v>
      </c>
      <c r="P491" s="6" t="s">
        <v>710</v>
      </c>
      <c r="Q491" s="6" t="s">
        <v>720</v>
      </c>
      <c r="R491" s="6" t="s">
        <v>733</v>
      </c>
      <c r="S491" s="6" t="s">
        <v>1223</v>
      </c>
      <c r="T491" s="8">
        <v>187.22</v>
      </c>
      <c r="U491" s="8">
        <v>309.47000000000003</v>
      </c>
      <c r="V491" s="8">
        <f t="shared" si="44"/>
        <v>0</v>
      </c>
      <c r="W491" s="8">
        <v>0</v>
      </c>
      <c r="X491" s="10">
        <f>IF(Table2[[#This Row],[DiscountPct]]&gt;0.2,1,0)</f>
        <v>0</v>
      </c>
      <c r="Y491" s="10">
        <v>5</v>
      </c>
      <c r="Z491" s="30">
        <f>Table2[[#This Row],[UnitPrice]]*Y491*(1-V491)</f>
        <v>1547.3500000000001</v>
      </c>
      <c r="AA491" s="2">
        <f>T491*Y491</f>
        <v>936.1</v>
      </c>
      <c r="AB491" s="2">
        <f t="shared" si="45"/>
        <v>611.25000000000011</v>
      </c>
      <c r="AC491" s="2">
        <f t="shared" si="46"/>
        <v>0.39503021294471197</v>
      </c>
      <c r="AD491" s="2" t="e">
        <f>_xlfn.PERCENTILE.INC(S:S, 0.33)</f>
        <v>#NUM!</v>
      </c>
      <c r="AE491" s="2" t="e">
        <f>_xlfn.PERCENTILE.INC(S:S, 0.66)</f>
        <v>#NUM!</v>
      </c>
      <c r="AF491" s="30" t="e">
        <f t="shared" si="47"/>
        <v>#NUM!</v>
      </c>
    </row>
    <row r="492" spans="1:32" x14ac:dyDescent="0.3">
      <c r="A492" s="31" t="s">
        <v>505</v>
      </c>
      <c r="B492" s="32">
        <v>45523</v>
      </c>
      <c r="C492" s="47">
        <f>EOMONTH(Table2[[#This Row],[OrderDate]],-1)+1</f>
        <v>45505</v>
      </c>
      <c r="D492" s="45">
        <f>EOMONTH(_xlfn.MINIFS(B492:B1122,M492:M1122,Table2[[#This Row],[Country]]), -1) + 1</f>
        <v>45017</v>
      </c>
      <c r="E492" s="47"/>
      <c r="F492" s="32" t="str">
        <f>"Q"&amp;ROUNDUP(MONTH(B492)/3,0)&amp;"-"&amp;YEAR(B492)</f>
        <v>Q3-2024</v>
      </c>
      <c r="G492" s="32">
        <v>45542</v>
      </c>
      <c r="H492" s="32">
        <f>IF(G492&lt;B492, B492+3, G492)</f>
        <v>45542</v>
      </c>
      <c r="I492" s="33">
        <f>H492-B492</f>
        <v>19</v>
      </c>
      <c r="J492" s="33">
        <f t="shared" si="42"/>
        <v>0</v>
      </c>
      <c r="K492" s="33">
        <f t="shared" si="43"/>
        <v>0</v>
      </c>
      <c r="L492" s="34" t="s">
        <v>649</v>
      </c>
      <c r="M492" s="34" t="s">
        <v>657</v>
      </c>
      <c r="N492" s="34" t="s">
        <v>679</v>
      </c>
      <c r="O492" s="34" t="s">
        <v>701</v>
      </c>
      <c r="P492" s="34" t="s">
        <v>711</v>
      </c>
      <c r="Q492" s="34" t="s">
        <v>713</v>
      </c>
      <c r="R492" s="34" t="s">
        <v>727</v>
      </c>
      <c r="S492" s="34" t="s">
        <v>1224</v>
      </c>
      <c r="T492" s="35">
        <v>297.58999999999997</v>
      </c>
      <c r="U492" s="35">
        <v>666.41</v>
      </c>
      <c r="V492" s="35">
        <f t="shared" si="44"/>
        <v>0</v>
      </c>
      <c r="W492" s="35">
        <v>0</v>
      </c>
      <c r="X492" s="33">
        <f>IF(Table2[[#This Row],[DiscountPct]]&gt;0.2,1,0)</f>
        <v>0</v>
      </c>
      <c r="Y492" s="33">
        <v>10</v>
      </c>
      <c r="Z492" s="30">
        <f>Table2[[#This Row],[UnitPrice]]*Y492*(1-V492)</f>
        <v>6664.0999999999995</v>
      </c>
      <c r="AA492" s="31">
        <f>T492*Y492</f>
        <v>2975.8999999999996</v>
      </c>
      <c r="AB492" s="31">
        <f t="shared" si="45"/>
        <v>3688.2</v>
      </c>
      <c r="AC492" s="31">
        <f t="shared" si="46"/>
        <v>0.55344307558409989</v>
      </c>
      <c r="AD492" s="31" t="e">
        <f>_xlfn.PERCENTILE.INC(S:S, 0.33)</f>
        <v>#NUM!</v>
      </c>
      <c r="AE492" s="31" t="e">
        <f>_xlfn.PERCENTILE.INC(S:S, 0.66)</f>
        <v>#NUM!</v>
      </c>
      <c r="AF492" s="30" t="e">
        <f t="shared" si="47"/>
        <v>#NUM!</v>
      </c>
    </row>
    <row r="493" spans="1:32" x14ac:dyDescent="0.3">
      <c r="A493" s="2" t="s">
        <v>506</v>
      </c>
      <c r="B493" s="4">
        <v>45861</v>
      </c>
      <c r="C493" s="46">
        <f>EOMONTH(Table2[[#This Row],[OrderDate]],-1)+1</f>
        <v>45839</v>
      </c>
      <c r="D493" s="45">
        <f>EOMONTH(_xlfn.MINIFS(B493:B1123,M493:M1123,Table2[[#This Row],[Country]]), -1) + 1</f>
        <v>44986</v>
      </c>
      <c r="E493" s="46"/>
      <c r="F493" s="4" t="str">
        <f>"Q"&amp;ROUNDUP(MONTH(B493)/3,0)&amp;"-"&amp;YEAR(B493)</f>
        <v>Q3-2025</v>
      </c>
      <c r="G493" s="4">
        <v>45888</v>
      </c>
      <c r="H493" s="4">
        <f>IF(G493&lt;B493, B493+3, G493)</f>
        <v>45888</v>
      </c>
      <c r="I493" s="10">
        <f>H493-B493</f>
        <v>27</v>
      </c>
      <c r="J493" s="10">
        <f t="shared" si="42"/>
        <v>0</v>
      </c>
      <c r="K493" s="10">
        <f t="shared" si="43"/>
        <v>0</v>
      </c>
      <c r="L493" s="6" t="s">
        <v>647</v>
      </c>
      <c r="M493" s="6" t="s">
        <v>652</v>
      </c>
      <c r="N493" s="6" t="s">
        <v>694</v>
      </c>
      <c r="O493" s="6" t="s">
        <v>704</v>
      </c>
      <c r="P493" s="6" t="s">
        <v>709</v>
      </c>
      <c r="Q493" s="6" t="s">
        <v>717</v>
      </c>
      <c r="R493" s="6" t="s">
        <v>733</v>
      </c>
      <c r="S493" s="6" t="s">
        <v>1225</v>
      </c>
      <c r="T493" s="8">
        <v>896.09</v>
      </c>
      <c r="U493" s="8">
        <v>744.27</v>
      </c>
      <c r="V493" s="8">
        <f t="shared" si="44"/>
        <v>8.3000000000000004E-2</v>
      </c>
      <c r="W493" s="8">
        <v>8.3000000000000004E-2</v>
      </c>
      <c r="X493" s="10">
        <f>IF(Table2[[#This Row],[DiscountPct]]&gt;0.2,1,0)</f>
        <v>0</v>
      </c>
      <c r="Y493" s="10">
        <v>11</v>
      </c>
      <c r="Z493" s="30">
        <f>Table2[[#This Row],[UnitPrice]]*Y493*(1-V493)</f>
        <v>7507.4514899999995</v>
      </c>
      <c r="AA493" s="2">
        <f>T493*Y493</f>
        <v>9856.99</v>
      </c>
      <c r="AB493" s="2">
        <f t="shared" si="45"/>
        <v>-2349.5385100000003</v>
      </c>
      <c r="AC493" s="2">
        <f t="shared" si="46"/>
        <v>-0.31296086469950679</v>
      </c>
      <c r="AD493" s="2" t="e">
        <f>_xlfn.PERCENTILE.INC(S:S, 0.33)</f>
        <v>#NUM!</v>
      </c>
      <c r="AE493" s="2" t="e">
        <f>_xlfn.PERCENTILE.INC(S:S, 0.66)</f>
        <v>#NUM!</v>
      </c>
      <c r="AF493" s="30" t="e">
        <f t="shared" si="47"/>
        <v>#NUM!</v>
      </c>
    </row>
    <row r="494" spans="1:32" x14ac:dyDescent="0.3">
      <c r="A494" s="31" t="s">
        <v>507</v>
      </c>
      <c r="B494" s="32">
        <v>45352</v>
      </c>
      <c r="C494" s="47">
        <f>EOMONTH(Table2[[#This Row],[OrderDate]],-1)+1</f>
        <v>45352</v>
      </c>
      <c r="D494" s="45">
        <f>EOMONTH(_xlfn.MINIFS(B494:B1124,M494:M1124,Table2[[#This Row],[Country]]), -1) + 1</f>
        <v>44927</v>
      </c>
      <c r="E494" s="47"/>
      <c r="F494" s="32" t="str">
        <f>"Q"&amp;ROUNDUP(MONTH(B494)/3,0)&amp;"-"&amp;YEAR(B494)</f>
        <v>Q1-2024</v>
      </c>
      <c r="G494" s="32">
        <v>45351</v>
      </c>
      <c r="H494" s="32">
        <f>IF(G494&lt;B494, B494+3, G494)</f>
        <v>45355</v>
      </c>
      <c r="I494" s="33">
        <f>H494-B494</f>
        <v>3</v>
      </c>
      <c r="J494" s="33">
        <f t="shared" si="42"/>
        <v>1</v>
      </c>
      <c r="K494" s="33">
        <f t="shared" si="43"/>
        <v>1</v>
      </c>
      <c r="L494" s="34" t="s">
        <v>648</v>
      </c>
      <c r="M494" s="34" t="s">
        <v>655</v>
      </c>
      <c r="N494" s="34" t="s">
        <v>670</v>
      </c>
      <c r="O494" s="34" t="s">
        <v>703</v>
      </c>
      <c r="P494" s="34" t="s">
        <v>711</v>
      </c>
      <c r="Q494" s="34" t="s">
        <v>714</v>
      </c>
      <c r="R494" s="34" t="s">
        <v>730</v>
      </c>
      <c r="S494" s="34" t="s">
        <v>1226</v>
      </c>
      <c r="T494" s="35">
        <v>5.34</v>
      </c>
      <c r="U494" s="35">
        <v>12.69</v>
      </c>
      <c r="V494" s="35">
        <f t="shared" si="44"/>
        <v>0.13200000000000001</v>
      </c>
      <c r="W494" s="35">
        <v>0.13200000000000001</v>
      </c>
      <c r="X494" s="33">
        <f>IF(Table2[[#This Row],[DiscountPct]]&gt;0.2,1,0)</f>
        <v>0</v>
      </c>
      <c r="Y494" s="33">
        <v>10</v>
      </c>
      <c r="Z494" s="30">
        <f>Table2[[#This Row],[UnitPrice]]*Y494*(1-V494)</f>
        <v>110.14919999999999</v>
      </c>
      <c r="AA494" s="31">
        <f>T494*Y494</f>
        <v>53.4</v>
      </c>
      <c r="AB494" s="31">
        <f t="shared" si="45"/>
        <v>56.749199999999995</v>
      </c>
      <c r="AC494" s="31">
        <f t="shared" si="46"/>
        <v>0.51520301554618642</v>
      </c>
      <c r="AD494" s="31" t="e">
        <f>_xlfn.PERCENTILE.INC(S:S, 0.33)</f>
        <v>#NUM!</v>
      </c>
      <c r="AE494" s="31" t="e">
        <f>_xlfn.PERCENTILE.INC(S:S, 0.66)</f>
        <v>#NUM!</v>
      </c>
      <c r="AF494" s="30" t="e">
        <f t="shared" si="47"/>
        <v>#NUM!</v>
      </c>
    </row>
    <row r="495" spans="1:32" x14ac:dyDescent="0.3">
      <c r="A495" s="2" t="s">
        <v>508</v>
      </c>
      <c r="B495" s="4">
        <v>45439</v>
      </c>
      <c r="C495" s="46">
        <f>EOMONTH(Table2[[#This Row],[OrderDate]],-1)+1</f>
        <v>45413</v>
      </c>
      <c r="D495" s="45">
        <f>EOMONTH(_xlfn.MINIFS(B495:B1125,M495:M1125,Table2[[#This Row],[Country]]), -1) + 1</f>
        <v>45047</v>
      </c>
      <c r="E495" s="46"/>
      <c r="F495" s="4" t="str">
        <f>"Q"&amp;ROUNDUP(MONTH(B495)/3,0)&amp;"-"&amp;YEAR(B495)</f>
        <v>Q2-2024</v>
      </c>
      <c r="G495" s="4">
        <v>45460</v>
      </c>
      <c r="H495" s="4">
        <f>IF(G495&lt;B495, B495+3, G495)</f>
        <v>45460</v>
      </c>
      <c r="I495" s="10">
        <f>H495-B495</f>
        <v>21</v>
      </c>
      <c r="J495" s="10">
        <f t="shared" si="42"/>
        <v>0</v>
      </c>
      <c r="K495" s="10">
        <f t="shared" si="43"/>
        <v>0</v>
      </c>
      <c r="L495" s="6" t="s">
        <v>647</v>
      </c>
      <c r="M495" s="6" t="s">
        <v>654</v>
      </c>
      <c r="N495" s="6" t="s">
        <v>680</v>
      </c>
      <c r="O495" s="6" t="s">
        <v>705</v>
      </c>
      <c r="P495" s="6" t="s">
        <v>708</v>
      </c>
      <c r="Q495" s="6" t="s">
        <v>722</v>
      </c>
      <c r="R495" s="6" t="s">
        <v>733</v>
      </c>
      <c r="S495" s="6" t="s">
        <v>1227</v>
      </c>
      <c r="T495" s="8">
        <v>465.02</v>
      </c>
      <c r="U495" s="8">
        <v>651.55999999999995</v>
      </c>
      <c r="V495" s="8">
        <f t="shared" si="44"/>
        <v>4.2000000000000003E-2</v>
      </c>
      <c r="W495" s="8">
        <v>4.2000000000000003E-2</v>
      </c>
      <c r="X495" s="10">
        <f>IF(Table2[[#This Row],[DiscountPct]]&gt;0.2,1,0)</f>
        <v>0</v>
      </c>
      <c r="Y495" s="10">
        <v>19</v>
      </c>
      <c r="Z495" s="30">
        <f>Table2[[#This Row],[UnitPrice]]*Y495*(1-V495)</f>
        <v>11859.695119999998</v>
      </c>
      <c r="AA495" s="2">
        <f>T495*Y495</f>
        <v>8835.3799999999992</v>
      </c>
      <c r="AB495" s="2">
        <f t="shared" si="45"/>
        <v>3024.3151199999993</v>
      </c>
      <c r="AC495" s="2">
        <f t="shared" si="46"/>
        <v>0.25500783025187918</v>
      </c>
      <c r="AD495" s="2" t="e">
        <f>_xlfn.PERCENTILE.INC(S:S, 0.33)</f>
        <v>#NUM!</v>
      </c>
      <c r="AE495" s="2" t="e">
        <f>_xlfn.PERCENTILE.INC(S:S, 0.66)</f>
        <v>#NUM!</v>
      </c>
      <c r="AF495" s="30" t="e">
        <f t="shared" si="47"/>
        <v>#NUM!</v>
      </c>
    </row>
    <row r="496" spans="1:32" x14ac:dyDescent="0.3">
      <c r="A496" s="31" t="s">
        <v>509</v>
      </c>
      <c r="B496" s="32">
        <v>45508</v>
      </c>
      <c r="C496" s="47">
        <f>EOMONTH(Table2[[#This Row],[OrderDate]],-1)+1</f>
        <v>45505</v>
      </c>
      <c r="D496" s="45">
        <f>EOMONTH(_xlfn.MINIFS(B496:B1126,M496:M1126,Table2[[#This Row],[Country]]), -1) + 1</f>
        <v>44958</v>
      </c>
      <c r="E496" s="47"/>
      <c r="F496" s="32" t="str">
        <f>"Q"&amp;ROUNDUP(MONTH(B496)/3,0)&amp;"-"&amp;YEAR(B496)</f>
        <v>Q3-2024</v>
      </c>
      <c r="G496" s="32">
        <v>45521</v>
      </c>
      <c r="H496" s="32">
        <f>IF(G496&lt;B496, B496+3, G496)</f>
        <v>45521</v>
      </c>
      <c r="I496" s="33">
        <f>H496-B496</f>
        <v>13</v>
      </c>
      <c r="J496" s="33">
        <f t="shared" si="42"/>
        <v>0</v>
      </c>
      <c r="K496" s="33">
        <f t="shared" si="43"/>
        <v>0</v>
      </c>
      <c r="L496" s="34" t="s">
        <v>648</v>
      </c>
      <c r="M496" s="34" t="s">
        <v>660</v>
      </c>
      <c r="N496" s="34" t="s">
        <v>697</v>
      </c>
      <c r="O496" s="34" t="s">
        <v>704</v>
      </c>
      <c r="P496" s="34" t="s">
        <v>707</v>
      </c>
      <c r="Q496" s="34" t="s">
        <v>726</v>
      </c>
      <c r="R496" s="34" t="s">
        <v>732</v>
      </c>
      <c r="S496" s="34" t="s">
        <v>1228</v>
      </c>
      <c r="T496" s="35">
        <v>352.79</v>
      </c>
      <c r="U496" s="35">
        <v>754.22</v>
      </c>
      <c r="V496" s="35">
        <f t="shared" si="44"/>
        <v>0.113</v>
      </c>
      <c r="W496" s="35">
        <v>0.113</v>
      </c>
      <c r="X496" s="33">
        <f>IF(Table2[[#This Row],[DiscountPct]]&gt;0.2,1,0)</f>
        <v>0</v>
      </c>
      <c r="Y496" s="33">
        <v>7</v>
      </c>
      <c r="Z496" s="30">
        <f>Table2[[#This Row],[UnitPrice]]*Y496*(1-V496)</f>
        <v>4682.9519799999998</v>
      </c>
      <c r="AA496" s="31">
        <f>T496*Y496</f>
        <v>2469.5300000000002</v>
      </c>
      <c r="AB496" s="31">
        <f t="shared" si="45"/>
        <v>2213.4219799999996</v>
      </c>
      <c r="AC496" s="31">
        <f t="shared" si="46"/>
        <v>0.47265528014233443</v>
      </c>
      <c r="AD496" s="31" t="e">
        <f>_xlfn.PERCENTILE.INC(S:S, 0.33)</f>
        <v>#NUM!</v>
      </c>
      <c r="AE496" s="31" t="e">
        <f>_xlfn.PERCENTILE.INC(S:S, 0.66)</f>
        <v>#NUM!</v>
      </c>
      <c r="AF496" s="30" t="e">
        <f t="shared" si="47"/>
        <v>#NUM!</v>
      </c>
    </row>
    <row r="497" spans="1:32" x14ac:dyDescent="0.3">
      <c r="A497" s="2" t="s">
        <v>510</v>
      </c>
      <c r="B497" s="4">
        <v>45097</v>
      </c>
      <c r="C497" s="46">
        <f>EOMONTH(Table2[[#This Row],[OrderDate]],-1)+1</f>
        <v>45078</v>
      </c>
      <c r="D497" s="45">
        <f>EOMONTH(_xlfn.MINIFS(B497:B1127,M497:M1127,Table2[[#This Row],[Country]]), -1) + 1</f>
        <v>44927</v>
      </c>
      <c r="E497" s="46"/>
      <c r="F497" s="4" t="str">
        <f>"Q"&amp;ROUNDUP(MONTH(B497)/3,0)&amp;"-"&amp;YEAR(B497)</f>
        <v>Q2-2023</v>
      </c>
      <c r="G497" s="4">
        <v>45111</v>
      </c>
      <c r="H497" s="4">
        <f>IF(G497&lt;B497, B497+3, G497)</f>
        <v>45111</v>
      </c>
      <c r="I497" s="10">
        <f>H497-B497</f>
        <v>14</v>
      </c>
      <c r="J497" s="10">
        <f t="shared" si="42"/>
        <v>0</v>
      </c>
      <c r="K497" s="10">
        <f t="shared" si="43"/>
        <v>0</v>
      </c>
      <c r="L497" s="6" t="s">
        <v>648</v>
      </c>
      <c r="M497" s="6" t="s">
        <v>655</v>
      </c>
      <c r="N497" s="6" t="s">
        <v>672</v>
      </c>
      <c r="O497" s="6" t="s">
        <v>703</v>
      </c>
      <c r="P497" s="6" t="s">
        <v>711</v>
      </c>
      <c r="Q497" s="6" t="s">
        <v>712</v>
      </c>
      <c r="R497" s="6" t="s">
        <v>729</v>
      </c>
      <c r="S497" s="6" t="s">
        <v>1229</v>
      </c>
      <c r="T497" s="8">
        <v>1292.8599999999999</v>
      </c>
      <c r="U497" s="8">
        <v>2981.01</v>
      </c>
      <c r="V497" s="8">
        <f t="shared" si="44"/>
        <v>0.14199999999999999</v>
      </c>
      <c r="W497" s="8">
        <v>0.14199999999999999</v>
      </c>
      <c r="X497" s="10">
        <f>IF(Table2[[#This Row],[DiscountPct]]&gt;0.2,1,0)</f>
        <v>0</v>
      </c>
      <c r="Y497" s="10">
        <v>12</v>
      </c>
      <c r="Z497" s="30">
        <f>Table2[[#This Row],[UnitPrice]]*Y497*(1-V497)</f>
        <v>30692.47896</v>
      </c>
      <c r="AA497" s="2">
        <f>T497*Y497</f>
        <v>15514.32</v>
      </c>
      <c r="AB497" s="2">
        <f t="shared" si="45"/>
        <v>15178.158960000001</v>
      </c>
      <c r="AC497" s="2">
        <f t="shared" si="46"/>
        <v>0.49452372288927687</v>
      </c>
      <c r="AD497" s="2" t="e">
        <f>_xlfn.PERCENTILE.INC(S:S, 0.33)</f>
        <v>#NUM!</v>
      </c>
      <c r="AE497" s="2" t="e">
        <f>_xlfn.PERCENTILE.INC(S:S, 0.66)</f>
        <v>#NUM!</v>
      </c>
      <c r="AF497" s="30" t="e">
        <f t="shared" si="47"/>
        <v>#NUM!</v>
      </c>
    </row>
    <row r="498" spans="1:32" x14ac:dyDescent="0.3">
      <c r="A498" s="31" t="s">
        <v>511</v>
      </c>
      <c r="B498" s="32">
        <v>45544</v>
      </c>
      <c r="C498" s="47">
        <f>EOMONTH(Table2[[#This Row],[OrderDate]],-1)+1</f>
        <v>45536</v>
      </c>
      <c r="D498" s="45">
        <f>EOMONTH(_xlfn.MINIFS(B498:B1128,M498:M1128,Table2[[#This Row],[Country]]), -1) + 1</f>
        <v>45017</v>
      </c>
      <c r="E498" s="47"/>
      <c r="F498" s="32" t="str">
        <f>"Q"&amp;ROUNDUP(MONTH(B498)/3,0)&amp;"-"&amp;YEAR(B498)</f>
        <v>Q3-2024</v>
      </c>
      <c r="G498" s="32">
        <v>45548</v>
      </c>
      <c r="H498" s="32">
        <f>IF(G498&lt;B498, B498+3, G498)</f>
        <v>45548</v>
      </c>
      <c r="I498" s="33">
        <f>H498-B498</f>
        <v>4</v>
      </c>
      <c r="J498" s="33">
        <f t="shared" si="42"/>
        <v>1</v>
      </c>
      <c r="K498" s="33">
        <f t="shared" si="43"/>
        <v>1</v>
      </c>
      <c r="L498" s="34" t="s">
        <v>649</v>
      </c>
      <c r="M498" s="34" t="s">
        <v>658</v>
      </c>
      <c r="N498" s="34" t="s">
        <v>683</v>
      </c>
      <c r="O498" s="34" t="s">
        <v>704</v>
      </c>
      <c r="P498" s="34" t="s">
        <v>709</v>
      </c>
      <c r="Q498" s="34" t="s">
        <v>721</v>
      </c>
      <c r="R498" s="34" t="s">
        <v>729</v>
      </c>
      <c r="S498" s="34" t="s">
        <v>1230</v>
      </c>
      <c r="T498" s="35">
        <v>1133.08</v>
      </c>
      <c r="U498" s="35">
        <v>976.17</v>
      </c>
      <c r="V498" s="35">
        <f t="shared" si="44"/>
        <v>4.2000000000000003E-2</v>
      </c>
      <c r="W498" s="35">
        <v>4.2000000000000003E-2</v>
      </c>
      <c r="X498" s="33">
        <f>IF(Table2[[#This Row],[DiscountPct]]&gt;0.2,1,0)</f>
        <v>0</v>
      </c>
      <c r="Y498" s="33">
        <v>27</v>
      </c>
      <c r="Z498" s="30">
        <f>Table2[[#This Row],[UnitPrice]]*Y498*(1-V498)</f>
        <v>25249.613219999999</v>
      </c>
      <c r="AA498" s="31">
        <f>T498*Y498</f>
        <v>30593.159999999996</v>
      </c>
      <c r="AB498" s="31">
        <f t="shared" si="45"/>
        <v>-5343.5467799999969</v>
      </c>
      <c r="AC498" s="31">
        <f t="shared" si="46"/>
        <v>-0.21162885678452373</v>
      </c>
      <c r="AD498" s="31" t="e">
        <f>_xlfn.PERCENTILE.INC(S:S, 0.33)</f>
        <v>#NUM!</v>
      </c>
      <c r="AE498" s="31" t="e">
        <f>_xlfn.PERCENTILE.INC(S:S, 0.66)</f>
        <v>#NUM!</v>
      </c>
      <c r="AF498" s="30" t="e">
        <f t="shared" si="47"/>
        <v>#NUM!</v>
      </c>
    </row>
    <row r="499" spans="1:32" x14ac:dyDescent="0.3">
      <c r="A499" s="2" t="s">
        <v>512</v>
      </c>
      <c r="B499" s="4">
        <v>45224</v>
      </c>
      <c r="C499" s="46">
        <f>EOMONTH(Table2[[#This Row],[OrderDate]],-1)+1</f>
        <v>45200</v>
      </c>
      <c r="D499" s="45">
        <f>EOMONTH(_xlfn.MINIFS(B499:B1129,M499:M1129,Table2[[#This Row],[Country]]), -1) + 1</f>
        <v>44927</v>
      </c>
      <c r="E499" s="46"/>
      <c r="F499" s="4" t="str">
        <f>"Q"&amp;ROUNDUP(MONTH(B499)/3,0)&amp;"-"&amp;YEAR(B499)</f>
        <v>Q4-2023</v>
      </c>
      <c r="G499" s="4">
        <v>45227</v>
      </c>
      <c r="H499" s="4">
        <f>IF(G499&lt;B499, B499+3, G499)</f>
        <v>45227</v>
      </c>
      <c r="I499" s="10">
        <f>H499-B499</f>
        <v>3</v>
      </c>
      <c r="J499" s="10">
        <f t="shared" si="42"/>
        <v>1</v>
      </c>
      <c r="K499" s="10">
        <f t="shared" si="43"/>
        <v>1</v>
      </c>
      <c r="L499" s="6" t="s">
        <v>648</v>
      </c>
      <c r="M499" s="6" t="s">
        <v>655</v>
      </c>
      <c r="N499" s="6" t="s">
        <v>672</v>
      </c>
      <c r="O499" s="6" t="s">
        <v>701</v>
      </c>
      <c r="P499" s="6" t="s">
        <v>710</v>
      </c>
      <c r="Q499" s="6" t="s">
        <v>716</v>
      </c>
      <c r="R499" s="6" t="s">
        <v>733</v>
      </c>
      <c r="S499" s="6" t="s">
        <v>1231</v>
      </c>
      <c r="T499" s="8">
        <v>509.31</v>
      </c>
      <c r="U499" s="8">
        <v>1145.9000000000001</v>
      </c>
      <c r="V499" s="8">
        <f t="shared" si="44"/>
        <v>5.7000000000000002E-2</v>
      </c>
      <c r="W499" s="8">
        <v>5.7000000000000002E-2</v>
      </c>
      <c r="X499" s="10">
        <f>IF(Table2[[#This Row],[DiscountPct]]&gt;0.2,1,0)</f>
        <v>0</v>
      </c>
      <c r="Y499" s="10">
        <v>8</v>
      </c>
      <c r="Z499" s="30">
        <f>Table2[[#This Row],[UnitPrice]]*Y499*(1-V499)</f>
        <v>8644.6696000000011</v>
      </c>
      <c r="AA499" s="2">
        <f>T499*Y499</f>
        <v>4074.48</v>
      </c>
      <c r="AB499" s="2">
        <f t="shared" si="45"/>
        <v>4570.1896000000015</v>
      </c>
      <c r="AC499" s="2">
        <f t="shared" si="46"/>
        <v>0.52867140231709964</v>
      </c>
      <c r="AD499" s="2" t="e">
        <f>_xlfn.PERCENTILE.INC(S:S, 0.33)</f>
        <v>#NUM!</v>
      </c>
      <c r="AE499" s="2" t="e">
        <f>_xlfn.PERCENTILE.INC(S:S, 0.66)</f>
        <v>#NUM!</v>
      </c>
      <c r="AF499" s="30" t="e">
        <f t="shared" si="47"/>
        <v>#NUM!</v>
      </c>
    </row>
    <row r="500" spans="1:32" x14ac:dyDescent="0.3">
      <c r="A500" s="31" t="s">
        <v>513</v>
      </c>
      <c r="B500" s="32">
        <v>45908</v>
      </c>
      <c r="C500" s="47">
        <f>EOMONTH(Table2[[#This Row],[OrderDate]],-1)+1</f>
        <v>45901</v>
      </c>
      <c r="D500" s="45">
        <f>EOMONTH(_xlfn.MINIFS(B500:B1130,M500:M1130,Table2[[#This Row],[Country]]), -1) + 1</f>
        <v>44927</v>
      </c>
      <c r="E500" s="47"/>
      <c r="F500" s="32" t="str">
        <f>"Q"&amp;ROUNDUP(MONTH(B500)/3,0)&amp;"-"&amp;YEAR(B500)</f>
        <v>Q3-2025</v>
      </c>
      <c r="G500" s="32">
        <v>45935</v>
      </c>
      <c r="H500" s="32">
        <f>IF(G500&lt;B500, B500+3, G500)</f>
        <v>45935</v>
      </c>
      <c r="I500" s="33">
        <f>H500-B500</f>
        <v>27</v>
      </c>
      <c r="J500" s="33">
        <f t="shared" si="42"/>
        <v>0</v>
      </c>
      <c r="K500" s="33">
        <f t="shared" si="43"/>
        <v>0</v>
      </c>
      <c r="L500" s="34" t="s">
        <v>648</v>
      </c>
      <c r="M500" s="34" t="s">
        <v>655</v>
      </c>
      <c r="N500" s="34" t="s">
        <v>692</v>
      </c>
      <c r="O500" s="34" t="s">
        <v>702</v>
      </c>
      <c r="P500" s="34" t="s">
        <v>708</v>
      </c>
      <c r="Q500" s="34" t="s">
        <v>712</v>
      </c>
      <c r="R500" s="34" t="s">
        <v>732</v>
      </c>
      <c r="S500" s="34" t="s">
        <v>1232</v>
      </c>
      <c r="T500" s="35">
        <v>660.78</v>
      </c>
      <c r="U500" s="35">
        <v>1630.39</v>
      </c>
      <c r="V500" s="35">
        <f t="shared" si="44"/>
        <v>0.218</v>
      </c>
      <c r="W500" s="35">
        <v>0.218</v>
      </c>
      <c r="X500" s="33">
        <f>IF(Table2[[#This Row],[DiscountPct]]&gt;0.2,1,0)</f>
        <v>1</v>
      </c>
      <c r="Y500" s="33">
        <v>13</v>
      </c>
      <c r="Z500" s="30">
        <f>Table2[[#This Row],[UnitPrice]]*Y500*(1-V500)</f>
        <v>16574.544740000001</v>
      </c>
      <c r="AA500" s="31">
        <f>T500*Y500</f>
        <v>8590.14</v>
      </c>
      <c r="AB500" s="31">
        <f t="shared" si="45"/>
        <v>7984.4047400000018</v>
      </c>
      <c r="AC500" s="31">
        <f t="shared" si="46"/>
        <v>0.48172694123724097</v>
      </c>
      <c r="AD500" s="31" t="e">
        <f>_xlfn.PERCENTILE.INC(S:S, 0.33)</f>
        <v>#NUM!</v>
      </c>
      <c r="AE500" s="31" t="e">
        <f>_xlfn.PERCENTILE.INC(S:S, 0.66)</f>
        <v>#NUM!</v>
      </c>
      <c r="AF500" s="30" t="e">
        <f t="shared" si="47"/>
        <v>#NUM!</v>
      </c>
    </row>
    <row r="501" spans="1:32" x14ac:dyDescent="0.3">
      <c r="A501" s="2" t="s">
        <v>514</v>
      </c>
      <c r="B501" s="4">
        <v>45048</v>
      </c>
      <c r="C501" s="46">
        <f>EOMONTH(Table2[[#This Row],[OrderDate]],-1)+1</f>
        <v>45047</v>
      </c>
      <c r="D501" s="45">
        <f>EOMONTH(_xlfn.MINIFS(B501:B1131,M501:M1131,Table2[[#This Row],[Country]]), -1) + 1</f>
        <v>45047</v>
      </c>
      <c r="E501" s="46"/>
      <c r="F501" s="4" t="str">
        <f>"Q"&amp;ROUNDUP(MONTH(B501)/3,0)&amp;"-"&amp;YEAR(B501)</f>
        <v>Q2-2023</v>
      </c>
      <c r="G501" s="4">
        <v>45062</v>
      </c>
      <c r="H501" s="4">
        <f>IF(G501&lt;B501, B501+3, G501)</f>
        <v>45062</v>
      </c>
      <c r="I501" s="10">
        <f>H501-B501</f>
        <v>14</v>
      </c>
      <c r="J501" s="10">
        <f t="shared" si="42"/>
        <v>0</v>
      </c>
      <c r="K501" s="10">
        <f t="shared" si="43"/>
        <v>0</v>
      </c>
      <c r="L501" s="6" t="s">
        <v>647</v>
      </c>
      <c r="M501" s="6" t="s">
        <v>654</v>
      </c>
      <c r="N501" s="6" t="s">
        <v>668</v>
      </c>
      <c r="O501" s="6" t="s">
        <v>703</v>
      </c>
      <c r="P501" s="6" t="s">
        <v>707</v>
      </c>
      <c r="Q501" s="6" t="s">
        <v>716</v>
      </c>
      <c r="R501" s="6" t="s">
        <v>732</v>
      </c>
      <c r="S501" s="6" t="s">
        <v>1233</v>
      </c>
      <c r="T501" s="8">
        <v>475.37</v>
      </c>
      <c r="U501" s="8">
        <v>963.73</v>
      </c>
      <c r="V501" s="8">
        <f t="shared" si="44"/>
        <v>4.1000000000000002E-2</v>
      </c>
      <c r="W501" s="8">
        <v>4.1000000000000002E-2</v>
      </c>
      <c r="X501" s="10">
        <f>IF(Table2[[#This Row],[DiscountPct]]&gt;0.2,1,0)</f>
        <v>0</v>
      </c>
      <c r="Y501" s="10">
        <v>22</v>
      </c>
      <c r="Z501" s="30">
        <f>Table2[[#This Row],[UnitPrice]]*Y501*(1-V501)</f>
        <v>20332.775539999999</v>
      </c>
      <c r="AA501" s="2">
        <f>T501*Y501</f>
        <v>10458.14</v>
      </c>
      <c r="AB501" s="2">
        <f t="shared" si="45"/>
        <v>9874.6355399999993</v>
      </c>
      <c r="AC501" s="2">
        <f t="shared" si="46"/>
        <v>0.48565113604750881</v>
      </c>
      <c r="AD501" s="2" t="e">
        <f>_xlfn.PERCENTILE.INC(S:S, 0.33)</f>
        <v>#NUM!</v>
      </c>
      <c r="AE501" s="2" t="e">
        <f>_xlfn.PERCENTILE.INC(S:S, 0.66)</f>
        <v>#NUM!</v>
      </c>
      <c r="AF501" s="30" t="e">
        <f t="shared" si="47"/>
        <v>#NUM!</v>
      </c>
    </row>
    <row r="502" spans="1:32" x14ac:dyDescent="0.3">
      <c r="A502" s="31" t="s">
        <v>515</v>
      </c>
      <c r="B502" s="32">
        <v>45408</v>
      </c>
      <c r="C502" s="47">
        <f>EOMONTH(Table2[[#This Row],[OrderDate]],-1)+1</f>
        <v>45383</v>
      </c>
      <c r="D502" s="45">
        <f>EOMONTH(_xlfn.MINIFS(B502:B1132,M502:M1132,Table2[[#This Row],[Country]]), -1) + 1</f>
        <v>45017</v>
      </c>
      <c r="E502" s="47"/>
      <c r="F502" s="32" t="str">
        <f>"Q"&amp;ROUNDUP(MONTH(B502)/3,0)&amp;"-"&amp;YEAR(B502)</f>
        <v>Q2-2024</v>
      </c>
      <c r="G502" s="32">
        <v>45406</v>
      </c>
      <c r="H502" s="32">
        <f>IF(G502&lt;B502, B502+3, G502)</f>
        <v>45411</v>
      </c>
      <c r="I502" s="33">
        <f>H502-B502</f>
        <v>3</v>
      </c>
      <c r="J502" s="33">
        <f t="shared" si="42"/>
        <v>1</v>
      </c>
      <c r="K502" s="33">
        <f t="shared" si="43"/>
        <v>1</v>
      </c>
      <c r="L502" s="34" t="s">
        <v>649</v>
      </c>
      <c r="M502" s="34" t="s">
        <v>658</v>
      </c>
      <c r="N502" s="34" t="s">
        <v>683</v>
      </c>
      <c r="O502" s="34" t="s">
        <v>703</v>
      </c>
      <c r="P502" s="34" t="s">
        <v>710</v>
      </c>
      <c r="Q502" s="34" t="s">
        <v>725</v>
      </c>
      <c r="R502" s="34" t="s">
        <v>730</v>
      </c>
      <c r="S502" s="34" t="s">
        <v>1234</v>
      </c>
      <c r="T502" s="35">
        <v>1232.77</v>
      </c>
      <c r="U502" s="35">
        <v>891.73</v>
      </c>
      <c r="V502" s="35">
        <f t="shared" si="44"/>
        <v>0.16700000000000001</v>
      </c>
      <c r="W502" s="35">
        <v>0.16700000000000001</v>
      </c>
      <c r="X502" s="33">
        <f>IF(Table2[[#This Row],[DiscountPct]]&gt;0.2,1,0)</f>
        <v>0</v>
      </c>
      <c r="Y502" s="33">
        <v>10</v>
      </c>
      <c r="Z502" s="30">
        <f>Table2[[#This Row],[UnitPrice]]*Y502*(1-V502)</f>
        <v>7428.1108999999988</v>
      </c>
      <c r="AA502" s="31">
        <f>T502*Y502</f>
        <v>12327.7</v>
      </c>
      <c r="AB502" s="31">
        <f t="shared" si="45"/>
        <v>-4899.589100000002</v>
      </c>
      <c r="AC502" s="31">
        <f t="shared" si="46"/>
        <v>-0.65960096260813805</v>
      </c>
      <c r="AD502" s="31" t="e">
        <f>_xlfn.PERCENTILE.INC(S:S, 0.33)</f>
        <v>#NUM!</v>
      </c>
      <c r="AE502" s="31" t="e">
        <f>_xlfn.PERCENTILE.INC(S:S, 0.66)</f>
        <v>#NUM!</v>
      </c>
      <c r="AF502" s="30" t="e">
        <f t="shared" si="47"/>
        <v>#NUM!</v>
      </c>
    </row>
    <row r="503" spans="1:32" x14ac:dyDescent="0.3">
      <c r="A503" s="2" t="s">
        <v>516</v>
      </c>
      <c r="B503" s="4">
        <v>44980</v>
      </c>
      <c r="C503" s="46">
        <f>EOMONTH(Table2[[#This Row],[OrderDate]],-1)+1</f>
        <v>44958</v>
      </c>
      <c r="D503" s="45">
        <f>EOMONTH(_xlfn.MINIFS(B503:B1133,M503:M1133,Table2[[#This Row],[Country]]), -1) + 1</f>
        <v>44927</v>
      </c>
      <c r="E503" s="46"/>
      <c r="F503" s="4" t="str">
        <f>"Q"&amp;ROUNDUP(MONTH(B503)/3,0)&amp;"-"&amp;YEAR(B503)</f>
        <v>Q1-2023</v>
      </c>
      <c r="G503" s="4">
        <v>45003</v>
      </c>
      <c r="H503" s="4">
        <f>IF(G503&lt;B503, B503+3, G503)</f>
        <v>45003</v>
      </c>
      <c r="I503" s="10">
        <f>H503-B503</f>
        <v>23</v>
      </c>
      <c r="J503" s="10">
        <f t="shared" si="42"/>
        <v>0</v>
      </c>
      <c r="K503" s="10">
        <f t="shared" si="43"/>
        <v>0</v>
      </c>
      <c r="L503" s="6" t="s">
        <v>647</v>
      </c>
      <c r="M503" s="6" t="s">
        <v>659</v>
      </c>
      <c r="N503" s="6" t="s">
        <v>699</v>
      </c>
      <c r="O503" s="6" t="s">
        <v>702</v>
      </c>
      <c r="P503" s="6" t="s">
        <v>710</v>
      </c>
      <c r="Q503" s="6" t="s">
        <v>723</v>
      </c>
      <c r="R503" s="6" t="s">
        <v>728</v>
      </c>
      <c r="S503" s="6" t="s">
        <v>1235</v>
      </c>
      <c r="T503" s="8">
        <v>770.11</v>
      </c>
      <c r="U503" s="8">
        <v>1667.82</v>
      </c>
      <c r="V503" s="8">
        <f t="shared" si="44"/>
        <v>6.9000000000000006E-2</v>
      </c>
      <c r="W503" s="8">
        <v>6.9000000000000006E-2</v>
      </c>
      <c r="X503" s="10">
        <f>IF(Table2[[#This Row],[DiscountPct]]&gt;0.2,1,0)</f>
        <v>0</v>
      </c>
      <c r="Y503" s="10">
        <v>7</v>
      </c>
      <c r="Z503" s="30">
        <f>Table2[[#This Row],[UnitPrice]]*Y503*(1-V503)</f>
        <v>10869.182940000001</v>
      </c>
      <c r="AA503" s="2">
        <f>T503*Y503</f>
        <v>5390.77</v>
      </c>
      <c r="AB503" s="2">
        <f t="shared" si="45"/>
        <v>5478.4129400000002</v>
      </c>
      <c r="AC503" s="2">
        <f t="shared" si="46"/>
        <v>0.50403171703355287</v>
      </c>
      <c r="AD503" s="2" t="e">
        <f>_xlfn.PERCENTILE.INC(S:S, 0.33)</f>
        <v>#NUM!</v>
      </c>
      <c r="AE503" s="2" t="e">
        <f>_xlfn.PERCENTILE.INC(S:S, 0.66)</f>
        <v>#NUM!</v>
      </c>
      <c r="AF503" s="30" t="e">
        <f t="shared" si="47"/>
        <v>#NUM!</v>
      </c>
    </row>
    <row r="504" spans="1:32" x14ac:dyDescent="0.3">
      <c r="A504" s="31" t="s">
        <v>517</v>
      </c>
      <c r="B504" s="32">
        <v>45740</v>
      </c>
      <c r="C504" s="47">
        <f>EOMONTH(Table2[[#This Row],[OrderDate]],-1)+1</f>
        <v>45717</v>
      </c>
      <c r="D504" s="45">
        <f>EOMONTH(_xlfn.MINIFS(B504:B1134,M504:M1134,Table2[[#This Row],[Country]]), -1) + 1</f>
        <v>44927</v>
      </c>
      <c r="E504" s="47"/>
      <c r="F504" s="32" t="str">
        <f>"Q"&amp;ROUNDUP(MONTH(B504)/3,0)&amp;"-"&amp;YEAR(B504)</f>
        <v>Q1-2025</v>
      </c>
      <c r="G504" s="32">
        <v>45741</v>
      </c>
      <c r="H504" s="32">
        <f>IF(G504&lt;B504, B504+3, G504)</f>
        <v>45741</v>
      </c>
      <c r="I504" s="33">
        <f>H504-B504</f>
        <v>1</v>
      </c>
      <c r="J504" s="33">
        <f t="shared" si="42"/>
        <v>1</v>
      </c>
      <c r="K504" s="33">
        <f t="shared" si="43"/>
        <v>1</v>
      </c>
      <c r="L504" s="34" t="s">
        <v>647</v>
      </c>
      <c r="M504" s="34" t="s">
        <v>659</v>
      </c>
      <c r="N504" s="34" t="s">
        <v>699</v>
      </c>
      <c r="O504" s="34" t="s">
        <v>703</v>
      </c>
      <c r="P504" s="34" t="s">
        <v>708</v>
      </c>
      <c r="Q504" s="34" t="s">
        <v>715</v>
      </c>
      <c r="R504" s="34" t="s">
        <v>729</v>
      </c>
      <c r="S504" s="34" t="s">
        <v>1236</v>
      </c>
      <c r="T504" s="35">
        <v>1133.03</v>
      </c>
      <c r="U504" s="35">
        <v>1921.51</v>
      </c>
      <c r="V504" s="35">
        <f t="shared" si="44"/>
        <v>0.10100000000000001</v>
      </c>
      <c r="W504" s="35">
        <v>0.10100000000000001</v>
      </c>
      <c r="X504" s="33">
        <f>IF(Table2[[#This Row],[DiscountPct]]&gt;0.2,1,0)</f>
        <v>0</v>
      </c>
      <c r="Y504" s="33">
        <v>5</v>
      </c>
      <c r="Z504" s="30">
        <f>Table2[[#This Row],[UnitPrice]]*Y504*(1-V504)</f>
        <v>8637.1874499999994</v>
      </c>
      <c r="AA504" s="31">
        <f>T504*Y504</f>
        <v>5665.15</v>
      </c>
      <c r="AB504" s="31">
        <f t="shared" si="45"/>
        <v>2972.0374499999998</v>
      </c>
      <c r="AC504" s="31">
        <f t="shared" si="46"/>
        <v>0.3440978289755654</v>
      </c>
      <c r="AD504" s="31" t="e">
        <f>_xlfn.PERCENTILE.INC(S:S, 0.33)</f>
        <v>#NUM!</v>
      </c>
      <c r="AE504" s="31" t="e">
        <f>_xlfn.PERCENTILE.INC(S:S, 0.66)</f>
        <v>#NUM!</v>
      </c>
      <c r="AF504" s="30" t="e">
        <f t="shared" si="47"/>
        <v>#NUM!</v>
      </c>
    </row>
    <row r="505" spans="1:32" x14ac:dyDescent="0.3">
      <c r="A505" s="2" t="s">
        <v>518</v>
      </c>
      <c r="B505" s="4">
        <v>45726</v>
      </c>
      <c r="C505" s="46">
        <f>EOMONTH(Table2[[#This Row],[OrderDate]],-1)+1</f>
        <v>45717</v>
      </c>
      <c r="D505" s="45">
        <f>EOMONTH(_xlfn.MINIFS(B505:B1135,M505:M1135,Table2[[#This Row],[Country]]), -1) + 1</f>
        <v>44927</v>
      </c>
      <c r="E505" s="46"/>
      <c r="F505" s="4" t="str">
        <f>"Q"&amp;ROUNDUP(MONTH(B505)/3,0)&amp;"-"&amp;YEAR(B505)</f>
        <v>Q1-2025</v>
      </c>
      <c r="G505" s="4">
        <v>45743</v>
      </c>
      <c r="H505" s="4">
        <f>IF(G505&lt;B505, B505+3, G505)</f>
        <v>45743</v>
      </c>
      <c r="I505" s="10">
        <f>H505-B505</f>
        <v>17</v>
      </c>
      <c r="J505" s="10">
        <f t="shared" si="42"/>
        <v>0</v>
      </c>
      <c r="K505" s="10">
        <f t="shared" si="43"/>
        <v>0</v>
      </c>
      <c r="L505" s="6" t="s">
        <v>648</v>
      </c>
      <c r="M505" s="6" t="s">
        <v>655</v>
      </c>
      <c r="N505" s="6" t="s">
        <v>692</v>
      </c>
      <c r="O505" s="6" t="s">
        <v>706</v>
      </c>
      <c r="P505" s="6" t="s">
        <v>711</v>
      </c>
      <c r="Q505" s="6" t="s">
        <v>721</v>
      </c>
      <c r="R505" s="6" t="s">
        <v>729</v>
      </c>
      <c r="S505" s="6" t="s">
        <v>1237</v>
      </c>
      <c r="T505" s="8">
        <v>996.73</v>
      </c>
      <c r="U505" s="8">
        <v>1217.43</v>
      </c>
      <c r="V505" s="8">
        <f t="shared" si="44"/>
        <v>7.0000000000000007E-2</v>
      </c>
      <c r="W505" s="8">
        <v>7.0000000000000007E-2</v>
      </c>
      <c r="X505" s="10">
        <f>IF(Table2[[#This Row],[DiscountPct]]&gt;0.2,1,0)</f>
        <v>0</v>
      </c>
      <c r="Y505" s="10">
        <v>9</v>
      </c>
      <c r="Z505" s="30">
        <f>Table2[[#This Row],[UnitPrice]]*Y505*(1-V505)</f>
        <v>10189.8891</v>
      </c>
      <c r="AA505" s="2">
        <f>T505*Y505</f>
        <v>8970.57</v>
      </c>
      <c r="AB505" s="2">
        <f t="shared" si="45"/>
        <v>1219.3191000000006</v>
      </c>
      <c r="AC505" s="2">
        <f t="shared" si="46"/>
        <v>0.11965970267527255</v>
      </c>
      <c r="AD505" s="2" t="e">
        <f>_xlfn.PERCENTILE.INC(S:S, 0.33)</f>
        <v>#NUM!</v>
      </c>
      <c r="AE505" s="2" t="e">
        <f>_xlfn.PERCENTILE.INC(S:S, 0.66)</f>
        <v>#NUM!</v>
      </c>
      <c r="AF505" s="30" t="e">
        <f t="shared" si="47"/>
        <v>#NUM!</v>
      </c>
    </row>
    <row r="506" spans="1:32" x14ac:dyDescent="0.3">
      <c r="A506" s="31" t="s">
        <v>519</v>
      </c>
      <c r="B506" s="32">
        <v>45387</v>
      </c>
      <c r="C506" s="47">
        <f>EOMONTH(Table2[[#This Row],[OrderDate]],-1)+1</f>
        <v>45383</v>
      </c>
      <c r="D506" s="45">
        <f>EOMONTH(_xlfn.MINIFS(B506:B1136,M506:M1136,Table2[[#This Row],[Country]]), -1) + 1</f>
        <v>44958</v>
      </c>
      <c r="E506" s="47"/>
      <c r="F506" s="32" t="str">
        <f>"Q"&amp;ROUNDUP(MONTH(B506)/3,0)&amp;"-"&amp;YEAR(B506)</f>
        <v>Q2-2024</v>
      </c>
      <c r="G506" s="32">
        <v>45391</v>
      </c>
      <c r="H506" s="32">
        <f>IF(G506&lt;B506, B506+3, G506)</f>
        <v>45391</v>
      </c>
      <c r="I506" s="33">
        <f>H506-B506</f>
        <v>4</v>
      </c>
      <c r="J506" s="33">
        <f t="shared" si="42"/>
        <v>1</v>
      </c>
      <c r="K506" s="33">
        <f t="shared" si="43"/>
        <v>1</v>
      </c>
      <c r="L506" s="34" t="s">
        <v>646</v>
      </c>
      <c r="M506" s="34" t="s">
        <v>651</v>
      </c>
      <c r="N506" s="34" t="s">
        <v>665</v>
      </c>
      <c r="O506" s="34" t="s">
        <v>703</v>
      </c>
      <c r="P506" s="34" t="s">
        <v>711</v>
      </c>
      <c r="Q506" s="34" t="s">
        <v>723</v>
      </c>
      <c r="R506" s="34" t="s">
        <v>727</v>
      </c>
      <c r="S506" s="34" t="s">
        <v>1238</v>
      </c>
      <c r="T506" s="35">
        <v>395.07</v>
      </c>
      <c r="U506" s="35">
        <v>970.27</v>
      </c>
      <c r="V506" s="35">
        <f t="shared" si="44"/>
        <v>0.123</v>
      </c>
      <c r="W506" s="35">
        <v>0.123</v>
      </c>
      <c r="X506" s="33">
        <f>IF(Table2[[#This Row],[DiscountPct]]&gt;0.2,1,0)</f>
        <v>0</v>
      </c>
      <c r="Y506" s="33">
        <v>38</v>
      </c>
      <c r="Z506" s="30">
        <f>Table2[[#This Row],[UnitPrice]]*Y506*(1-V506)</f>
        <v>32335.21802</v>
      </c>
      <c r="AA506" s="31">
        <f>T506*Y506</f>
        <v>15012.66</v>
      </c>
      <c r="AB506" s="31">
        <f t="shared" si="45"/>
        <v>17322.55802</v>
      </c>
      <c r="AC506" s="31">
        <f t="shared" si="46"/>
        <v>0.53571799049833657</v>
      </c>
      <c r="AD506" s="31" t="e">
        <f>_xlfn.PERCENTILE.INC(S:S, 0.33)</f>
        <v>#NUM!</v>
      </c>
      <c r="AE506" s="31" t="e">
        <f>_xlfn.PERCENTILE.INC(S:S, 0.66)</f>
        <v>#NUM!</v>
      </c>
      <c r="AF506" s="30" t="e">
        <f t="shared" si="47"/>
        <v>#NUM!</v>
      </c>
    </row>
    <row r="507" spans="1:32" x14ac:dyDescent="0.3">
      <c r="A507" s="2" t="s">
        <v>520</v>
      </c>
      <c r="B507" s="4">
        <v>45774</v>
      </c>
      <c r="C507" s="46">
        <f>EOMONTH(Table2[[#This Row],[OrderDate]],-1)+1</f>
        <v>45748</v>
      </c>
      <c r="D507" s="45">
        <f>EOMONTH(_xlfn.MINIFS(B507:B1137,M507:M1137,Table2[[#This Row],[Country]]), -1) + 1</f>
        <v>44958</v>
      </c>
      <c r="E507" s="46"/>
      <c r="F507" s="4" t="str">
        <f>"Q"&amp;ROUNDUP(MONTH(B507)/3,0)&amp;"-"&amp;YEAR(B507)</f>
        <v>Q2-2025</v>
      </c>
      <c r="G507" s="4">
        <v>45794</v>
      </c>
      <c r="H507" s="4">
        <f>IF(G507&lt;B507, B507+3, G507)</f>
        <v>45794</v>
      </c>
      <c r="I507" s="10">
        <f>H507-B507</f>
        <v>20</v>
      </c>
      <c r="J507" s="10">
        <f t="shared" si="42"/>
        <v>0</v>
      </c>
      <c r="K507" s="10">
        <f t="shared" si="43"/>
        <v>0</v>
      </c>
      <c r="L507" s="6" t="s">
        <v>648</v>
      </c>
      <c r="M507" s="6" t="s">
        <v>660</v>
      </c>
      <c r="N507" s="6" t="s">
        <v>697</v>
      </c>
      <c r="O507" s="6" t="s">
        <v>701</v>
      </c>
      <c r="P507" s="6" t="s">
        <v>711</v>
      </c>
      <c r="Q507" s="6" t="s">
        <v>725</v>
      </c>
      <c r="R507" s="6" t="s">
        <v>730</v>
      </c>
      <c r="S507" s="6" t="s">
        <v>1239</v>
      </c>
      <c r="T507" s="8">
        <v>932.26</v>
      </c>
      <c r="U507" s="8">
        <v>1624.67</v>
      </c>
      <c r="V507" s="8">
        <f t="shared" si="44"/>
        <v>0.23499999999999999</v>
      </c>
      <c r="W507" s="8">
        <v>0.23499999999999999</v>
      </c>
      <c r="X507" s="10">
        <f>IF(Table2[[#This Row],[DiscountPct]]&gt;0.2,1,0)</f>
        <v>1</v>
      </c>
      <c r="Y507" s="10">
        <v>28</v>
      </c>
      <c r="Z507" s="30">
        <f>Table2[[#This Row],[UnitPrice]]*Y507*(1-V507)</f>
        <v>34800.431400000001</v>
      </c>
      <c r="AA507" s="2">
        <f>T507*Y507</f>
        <v>26103.279999999999</v>
      </c>
      <c r="AB507" s="2">
        <f t="shared" si="45"/>
        <v>8697.1514000000025</v>
      </c>
      <c r="AC507" s="2">
        <f t="shared" si="46"/>
        <v>0.24991504559337163</v>
      </c>
      <c r="AD507" s="2" t="e">
        <f>_xlfn.PERCENTILE.INC(S:S, 0.33)</f>
        <v>#NUM!</v>
      </c>
      <c r="AE507" s="2" t="e">
        <f>_xlfn.PERCENTILE.INC(S:S, 0.66)</f>
        <v>#NUM!</v>
      </c>
      <c r="AF507" s="30" t="e">
        <f t="shared" si="47"/>
        <v>#NUM!</v>
      </c>
    </row>
    <row r="508" spans="1:32" x14ac:dyDescent="0.3">
      <c r="A508" s="31" t="s">
        <v>521</v>
      </c>
      <c r="B508" s="32">
        <v>45589</v>
      </c>
      <c r="C508" s="47">
        <f>EOMONTH(Table2[[#This Row],[OrderDate]],-1)+1</f>
        <v>45566</v>
      </c>
      <c r="D508" s="45">
        <f>EOMONTH(_xlfn.MINIFS(B508:B1138,M508:M1138,Table2[[#This Row],[Country]]), -1) + 1</f>
        <v>44927</v>
      </c>
      <c r="E508" s="47"/>
      <c r="F508" s="32" t="str">
        <f>"Q"&amp;ROUNDUP(MONTH(B508)/3,0)&amp;"-"&amp;YEAR(B508)</f>
        <v>Q4-2024</v>
      </c>
      <c r="G508" s="32">
        <v>45593</v>
      </c>
      <c r="H508" s="32">
        <f>IF(G508&lt;B508, B508+3, G508)</f>
        <v>45593</v>
      </c>
      <c r="I508" s="33">
        <f>H508-B508</f>
        <v>4</v>
      </c>
      <c r="J508" s="33">
        <f t="shared" si="42"/>
        <v>1</v>
      </c>
      <c r="K508" s="33">
        <f t="shared" si="43"/>
        <v>1</v>
      </c>
      <c r="L508" s="34" t="s">
        <v>647</v>
      </c>
      <c r="M508" s="34" t="s">
        <v>659</v>
      </c>
      <c r="N508" s="34" t="s">
        <v>685</v>
      </c>
      <c r="O508" s="34" t="s">
        <v>705</v>
      </c>
      <c r="P508" s="34" t="s">
        <v>710</v>
      </c>
      <c r="Q508" s="34" t="s">
        <v>714</v>
      </c>
      <c r="R508" s="34" t="s">
        <v>729</v>
      </c>
      <c r="S508" s="34" t="s">
        <v>1240</v>
      </c>
      <c r="T508" s="35">
        <v>1331.77</v>
      </c>
      <c r="U508" s="35">
        <v>2606.11</v>
      </c>
      <c r="V508" s="35">
        <f t="shared" si="44"/>
        <v>0.02</v>
      </c>
      <c r="W508" s="35">
        <v>0.02</v>
      </c>
      <c r="X508" s="33">
        <f>IF(Table2[[#This Row],[DiscountPct]]&gt;0.2,1,0)</f>
        <v>0</v>
      </c>
      <c r="Y508" s="33">
        <v>6</v>
      </c>
      <c r="Z508" s="30">
        <f>Table2[[#This Row],[UnitPrice]]*Y508*(1-V508)</f>
        <v>15323.926799999999</v>
      </c>
      <c r="AA508" s="31">
        <f>T508*Y508</f>
        <v>7990.62</v>
      </c>
      <c r="AB508" s="31">
        <f t="shared" si="45"/>
        <v>7333.3067999999994</v>
      </c>
      <c r="AC508" s="31">
        <f t="shared" si="46"/>
        <v>0.47855271665745619</v>
      </c>
      <c r="AD508" s="31" t="e">
        <f>_xlfn.PERCENTILE.INC(S:S, 0.33)</f>
        <v>#NUM!</v>
      </c>
      <c r="AE508" s="31" t="e">
        <f>_xlfn.PERCENTILE.INC(S:S, 0.66)</f>
        <v>#NUM!</v>
      </c>
      <c r="AF508" s="30" t="e">
        <f t="shared" si="47"/>
        <v>#NUM!</v>
      </c>
    </row>
    <row r="509" spans="1:32" x14ac:dyDescent="0.3">
      <c r="A509" s="2" t="s">
        <v>522</v>
      </c>
      <c r="B509" s="4">
        <v>45029</v>
      </c>
      <c r="C509" s="46">
        <f>EOMONTH(Table2[[#This Row],[OrderDate]],-1)+1</f>
        <v>45017</v>
      </c>
      <c r="D509" s="45">
        <f>EOMONTH(_xlfn.MINIFS(B509:B1139,M509:M1139,Table2[[#This Row],[Country]]), -1) + 1</f>
        <v>45017</v>
      </c>
      <c r="E509" s="46"/>
      <c r="F509" s="4" t="str">
        <f>"Q"&amp;ROUNDUP(MONTH(B509)/3,0)&amp;"-"&amp;YEAR(B509)</f>
        <v>Q2-2023</v>
      </c>
      <c r="G509" s="4">
        <v>45036</v>
      </c>
      <c r="H509" s="4">
        <f>IF(G509&lt;B509, B509+3, G509)</f>
        <v>45036</v>
      </c>
      <c r="I509" s="10">
        <f>H509-B509</f>
        <v>7</v>
      </c>
      <c r="J509" s="10">
        <f t="shared" si="42"/>
        <v>1</v>
      </c>
      <c r="K509" s="10">
        <f t="shared" si="43"/>
        <v>1</v>
      </c>
      <c r="L509" s="6" t="s">
        <v>649</v>
      </c>
      <c r="M509" s="6" t="s">
        <v>657</v>
      </c>
      <c r="N509" s="6" t="s">
        <v>679</v>
      </c>
      <c r="O509" s="6" t="s">
        <v>705</v>
      </c>
      <c r="P509" s="6" t="s">
        <v>708</v>
      </c>
      <c r="Q509" s="6" t="s">
        <v>720</v>
      </c>
      <c r="R509" s="6" t="s">
        <v>731</v>
      </c>
      <c r="S509" s="6" t="s">
        <v>1241</v>
      </c>
      <c r="T509" s="8">
        <v>227.02</v>
      </c>
      <c r="U509" s="8">
        <v>434.72</v>
      </c>
      <c r="V509" s="8">
        <f t="shared" si="44"/>
        <v>9.8000000000000004E-2</v>
      </c>
      <c r="W509" s="8">
        <v>9.8000000000000004E-2</v>
      </c>
      <c r="X509" s="10">
        <f>IF(Table2[[#This Row],[DiscountPct]]&gt;0.2,1,0)</f>
        <v>0</v>
      </c>
      <c r="Y509" s="10">
        <v>10</v>
      </c>
      <c r="Z509" s="30">
        <f>Table2[[#This Row],[UnitPrice]]*Y509*(1-V509)</f>
        <v>3921.1744000000008</v>
      </c>
      <c r="AA509" s="2">
        <f>T509*Y509</f>
        <v>2270.2000000000003</v>
      </c>
      <c r="AB509" s="2">
        <f t="shared" si="45"/>
        <v>1650.9744000000005</v>
      </c>
      <c r="AC509" s="2">
        <f t="shared" si="46"/>
        <v>0.42104079838938052</v>
      </c>
      <c r="AD509" s="2" t="e">
        <f>_xlfn.PERCENTILE.INC(S:S, 0.33)</f>
        <v>#NUM!</v>
      </c>
      <c r="AE509" s="2" t="e">
        <f>_xlfn.PERCENTILE.INC(S:S, 0.66)</f>
        <v>#NUM!</v>
      </c>
      <c r="AF509" s="30" t="e">
        <f t="shared" si="47"/>
        <v>#NUM!</v>
      </c>
    </row>
    <row r="510" spans="1:32" x14ac:dyDescent="0.3">
      <c r="A510" s="31" t="s">
        <v>523</v>
      </c>
      <c r="B510" s="32">
        <v>45608</v>
      </c>
      <c r="C510" s="47">
        <f>EOMONTH(Table2[[#This Row],[OrderDate]],-1)+1</f>
        <v>45597</v>
      </c>
      <c r="D510" s="45">
        <f>EOMONTH(_xlfn.MINIFS(B510:B1140,M510:M1140,Table2[[#This Row],[Country]]), -1) + 1</f>
        <v>45047</v>
      </c>
      <c r="E510" s="47"/>
      <c r="F510" s="32" t="str">
        <f>"Q"&amp;ROUNDUP(MONTH(B510)/3,0)&amp;"-"&amp;YEAR(B510)</f>
        <v>Q4-2024</v>
      </c>
      <c r="G510" s="32">
        <v>45617</v>
      </c>
      <c r="H510" s="32">
        <f>IF(G510&lt;B510, B510+3, G510)</f>
        <v>45617</v>
      </c>
      <c r="I510" s="33">
        <f>H510-B510</f>
        <v>9</v>
      </c>
      <c r="J510" s="33">
        <f t="shared" si="42"/>
        <v>0</v>
      </c>
      <c r="K510" s="33">
        <f t="shared" si="43"/>
        <v>0</v>
      </c>
      <c r="L510" s="34" t="s">
        <v>647</v>
      </c>
      <c r="M510" s="34" t="s">
        <v>654</v>
      </c>
      <c r="N510" s="34" t="s">
        <v>691</v>
      </c>
      <c r="O510" s="34" t="s">
        <v>701</v>
      </c>
      <c r="P510" s="34" t="s">
        <v>711</v>
      </c>
      <c r="Q510" s="34" t="s">
        <v>722</v>
      </c>
      <c r="R510" s="34" t="s">
        <v>731</v>
      </c>
      <c r="S510" s="34" t="s">
        <v>1242</v>
      </c>
      <c r="T510" s="35">
        <v>903.41</v>
      </c>
      <c r="U510" s="35">
        <v>1860.41</v>
      </c>
      <c r="V510" s="35">
        <f t="shared" si="44"/>
        <v>0.108</v>
      </c>
      <c r="W510" s="35">
        <v>0.108</v>
      </c>
      <c r="X510" s="33">
        <f>IF(Table2[[#This Row],[DiscountPct]]&gt;0.2,1,0)</f>
        <v>0</v>
      </c>
      <c r="Y510" s="33">
        <v>5</v>
      </c>
      <c r="Z510" s="30">
        <f>Table2[[#This Row],[UnitPrice]]*Y510*(1-V510)</f>
        <v>8297.4286000000011</v>
      </c>
      <c r="AA510" s="31">
        <f>T510*Y510</f>
        <v>4517.05</v>
      </c>
      <c r="AB510" s="31">
        <f t="shared" si="45"/>
        <v>3780.3786000000009</v>
      </c>
      <c r="AC510" s="31">
        <f t="shared" si="46"/>
        <v>0.455608451996803</v>
      </c>
      <c r="AD510" s="31" t="e">
        <f>_xlfn.PERCENTILE.INC(S:S, 0.33)</f>
        <v>#NUM!</v>
      </c>
      <c r="AE510" s="31" t="e">
        <f>_xlfn.PERCENTILE.INC(S:S, 0.66)</f>
        <v>#NUM!</v>
      </c>
      <c r="AF510" s="30" t="e">
        <f t="shared" si="47"/>
        <v>#NUM!</v>
      </c>
    </row>
    <row r="511" spans="1:32" x14ac:dyDescent="0.3">
      <c r="A511" s="2" t="s">
        <v>524</v>
      </c>
      <c r="B511" s="4">
        <v>45056</v>
      </c>
      <c r="C511" s="46">
        <f>EOMONTH(Table2[[#This Row],[OrderDate]],-1)+1</f>
        <v>45047</v>
      </c>
      <c r="D511" s="45">
        <f>EOMONTH(_xlfn.MINIFS(B511:B1141,M511:M1141,Table2[[#This Row],[Country]]), -1) + 1</f>
        <v>45047</v>
      </c>
      <c r="E511" s="46"/>
      <c r="F511" s="4" t="str">
        <f>"Q"&amp;ROUNDUP(MONTH(B511)/3,0)&amp;"-"&amp;YEAR(B511)</f>
        <v>Q2-2023</v>
      </c>
      <c r="G511" s="4">
        <v>45060</v>
      </c>
      <c r="H511" s="4">
        <f>IF(G511&lt;B511, B511+3, G511)</f>
        <v>45060</v>
      </c>
      <c r="I511" s="10">
        <f>H511-B511</f>
        <v>4</v>
      </c>
      <c r="J511" s="10">
        <f t="shared" si="42"/>
        <v>1</v>
      </c>
      <c r="K511" s="10">
        <f t="shared" si="43"/>
        <v>1</v>
      </c>
      <c r="L511" s="6" t="s">
        <v>647</v>
      </c>
      <c r="M511" s="6" t="s">
        <v>654</v>
      </c>
      <c r="N511" s="6" t="s">
        <v>680</v>
      </c>
      <c r="O511" s="6" t="s">
        <v>703</v>
      </c>
      <c r="P511" s="6" t="s">
        <v>710</v>
      </c>
      <c r="Q511" s="6" t="s">
        <v>712</v>
      </c>
      <c r="R511" s="6" t="s">
        <v>732</v>
      </c>
      <c r="S511" s="6" t="s">
        <v>1243</v>
      </c>
      <c r="T511" s="8">
        <v>622.6</v>
      </c>
      <c r="U511" s="8">
        <v>833.69</v>
      </c>
      <c r="V511" s="8">
        <f t="shared" si="44"/>
        <v>0.20899999999999999</v>
      </c>
      <c r="W511" s="8">
        <v>0.20899999999999999</v>
      </c>
      <c r="X511" s="10">
        <f>IF(Table2[[#This Row],[DiscountPct]]&gt;0.2,1,0)</f>
        <v>1</v>
      </c>
      <c r="Y511" s="10">
        <v>14</v>
      </c>
      <c r="Z511" s="30">
        <f>Table2[[#This Row],[UnitPrice]]*Y511*(1-V511)</f>
        <v>9232.2830599999998</v>
      </c>
      <c r="AA511" s="2">
        <f>T511*Y511</f>
        <v>8716.4</v>
      </c>
      <c r="AB511" s="2">
        <f t="shared" si="45"/>
        <v>515.88306000000011</v>
      </c>
      <c r="AC511" s="2">
        <f t="shared" si="46"/>
        <v>5.5878167582959715E-2</v>
      </c>
      <c r="AD511" s="2" t="e">
        <f>_xlfn.PERCENTILE.INC(S:S, 0.33)</f>
        <v>#NUM!</v>
      </c>
      <c r="AE511" s="2" t="e">
        <f>_xlfn.PERCENTILE.INC(S:S, 0.66)</f>
        <v>#NUM!</v>
      </c>
      <c r="AF511" s="30" t="e">
        <f t="shared" si="47"/>
        <v>#NUM!</v>
      </c>
    </row>
    <row r="512" spans="1:32" x14ac:dyDescent="0.3">
      <c r="A512" s="31" t="s">
        <v>525</v>
      </c>
      <c r="B512" s="32">
        <v>45353</v>
      </c>
      <c r="C512" s="47">
        <f>EOMONTH(Table2[[#This Row],[OrderDate]],-1)+1</f>
        <v>45352</v>
      </c>
      <c r="D512" s="45">
        <f>EOMONTH(_xlfn.MINIFS(B512:B1142,M512:M1142,Table2[[#This Row],[Country]]), -1) + 1</f>
        <v>44958</v>
      </c>
      <c r="E512" s="47"/>
      <c r="F512" s="32" t="str">
        <f>"Q"&amp;ROUNDUP(MONTH(B512)/3,0)&amp;"-"&amp;YEAR(B512)</f>
        <v>Q1-2024</v>
      </c>
      <c r="G512" s="32">
        <v>45374</v>
      </c>
      <c r="H512" s="32">
        <f>IF(G512&lt;B512, B512+3, G512)</f>
        <v>45374</v>
      </c>
      <c r="I512" s="33">
        <f>H512-B512</f>
        <v>21</v>
      </c>
      <c r="J512" s="33">
        <f t="shared" si="42"/>
        <v>0</v>
      </c>
      <c r="K512" s="33">
        <f t="shared" si="43"/>
        <v>0</v>
      </c>
      <c r="L512" s="34" t="s">
        <v>648</v>
      </c>
      <c r="M512" s="34" t="s">
        <v>660</v>
      </c>
      <c r="N512" s="34" t="s">
        <v>677</v>
      </c>
      <c r="O512" s="34" t="s">
        <v>705</v>
      </c>
      <c r="P512" s="34" t="s">
        <v>708</v>
      </c>
      <c r="Q512" s="34" t="s">
        <v>721</v>
      </c>
      <c r="R512" s="34" t="s">
        <v>727</v>
      </c>
      <c r="S512" s="34" t="s">
        <v>1244</v>
      </c>
      <c r="T512" s="35">
        <v>225.01</v>
      </c>
      <c r="U512" s="35">
        <v>333.48</v>
      </c>
      <c r="V512" s="35">
        <f t="shared" si="44"/>
        <v>0.11899999999999999</v>
      </c>
      <c r="W512" s="35">
        <v>0.11899999999999999</v>
      </c>
      <c r="X512" s="33">
        <f>IF(Table2[[#This Row],[DiscountPct]]&gt;0.2,1,0)</f>
        <v>0</v>
      </c>
      <c r="Y512" s="33">
        <v>12</v>
      </c>
      <c r="Z512" s="30">
        <f>Table2[[#This Row],[UnitPrice]]*Y512*(1-V512)</f>
        <v>3525.5505600000001</v>
      </c>
      <c r="AA512" s="31">
        <f>T512*Y512</f>
        <v>2700.12</v>
      </c>
      <c r="AB512" s="31">
        <f t="shared" si="45"/>
        <v>825.43056000000024</v>
      </c>
      <c r="AC512" s="31">
        <f t="shared" si="46"/>
        <v>0.23412813004729685</v>
      </c>
      <c r="AD512" s="31" t="e">
        <f>_xlfn.PERCENTILE.INC(S:S, 0.33)</f>
        <v>#NUM!</v>
      </c>
      <c r="AE512" s="31" t="e">
        <f>_xlfn.PERCENTILE.INC(S:S, 0.66)</f>
        <v>#NUM!</v>
      </c>
      <c r="AF512" s="30" t="e">
        <f t="shared" si="47"/>
        <v>#NUM!</v>
      </c>
    </row>
    <row r="513" spans="1:32" x14ac:dyDescent="0.3">
      <c r="A513" s="2" t="s">
        <v>526</v>
      </c>
      <c r="B513" s="4">
        <v>45575</v>
      </c>
      <c r="C513" s="46">
        <f>EOMONTH(Table2[[#This Row],[OrderDate]],-1)+1</f>
        <v>45566</v>
      </c>
      <c r="D513" s="45">
        <f>EOMONTH(_xlfn.MINIFS(B513:B1143,M513:M1143,Table2[[#This Row],[Country]]), -1) + 1</f>
        <v>45017</v>
      </c>
      <c r="E513" s="46"/>
      <c r="F513" s="4" t="str">
        <f>"Q"&amp;ROUNDUP(MONTH(B513)/3,0)&amp;"-"&amp;YEAR(B513)</f>
        <v>Q4-2024</v>
      </c>
      <c r="G513" s="4">
        <v>45576</v>
      </c>
      <c r="H513" s="4">
        <f>IF(G513&lt;B513, B513+3, G513)</f>
        <v>45576</v>
      </c>
      <c r="I513" s="10">
        <f>H513-B513</f>
        <v>1</v>
      </c>
      <c r="J513" s="10">
        <f t="shared" si="42"/>
        <v>1</v>
      </c>
      <c r="K513" s="10">
        <f t="shared" si="43"/>
        <v>1</v>
      </c>
      <c r="L513" s="6" t="s">
        <v>649</v>
      </c>
      <c r="M513" s="6" t="s">
        <v>658</v>
      </c>
      <c r="N513" s="6" t="s">
        <v>693</v>
      </c>
      <c r="O513" s="6" t="s">
        <v>703</v>
      </c>
      <c r="P513" s="6" t="s">
        <v>710</v>
      </c>
      <c r="Q513" s="6" t="s">
        <v>716</v>
      </c>
      <c r="R513" s="6" t="s">
        <v>727</v>
      </c>
      <c r="S513" s="6" t="s">
        <v>1245</v>
      </c>
      <c r="T513" s="8">
        <v>1389.46</v>
      </c>
      <c r="U513" s="8">
        <v>1784.7</v>
      </c>
      <c r="V513" s="8">
        <f t="shared" si="44"/>
        <v>0.14599999999999999</v>
      </c>
      <c r="W513" s="8">
        <v>0.14599999999999999</v>
      </c>
      <c r="X513" s="10">
        <f>IF(Table2[[#This Row],[DiscountPct]]&gt;0.2,1,0)</f>
        <v>0</v>
      </c>
      <c r="Y513" s="10">
        <v>33</v>
      </c>
      <c r="Z513" s="30">
        <f>Table2[[#This Row],[UnitPrice]]*Y513*(1-V513)</f>
        <v>50296.415399999998</v>
      </c>
      <c r="AA513" s="2">
        <f>T513*Y513</f>
        <v>45852.18</v>
      </c>
      <c r="AB513" s="2">
        <f t="shared" si="45"/>
        <v>4444.2353999999978</v>
      </c>
      <c r="AC513" s="2">
        <f t="shared" si="46"/>
        <v>8.8360877503011831E-2</v>
      </c>
      <c r="AD513" s="2" t="e">
        <f>_xlfn.PERCENTILE.INC(S:S, 0.33)</f>
        <v>#NUM!</v>
      </c>
      <c r="AE513" s="2" t="e">
        <f>_xlfn.PERCENTILE.INC(S:S, 0.66)</f>
        <v>#NUM!</v>
      </c>
      <c r="AF513" s="30" t="e">
        <f t="shared" si="47"/>
        <v>#NUM!</v>
      </c>
    </row>
    <row r="514" spans="1:32" x14ac:dyDescent="0.3">
      <c r="A514" s="31" t="s">
        <v>527</v>
      </c>
      <c r="B514" s="32">
        <v>45078</v>
      </c>
      <c r="C514" s="47">
        <f>EOMONTH(Table2[[#This Row],[OrderDate]],-1)+1</f>
        <v>45078</v>
      </c>
      <c r="D514" s="45">
        <f>EOMONTH(_xlfn.MINIFS(B514:B1144,M514:M1144,Table2[[#This Row],[Country]]), -1) + 1</f>
        <v>44927</v>
      </c>
      <c r="E514" s="47"/>
      <c r="F514" s="32" t="str">
        <f>"Q"&amp;ROUNDUP(MONTH(B514)/3,0)&amp;"-"&amp;YEAR(B514)</f>
        <v>Q2-2023</v>
      </c>
      <c r="G514" s="32">
        <v>45085</v>
      </c>
      <c r="H514" s="32">
        <f>IF(G514&lt;B514, B514+3, G514)</f>
        <v>45085</v>
      </c>
      <c r="I514" s="33">
        <f>H514-B514</f>
        <v>7</v>
      </c>
      <c r="J514" s="33">
        <f t="shared" ref="J514:J577" si="48">IF(I514 &lt;= 7, 1, 0)</f>
        <v>1</v>
      </c>
      <c r="K514" s="33">
        <f t="shared" ref="K514:K577" si="49">IF(I514&lt;=7,1,0)</f>
        <v>1</v>
      </c>
      <c r="L514" s="34" t="s">
        <v>649</v>
      </c>
      <c r="M514" s="34" t="s">
        <v>656</v>
      </c>
      <c r="N514" s="34" t="s">
        <v>698</v>
      </c>
      <c r="O514" s="34" t="s">
        <v>704</v>
      </c>
      <c r="P514" s="34" t="s">
        <v>708</v>
      </c>
      <c r="Q514" s="34" t="s">
        <v>720</v>
      </c>
      <c r="R514" s="34" t="s">
        <v>730</v>
      </c>
      <c r="S514" s="34" t="s">
        <v>1246</v>
      </c>
      <c r="T514" s="35">
        <v>804.17</v>
      </c>
      <c r="U514" s="35">
        <v>1072.29</v>
      </c>
      <c r="V514" s="35">
        <f t="shared" si="44"/>
        <v>3.2000000000000001E-2</v>
      </c>
      <c r="W514" s="35">
        <v>3.2000000000000001E-2</v>
      </c>
      <c r="X514" s="33">
        <f>IF(Table2[[#This Row],[DiscountPct]]&gt;0.2,1,0)</f>
        <v>0</v>
      </c>
      <c r="Y514" s="33">
        <v>5</v>
      </c>
      <c r="Z514" s="30">
        <f>Table2[[#This Row],[UnitPrice]]*Y514*(1-V514)</f>
        <v>5189.8836000000001</v>
      </c>
      <c r="AA514" s="31">
        <f>T514*Y514</f>
        <v>4020.85</v>
      </c>
      <c r="AB514" s="31">
        <f t="shared" si="45"/>
        <v>1169.0336000000002</v>
      </c>
      <c r="AC514" s="31">
        <f t="shared" si="46"/>
        <v>0.2252523736755869</v>
      </c>
      <c r="AD514" s="31" t="e">
        <f>_xlfn.PERCENTILE.INC(S:S, 0.33)</f>
        <v>#NUM!</v>
      </c>
      <c r="AE514" s="31" t="e">
        <f>_xlfn.PERCENTILE.INC(S:S, 0.66)</f>
        <v>#NUM!</v>
      </c>
      <c r="AF514" s="30" t="e">
        <f t="shared" si="47"/>
        <v>#NUM!</v>
      </c>
    </row>
    <row r="515" spans="1:32" x14ac:dyDescent="0.3">
      <c r="A515" s="2" t="s">
        <v>528</v>
      </c>
      <c r="B515" s="4">
        <v>45661</v>
      </c>
      <c r="C515" s="46">
        <f>EOMONTH(Table2[[#This Row],[OrderDate]],-1)+1</f>
        <v>45658</v>
      </c>
      <c r="D515" s="45">
        <f>EOMONTH(_xlfn.MINIFS(B515:B1145,M515:M1145,Table2[[#This Row],[Country]]), -1) + 1</f>
        <v>45047</v>
      </c>
      <c r="E515" s="46"/>
      <c r="F515" s="4" t="str">
        <f>"Q"&amp;ROUNDUP(MONTH(B515)/3,0)&amp;"-"&amp;YEAR(B515)</f>
        <v>Q1-2025</v>
      </c>
      <c r="G515" s="4">
        <v>45662</v>
      </c>
      <c r="H515" s="4">
        <f>IF(G515&lt;B515, B515+3, G515)</f>
        <v>45662</v>
      </c>
      <c r="I515" s="10">
        <f>H515-B515</f>
        <v>1</v>
      </c>
      <c r="J515" s="10">
        <f t="shared" si="48"/>
        <v>1</v>
      </c>
      <c r="K515" s="10">
        <f t="shared" si="49"/>
        <v>1</v>
      </c>
      <c r="L515" s="6" t="s">
        <v>647</v>
      </c>
      <c r="M515" s="6" t="s">
        <v>654</v>
      </c>
      <c r="N515" s="6" t="s">
        <v>680</v>
      </c>
      <c r="O515" s="6" t="s">
        <v>702</v>
      </c>
      <c r="P515" s="6" t="s">
        <v>707</v>
      </c>
      <c r="Q515" s="6" t="s">
        <v>714</v>
      </c>
      <c r="R515" s="6" t="s">
        <v>727</v>
      </c>
      <c r="S515" s="6" t="s">
        <v>1247</v>
      </c>
      <c r="T515" s="8">
        <v>1428.33</v>
      </c>
      <c r="U515" s="8">
        <v>3028.05</v>
      </c>
      <c r="V515" s="8">
        <f t="shared" ref="V515:V578" si="50">IF(W515&gt;0.3,0.3,W515)</f>
        <v>0</v>
      </c>
      <c r="W515" s="8">
        <v>0</v>
      </c>
      <c r="X515" s="10">
        <f>IF(Table2[[#This Row],[DiscountPct]]&gt;0.2,1,0)</f>
        <v>0</v>
      </c>
      <c r="Y515" s="10">
        <v>11</v>
      </c>
      <c r="Z515" s="30">
        <f>Table2[[#This Row],[UnitPrice]]*Y515*(1-V515)</f>
        <v>33308.550000000003</v>
      </c>
      <c r="AA515" s="2">
        <f>T515*Y515</f>
        <v>15711.63</v>
      </c>
      <c r="AB515" s="2">
        <f t="shared" ref="AB515:AB578" si="51">Z515-AA515</f>
        <v>17596.920000000006</v>
      </c>
      <c r="AC515" s="2">
        <f t="shared" ref="AC515:AC578" si="52">IF(Z515=0,0,AB515/Z515)</f>
        <v>0.52830039134096207</v>
      </c>
      <c r="AD515" s="2" t="e">
        <f>_xlfn.PERCENTILE.INC(S:S, 0.33)</f>
        <v>#NUM!</v>
      </c>
      <c r="AE515" s="2" t="e">
        <f>_xlfn.PERCENTILE.INC(S:S, 0.66)</f>
        <v>#NUM!</v>
      </c>
      <c r="AF515" s="30" t="e">
        <f t="shared" ref="AF515:AF578" si="53">IF(Z515="","",
   IF(Z515&lt;=AD515,"Low",
      IF(Z515&lt;=AE515,"Medium","High")
   )
)</f>
        <v>#NUM!</v>
      </c>
    </row>
    <row r="516" spans="1:32" x14ac:dyDescent="0.3">
      <c r="A516" s="31" t="s">
        <v>529</v>
      </c>
      <c r="B516" s="32">
        <v>45874</v>
      </c>
      <c r="C516" s="47">
        <f>EOMONTH(Table2[[#This Row],[OrderDate]],-1)+1</f>
        <v>45870</v>
      </c>
      <c r="D516" s="45">
        <f>EOMONTH(_xlfn.MINIFS(B516:B1146,M516:M1146,Table2[[#This Row],[Country]]), -1) + 1</f>
        <v>45047</v>
      </c>
      <c r="E516" s="47"/>
      <c r="F516" s="32" t="str">
        <f>"Q"&amp;ROUNDUP(MONTH(B516)/3,0)&amp;"-"&amp;YEAR(B516)</f>
        <v>Q3-2025</v>
      </c>
      <c r="G516" s="32">
        <v>45897</v>
      </c>
      <c r="H516" s="32">
        <f>IF(G516&lt;B516, B516+3, G516)</f>
        <v>45897</v>
      </c>
      <c r="I516" s="33">
        <f>H516-B516</f>
        <v>23</v>
      </c>
      <c r="J516" s="33">
        <f t="shared" si="48"/>
        <v>0</v>
      </c>
      <c r="K516" s="33">
        <f t="shared" si="49"/>
        <v>0</v>
      </c>
      <c r="L516" s="34" t="s">
        <v>647</v>
      </c>
      <c r="M516" s="34" t="s">
        <v>654</v>
      </c>
      <c r="N516" s="34" t="s">
        <v>691</v>
      </c>
      <c r="O516" s="34" t="s">
        <v>703</v>
      </c>
      <c r="P516" s="34" t="s">
        <v>710</v>
      </c>
      <c r="Q516" s="34" t="s">
        <v>725</v>
      </c>
      <c r="R516" s="34" t="s">
        <v>731</v>
      </c>
      <c r="S516" s="34" t="s">
        <v>1248</v>
      </c>
      <c r="T516" s="35">
        <v>638.54</v>
      </c>
      <c r="U516" s="35">
        <v>987.24</v>
      </c>
      <c r="V516" s="35">
        <f t="shared" si="50"/>
        <v>0</v>
      </c>
      <c r="W516" s="35">
        <v>0</v>
      </c>
      <c r="X516" s="33">
        <f>IF(Table2[[#This Row],[DiscountPct]]&gt;0.2,1,0)</f>
        <v>0</v>
      </c>
      <c r="Y516" s="33">
        <v>11</v>
      </c>
      <c r="Z516" s="30">
        <f>Table2[[#This Row],[UnitPrice]]*Y516*(1-V516)</f>
        <v>10859.64</v>
      </c>
      <c r="AA516" s="31">
        <f>T516*Y516</f>
        <v>7023.94</v>
      </c>
      <c r="AB516" s="31">
        <f t="shared" si="51"/>
        <v>3835.7</v>
      </c>
      <c r="AC516" s="31">
        <f t="shared" si="52"/>
        <v>0.35320692030306716</v>
      </c>
      <c r="AD516" s="31" t="e">
        <f>_xlfn.PERCENTILE.INC(S:S, 0.33)</f>
        <v>#NUM!</v>
      </c>
      <c r="AE516" s="31" t="e">
        <f>_xlfn.PERCENTILE.INC(S:S, 0.66)</f>
        <v>#NUM!</v>
      </c>
      <c r="AF516" s="30" t="e">
        <f t="shared" si="53"/>
        <v>#NUM!</v>
      </c>
    </row>
    <row r="517" spans="1:32" x14ac:dyDescent="0.3">
      <c r="A517" s="2" t="s">
        <v>530</v>
      </c>
      <c r="B517" s="4">
        <v>45199</v>
      </c>
      <c r="C517" s="46">
        <f>EOMONTH(Table2[[#This Row],[OrderDate]],-1)+1</f>
        <v>45170</v>
      </c>
      <c r="D517" s="45">
        <f>EOMONTH(_xlfn.MINIFS(B517:B1147,M517:M1147,Table2[[#This Row],[Country]]), -1) + 1</f>
        <v>44986</v>
      </c>
      <c r="E517" s="46"/>
      <c r="F517" s="4" t="str">
        <f>"Q"&amp;ROUNDUP(MONTH(B517)/3,0)&amp;"-"&amp;YEAR(B517)</f>
        <v>Q3-2023</v>
      </c>
      <c r="G517" s="4">
        <v>45229</v>
      </c>
      <c r="H517" s="4">
        <f>IF(G517&lt;B517, B517+3, G517)</f>
        <v>45229</v>
      </c>
      <c r="I517" s="10">
        <f>H517-B517</f>
        <v>30</v>
      </c>
      <c r="J517" s="10">
        <f t="shared" si="48"/>
        <v>0</v>
      </c>
      <c r="K517" s="10">
        <f t="shared" si="49"/>
        <v>0</v>
      </c>
      <c r="L517" s="6" t="s">
        <v>647</v>
      </c>
      <c r="M517" s="6" t="s">
        <v>652</v>
      </c>
      <c r="N517" s="6" t="s">
        <v>689</v>
      </c>
      <c r="O517" s="6" t="s">
        <v>706</v>
      </c>
      <c r="P517" s="6" t="s">
        <v>708</v>
      </c>
      <c r="Q517" s="6" t="s">
        <v>726</v>
      </c>
      <c r="R517" s="6" t="s">
        <v>728</v>
      </c>
      <c r="S517" s="6" t="s">
        <v>1249</v>
      </c>
      <c r="T517" s="8">
        <v>649.13</v>
      </c>
      <c r="U517" s="8">
        <v>975.43</v>
      </c>
      <c r="V517" s="8">
        <f t="shared" si="50"/>
        <v>0.157</v>
      </c>
      <c r="W517" s="8">
        <v>0.157</v>
      </c>
      <c r="X517" s="10">
        <f>IF(Table2[[#This Row],[DiscountPct]]&gt;0.2,1,0)</f>
        <v>0</v>
      </c>
      <c r="Y517" s="10">
        <v>27</v>
      </c>
      <c r="Z517" s="30">
        <f>Table2[[#This Row],[UnitPrice]]*Y517*(1-V517)</f>
        <v>22201.762229999997</v>
      </c>
      <c r="AA517" s="2">
        <f>T517*Y517</f>
        <v>17526.509999999998</v>
      </c>
      <c r="AB517" s="2">
        <f t="shared" si="51"/>
        <v>4675.2522299999982</v>
      </c>
      <c r="AC517" s="2">
        <f t="shared" si="52"/>
        <v>0.21058023149543473</v>
      </c>
      <c r="AD517" s="2" t="e">
        <f>_xlfn.PERCENTILE.INC(S:S, 0.33)</f>
        <v>#NUM!</v>
      </c>
      <c r="AE517" s="2" t="e">
        <f>_xlfn.PERCENTILE.INC(S:S, 0.66)</f>
        <v>#NUM!</v>
      </c>
      <c r="AF517" s="30" t="e">
        <f t="shared" si="53"/>
        <v>#NUM!</v>
      </c>
    </row>
    <row r="518" spans="1:32" x14ac:dyDescent="0.3">
      <c r="A518" s="31" t="s">
        <v>531</v>
      </c>
      <c r="B518" s="32">
        <v>45794</v>
      </c>
      <c r="C518" s="47">
        <f>EOMONTH(Table2[[#This Row],[OrderDate]],-1)+1</f>
        <v>45778</v>
      </c>
      <c r="D518" s="45">
        <f>EOMONTH(_xlfn.MINIFS(B518:B1148,M518:M1148,Table2[[#This Row],[Country]]), -1) + 1</f>
        <v>44958</v>
      </c>
      <c r="E518" s="47"/>
      <c r="F518" s="32" t="str">
        <f>"Q"&amp;ROUNDUP(MONTH(B518)/3,0)&amp;"-"&amp;YEAR(B518)</f>
        <v>Q2-2025</v>
      </c>
      <c r="G518" s="32">
        <v>45807</v>
      </c>
      <c r="H518" s="32">
        <f>IF(G518&lt;B518, B518+3, G518)</f>
        <v>45807</v>
      </c>
      <c r="I518" s="33">
        <f>H518-B518</f>
        <v>13</v>
      </c>
      <c r="J518" s="33">
        <f t="shared" si="48"/>
        <v>0</v>
      </c>
      <c r="K518" s="33">
        <f t="shared" si="49"/>
        <v>0</v>
      </c>
      <c r="L518" s="34" t="s">
        <v>646</v>
      </c>
      <c r="M518" s="34" t="s">
        <v>651</v>
      </c>
      <c r="N518" s="34" t="s">
        <v>665</v>
      </c>
      <c r="O518" s="34" t="s">
        <v>704</v>
      </c>
      <c r="P518" s="34" t="s">
        <v>710</v>
      </c>
      <c r="Q518" s="34" t="s">
        <v>721</v>
      </c>
      <c r="R518" s="34" t="s">
        <v>733</v>
      </c>
      <c r="S518" s="34" t="s">
        <v>1250</v>
      </c>
      <c r="T518" s="35">
        <v>66.400000000000006</v>
      </c>
      <c r="U518" s="35">
        <v>141.43</v>
      </c>
      <c r="V518" s="35">
        <f t="shared" si="50"/>
        <v>0.107</v>
      </c>
      <c r="W518" s="35">
        <v>0.107</v>
      </c>
      <c r="X518" s="33">
        <f>IF(Table2[[#This Row],[DiscountPct]]&gt;0.2,1,0)</f>
        <v>0</v>
      </c>
      <c r="Y518" s="33">
        <v>8</v>
      </c>
      <c r="Z518" s="30">
        <f>Table2[[#This Row],[UnitPrice]]*Y518*(1-V518)</f>
        <v>1010.3759200000001</v>
      </c>
      <c r="AA518" s="31">
        <f>T518*Y518</f>
        <v>531.20000000000005</v>
      </c>
      <c r="AB518" s="31">
        <f t="shared" si="51"/>
        <v>479.17592000000002</v>
      </c>
      <c r="AC518" s="31">
        <f t="shared" si="52"/>
        <v>0.47425508715607551</v>
      </c>
      <c r="AD518" s="31" t="e">
        <f>_xlfn.PERCENTILE.INC(S:S, 0.33)</f>
        <v>#NUM!</v>
      </c>
      <c r="AE518" s="31" t="e">
        <f>_xlfn.PERCENTILE.INC(S:S, 0.66)</f>
        <v>#NUM!</v>
      </c>
      <c r="AF518" s="30" t="e">
        <f t="shared" si="53"/>
        <v>#NUM!</v>
      </c>
    </row>
    <row r="519" spans="1:32" x14ac:dyDescent="0.3">
      <c r="A519" s="2" t="s">
        <v>532</v>
      </c>
      <c r="B519" s="4">
        <v>45413</v>
      </c>
      <c r="C519" s="46">
        <f>EOMONTH(Table2[[#This Row],[OrderDate]],-1)+1</f>
        <v>45413</v>
      </c>
      <c r="D519" s="45">
        <f>EOMONTH(_xlfn.MINIFS(B519:B1149,M519:M1149,Table2[[#This Row],[Country]]), -1) + 1</f>
        <v>44927</v>
      </c>
      <c r="E519" s="46"/>
      <c r="F519" s="4" t="str">
        <f>"Q"&amp;ROUNDUP(MONTH(B519)/3,0)&amp;"-"&amp;YEAR(B519)</f>
        <v>Q2-2024</v>
      </c>
      <c r="G519" s="4">
        <v>45438</v>
      </c>
      <c r="H519" s="4">
        <f>IF(G519&lt;B519, B519+3, G519)</f>
        <v>45438</v>
      </c>
      <c r="I519" s="10">
        <f>H519-B519</f>
        <v>25</v>
      </c>
      <c r="J519" s="10">
        <f t="shared" si="48"/>
        <v>0</v>
      </c>
      <c r="K519" s="10">
        <f t="shared" si="49"/>
        <v>0</v>
      </c>
      <c r="L519" s="6" t="s">
        <v>649</v>
      </c>
      <c r="M519" s="6" t="s">
        <v>656</v>
      </c>
      <c r="N519" s="6" t="s">
        <v>671</v>
      </c>
      <c r="O519" s="6" t="s">
        <v>703</v>
      </c>
      <c r="P519" s="6" t="s">
        <v>707</v>
      </c>
      <c r="Q519" s="6" t="s">
        <v>717</v>
      </c>
      <c r="R519" s="6" t="s">
        <v>729</v>
      </c>
      <c r="S519" s="6" t="s">
        <v>1251</v>
      </c>
      <c r="T519" s="8">
        <v>930.71</v>
      </c>
      <c r="U519" s="8">
        <v>1625.42</v>
      </c>
      <c r="V519" s="8">
        <f t="shared" si="50"/>
        <v>0.13800000000000001</v>
      </c>
      <c r="W519" s="8">
        <v>0.13800000000000001</v>
      </c>
      <c r="X519" s="10">
        <f>IF(Table2[[#This Row],[DiscountPct]]&gt;0.2,1,0)</f>
        <v>0</v>
      </c>
      <c r="Y519" s="10">
        <v>7</v>
      </c>
      <c r="Z519" s="30">
        <f>Table2[[#This Row],[UnitPrice]]*Y519*(1-V519)</f>
        <v>9807.7842799999999</v>
      </c>
      <c r="AA519" s="2">
        <f>T519*Y519</f>
        <v>6514.97</v>
      </c>
      <c r="AB519" s="2">
        <f t="shared" si="51"/>
        <v>3292.8142799999996</v>
      </c>
      <c r="AC519" s="2">
        <f t="shared" si="52"/>
        <v>0.33573477821231196</v>
      </c>
      <c r="AD519" s="2" t="e">
        <f>_xlfn.PERCENTILE.INC(S:S, 0.33)</f>
        <v>#NUM!</v>
      </c>
      <c r="AE519" s="2" t="e">
        <f>_xlfn.PERCENTILE.INC(S:S, 0.66)</f>
        <v>#NUM!</v>
      </c>
      <c r="AF519" s="30" t="e">
        <f t="shared" si="53"/>
        <v>#NUM!</v>
      </c>
    </row>
    <row r="520" spans="1:32" x14ac:dyDescent="0.3">
      <c r="A520" s="31" t="s">
        <v>533</v>
      </c>
      <c r="B520" s="32">
        <v>45047</v>
      </c>
      <c r="C520" s="47">
        <f>EOMONTH(Table2[[#This Row],[OrderDate]],-1)+1</f>
        <v>45047</v>
      </c>
      <c r="D520" s="45">
        <f>EOMONTH(_xlfn.MINIFS(B520:B1150,M520:M1150,Table2[[#This Row],[Country]]), -1) + 1</f>
        <v>44958</v>
      </c>
      <c r="E520" s="47"/>
      <c r="F520" s="32" t="str">
        <f>"Q"&amp;ROUNDUP(MONTH(B520)/3,0)&amp;"-"&amp;YEAR(B520)</f>
        <v>Q2-2023</v>
      </c>
      <c r="G520" s="32">
        <v>45064</v>
      </c>
      <c r="H520" s="32">
        <f>IF(G520&lt;B520, B520+3, G520)</f>
        <v>45064</v>
      </c>
      <c r="I520" s="33">
        <f>H520-B520</f>
        <v>17</v>
      </c>
      <c r="J520" s="33">
        <f t="shared" si="48"/>
        <v>0</v>
      </c>
      <c r="K520" s="33">
        <f t="shared" si="49"/>
        <v>0</v>
      </c>
      <c r="L520" s="34" t="s">
        <v>646</v>
      </c>
      <c r="M520" s="34" t="s">
        <v>651</v>
      </c>
      <c r="N520" s="34" t="s">
        <v>663</v>
      </c>
      <c r="O520" s="34" t="s">
        <v>701</v>
      </c>
      <c r="P520" s="34" t="s">
        <v>711</v>
      </c>
      <c r="Q520" s="34" t="s">
        <v>721</v>
      </c>
      <c r="R520" s="34" t="s">
        <v>727</v>
      </c>
      <c r="S520" s="34" t="s">
        <v>1252</v>
      </c>
      <c r="T520" s="35">
        <v>327.97</v>
      </c>
      <c r="U520" s="35">
        <v>299.94</v>
      </c>
      <c r="V520" s="35">
        <f t="shared" si="50"/>
        <v>4.9000000000000002E-2</v>
      </c>
      <c r="W520" s="35">
        <v>4.9000000000000002E-2</v>
      </c>
      <c r="X520" s="33">
        <f>IF(Table2[[#This Row],[DiscountPct]]&gt;0.2,1,0)</f>
        <v>0</v>
      </c>
      <c r="Y520" s="33">
        <v>3</v>
      </c>
      <c r="Z520" s="30">
        <f>Table2[[#This Row],[UnitPrice]]*Y520*(1-V520)</f>
        <v>855.72881999999993</v>
      </c>
      <c r="AA520" s="31">
        <f>T520*Y520</f>
        <v>983.91000000000008</v>
      </c>
      <c r="AB520" s="31">
        <f t="shared" si="51"/>
        <v>-128.18118000000015</v>
      </c>
      <c r="AC520" s="31">
        <f t="shared" si="52"/>
        <v>-0.14979182306843442</v>
      </c>
      <c r="AD520" s="31" t="e">
        <f>_xlfn.PERCENTILE.INC(S:S, 0.33)</f>
        <v>#NUM!</v>
      </c>
      <c r="AE520" s="31" t="e">
        <f>_xlfn.PERCENTILE.INC(S:S, 0.66)</f>
        <v>#NUM!</v>
      </c>
      <c r="AF520" s="30" t="e">
        <f t="shared" si="53"/>
        <v>#NUM!</v>
      </c>
    </row>
    <row r="521" spans="1:32" x14ac:dyDescent="0.3">
      <c r="A521" s="2" t="s">
        <v>534</v>
      </c>
      <c r="B521" s="4">
        <v>45482</v>
      </c>
      <c r="C521" s="46">
        <f>EOMONTH(Table2[[#This Row],[OrderDate]],-1)+1</f>
        <v>45474</v>
      </c>
      <c r="D521" s="45">
        <f>EOMONTH(_xlfn.MINIFS(B521:B1151,M521:M1151,Table2[[#This Row],[Country]]), -1) + 1</f>
        <v>45017</v>
      </c>
      <c r="E521" s="46"/>
      <c r="F521" s="4" t="str">
        <f>"Q"&amp;ROUNDUP(MONTH(B521)/3,0)&amp;"-"&amp;YEAR(B521)</f>
        <v>Q3-2024</v>
      </c>
      <c r="G521" s="4">
        <v>45512</v>
      </c>
      <c r="H521" s="4">
        <f>IF(G521&lt;B521, B521+3, G521)</f>
        <v>45512</v>
      </c>
      <c r="I521" s="10">
        <f>H521-B521</f>
        <v>30</v>
      </c>
      <c r="J521" s="10">
        <f t="shared" si="48"/>
        <v>0</v>
      </c>
      <c r="K521" s="10">
        <f t="shared" si="49"/>
        <v>0</v>
      </c>
      <c r="L521" s="6" t="s">
        <v>649</v>
      </c>
      <c r="M521" s="6" t="s">
        <v>657</v>
      </c>
      <c r="N521" s="6" t="s">
        <v>673</v>
      </c>
      <c r="O521" s="6" t="s">
        <v>701</v>
      </c>
      <c r="P521" s="6" t="s">
        <v>711</v>
      </c>
      <c r="Q521" s="6" t="s">
        <v>713</v>
      </c>
      <c r="R521" s="6" t="s">
        <v>727</v>
      </c>
      <c r="S521" s="6" t="s">
        <v>1253</v>
      </c>
      <c r="T521" s="8">
        <v>1062.3800000000001</v>
      </c>
      <c r="U521" s="8">
        <v>1503.96</v>
      </c>
      <c r="V521" s="8">
        <f t="shared" si="50"/>
        <v>0.18</v>
      </c>
      <c r="W521" s="8">
        <v>0.18</v>
      </c>
      <c r="X521" s="10">
        <f>IF(Table2[[#This Row],[DiscountPct]]&gt;0.2,1,0)</f>
        <v>0</v>
      </c>
      <c r="Y521" s="10">
        <v>6</v>
      </c>
      <c r="Z521" s="30">
        <f>Table2[[#This Row],[UnitPrice]]*Y521*(1-V521)</f>
        <v>7399.4832000000006</v>
      </c>
      <c r="AA521" s="2">
        <f>T521*Y521</f>
        <v>6374.2800000000007</v>
      </c>
      <c r="AB521" s="2">
        <f t="shared" si="51"/>
        <v>1025.2031999999999</v>
      </c>
      <c r="AC521" s="2">
        <f t="shared" si="52"/>
        <v>0.13855064905073369</v>
      </c>
      <c r="AD521" s="2" t="e">
        <f>_xlfn.PERCENTILE.INC(S:S, 0.33)</f>
        <v>#NUM!</v>
      </c>
      <c r="AE521" s="2" t="e">
        <f>_xlfn.PERCENTILE.INC(S:S, 0.66)</f>
        <v>#NUM!</v>
      </c>
      <c r="AF521" s="30" t="e">
        <f t="shared" si="53"/>
        <v>#NUM!</v>
      </c>
    </row>
    <row r="522" spans="1:32" x14ac:dyDescent="0.3">
      <c r="A522" s="31" t="s">
        <v>535</v>
      </c>
      <c r="B522" s="32">
        <v>45056</v>
      </c>
      <c r="C522" s="47">
        <f>EOMONTH(Table2[[#This Row],[OrderDate]],-1)+1</f>
        <v>45047</v>
      </c>
      <c r="D522" s="45">
        <f>EOMONTH(_xlfn.MINIFS(B522:B1152,M522:M1152,Table2[[#This Row],[Country]]), -1) + 1</f>
        <v>45047</v>
      </c>
      <c r="E522" s="47"/>
      <c r="F522" s="32" t="str">
        <f>"Q"&amp;ROUNDUP(MONTH(B522)/3,0)&amp;"-"&amp;YEAR(B522)</f>
        <v>Q2-2023</v>
      </c>
      <c r="G522" s="32">
        <v>45073</v>
      </c>
      <c r="H522" s="32">
        <f>IF(G522&lt;B522, B522+3, G522)</f>
        <v>45073</v>
      </c>
      <c r="I522" s="33">
        <f>H522-B522</f>
        <v>17</v>
      </c>
      <c r="J522" s="33">
        <f t="shared" si="48"/>
        <v>0</v>
      </c>
      <c r="K522" s="33">
        <f t="shared" si="49"/>
        <v>0</v>
      </c>
      <c r="L522" s="34" t="s">
        <v>647</v>
      </c>
      <c r="M522" s="34" t="s">
        <v>654</v>
      </c>
      <c r="N522" s="34" t="s">
        <v>691</v>
      </c>
      <c r="O522" s="34" t="s">
        <v>704</v>
      </c>
      <c r="P522" s="34" t="s">
        <v>707</v>
      </c>
      <c r="Q522" s="34" t="s">
        <v>724</v>
      </c>
      <c r="R522" s="34" t="s">
        <v>731</v>
      </c>
      <c r="S522" s="34" t="s">
        <v>1254</v>
      </c>
      <c r="T522" s="35">
        <v>1286.1600000000001</v>
      </c>
      <c r="U522" s="35">
        <v>3101.11</v>
      </c>
      <c r="V522" s="35">
        <f t="shared" si="50"/>
        <v>0.1</v>
      </c>
      <c r="W522" s="35">
        <v>0.1</v>
      </c>
      <c r="X522" s="33">
        <f>IF(Table2[[#This Row],[DiscountPct]]&gt;0.2,1,0)</f>
        <v>0</v>
      </c>
      <c r="Y522" s="33">
        <v>23</v>
      </c>
      <c r="Z522" s="30">
        <f>Table2[[#This Row],[UnitPrice]]*Y522*(1-V522)</f>
        <v>64192.976999999999</v>
      </c>
      <c r="AA522" s="31">
        <f>T522*Y522</f>
        <v>29581.68</v>
      </c>
      <c r="AB522" s="31">
        <f t="shared" si="51"/>
        <v>34611.296999999999</v>
      </c>
      <c r="AC522" s="31">
        <f t="shared" si="52"/>
        <v>0.53917575749758417</v>
      </c>
      <c r="AD522" s="31" t="e">
        <f>_xlfn.PERCENTILE.INC(S:S, 0.33)</f>
        <v>#NUM!</v>
      </c>
      <c r="AE522" s="31" t="e">
        <f>_xlfn.PERCENTILE.INC(S:S, 0.66)</f>
        <v>#NUM!</v>
      </c>
      <c r="AF522" s="30" t="e">
        <f t="shared" si="53"/>
        <v>#NUM!</v>
      </c>
    </row>
    <row r="523" spans="1:32" x14ac:dyDescent="0.3">
      <c r="A523" s="2" t="s">
        <v>536</v>
      </c>
      <c r="B523" s="4">
        <v>45482</v>
      </c>
      <c r="C523" s="46">
        <f>EOMONTH(Table2[[#This Row],[OrderDate]],-1)+1</f>
        <v>45474</v>
      </c>
      <c r="D523" s="45">
        <f>EOMONTH(_xlfn.MINIFS(B523:B1153,M523:M1153,Table2[[#This Row],[Country]]), -1) + 1</f>
        <v>44927</v>
      </c>
      <c r="E523" s="46"/>
      <c r="F523" s="4" t="str">
        <f>"Q"&amp;ROUNDUP(MONTH(B523)/3,0)&amp;"-"&amp;YEAR(B523)</f>
        <v>Q3-2024</v>
      </c>
      <c r="G523" s="4">
        <v>45485</v>
      </c>
      <c r="H523" s="4">
        <f>IF(G523&lt;B523, B523+3, G523)</f>
        <v>45485</v>
      </c>
      <c r="I523" s="10">
        <f>H523-B523</f>
        <v>3</v>
      </c>
      <c r="J523" s="10">
        <f t="shared" si="48"/>
        <v>1</v>
      </c>
      <c r="K523" s="10">
        <f t="shared" si="49"/>
        <v>1</v>
      </c>
      <c r="L523" s="6" t="s">
        <v>647</v>
      </c>
      <c r="M523" s="6" t="s">
        <v>659</v>
      </c>
      <c r="N523" s="6" t="s">
        <v>685</v>
      </c>
      <c r="O523" s="6" t="s">
        <v>705</v>
      </c>
      <c r="P523" s="6" t="s">
        <v>707</v>
      </c>
      <c r="Q523" s="6" t="s">
        <v>726</v>
      </c>
      <c r="R523" s="6" t="s">
        <v>733</v>
      </c>
      <c r="S523" s="6" t="s">
        <v>1255</v>
      </c>
      <c r="T523" s="8">
        <v>748.39</v>
      </c>
      <c r="U523" s="8">
        <v>979.42</v>
      </c>
      <c r="V523" s="8">
        <f t="shared" si="50"/>
        <v>0</v>
      </c>
      <c r="W523" s="8">
        <v>0</v>
      </c>
      <c r="X523" s="10">
        <f>IF(Table2[[#This Row],[DiscountPct]]&gt;0.2,1,0)</f>
        <v>0</v>
      </c>
      <c r="Y523" s="10">
        <v>23</v>
      </c>
      <c r="Z523" s="30">
        <f>Table2[[#This Row],[UnitPrice]]*Y523*(1-V523)</f>
        <v>22526.66</v>
      </c>
      <c r="AA523" s="2">
        <f>T523*Y523</f>
        <v>17212.97</v>
      </c>
      <c r="AB523" s="2">
        <f t="shared" si="51"/>
        <v>5313.6899999999987</v>
      </c>
      <c r="AC523" s="2">
        <f t="shared" si="52"/>
        <v>0.23588450307324738</v>
      </c>
      <c r="AD523" s="2" t="e">
        <f>_xlfn.PERCENTILE.INC(S:S, 0.33)</f>
        <v>#NUM!</v>
      </c>
      <c r="AE523" s="2" t="e">
        <f>_xlfn.PERCENTILE.INC(S:S, 0.66)</f>
        <v>#NUM!</v>
      </c>
      <c r="AF523" s="30" t="e">
        <f t="shared" si="53"/>
        <v>#NUM!</v>
      </c>
    </row>
    <row r="524" spans="1:32" x14ac:dyDescent="0.3">
      <c r="A524" s="31" t="s">
        <v>537</v>
      </c>
      <c r="B524" s="32">
        <v>45406</v>
      </c>
      <c r="C524" s="47">
        <f>EOMONTH(Table2[[#This Row],[OrderDate]],-1)+1</f>
        <v>45383</v>
      </c>
      <c r="D524" s="45">
        <f>EOMONTH(_xlfn.MINIFS(B524:B1154,M524:M1154,Table2[[#This Row],[Country]]), -1) + 1</f>
        <v>45108</v>
      </c>
      <c r="E524" s="47"/>
      <c r="F524" s="32" t="str">
        <f>"Q"&amp;ROUNDUP(MONTH(B524)/3,0)&amp;"-"&amp;YEAR(B524)</f>
        <v>Q2-2024</v>
      </c>
      <c r="G524" s="32">
        <v>45422</v>
      </c>
      <c r="H524" s="32">
        <f>IF(G524&lt;B524, B524+3, G524)</f>
        <v>45422</v>
      </c>
      <c r="I524" s="33">
        <f>H524-B524</f>
        <v>16</v>
      </c>
      <c r="J524" s="33">
        <f t="shared" si="48"/>
        <v>0</v>
      </c>
      <c r="K524" s="33">
        <f t="shared" si="49"/>
        <v>0</v>
      </c>
      <c r="L524" s="34" t="s">
        <v>646</v>
      </c>
      <c r="M524" s="34" t="s">
        <v>650</v>
      </c>
      <c r="N524" s="34" t="s">
        <v>662</v>
      </c>
      <c r="O524" s="34" t="s">
        <v>703</v>
      </c>
      <c r="P524" s="34" t="s">
        <v>708</v>
      </c>
      <c r="Q524" s="34" t="s">
        <v>725</v>
      </c>
      <c r="R524" s="34" t="s">
        <v>732</v>
      </c>
      <c r="S524" s="34" t="s">
        <v>1256</v>
      </c>
      <c r="T524" s="35">
        <v>513.30999999999995</v>
      </c>
      <c r="U524" s="35">
        <v>1186.26</v>
      </c>
      <c r="V524" s="35">
        <f t="shared" si="50"/>
        <v>9.4E-2</v>
      </c>
      <c r="W524" s="35">
        <v>9.4E-2</v>
      </c>
      <c r="X524" s="33">
        <f>IF(Table2[[#This Row],[DiscountPct]]&gt;0.2,1,0)</f>
        <v>0</v>
      </c>
      <c r="Y524" s="33">
        <v>15</v>
      </c>
      <c r="Z524" s="30">
        <f>Table2[[#This Row],[UnitPrice]]*Y524*(1-V524)</f>
        <v>16121.273400000002</v>
      </c>
      <c r="AA524" s="31">
        <f>T524*Y524</f>
        <v>7699.65</v>
      </c>
      <c r="AB524" s="31">
        <f t="shared" si="51"/>
        <v>8421.6234000000022</v>
      </c>
      <c r="AC524" s="31">
        <f t="shared" si="52"/>
        <v>0.52239194702820446</v>
      </c>
      <c r="AD524" s="31" t="e">
        <f>_xlfn.PERCENTILE.INC(S:S, 0.33)</f>
        <v>#NUM!</v>
      </c>
      <c r="AE524" s="31" t="e">
        <f>_xlfn.PERCENTILE.INC(S:S, 0.66)</f>
        <v>#NUM!</v>
      </c>
      <c r="AF524" s="30" t="e">
        <f t="shared" si="53"/>
        <v>#NUM!</v>
      </c>
    </row>
    <row r="525" spans="1:32" x14ac:dyDescent="0.3">
      <c r="A525" s="2" t="s">
        <v>538</v>
      </c>
      <c r="B525" s="4">
        <v>45304</v>
      </c>
      <c r="C525" s="46">
        <f>EOMONTH(Table2[[#This Row],[OrderDate]],-1)+1</f>
        <v>45292</v>
      </c>
      <c r="D525" s="45">
        <f>EOMONTH(_xlfn.MINIFS(B525:B1155,M525:M1155,Table2[[#This Row],[Country]]), -1) + 1</f>
        <v>44958</v>
      </c>
      <c r="E525" s="46"/>
      <c r="F525" s="4" t="str">
        <f>"Q"&amp;ROUNDUP(MONTH(B525)/3,0)&amp;"-"&amp;YEAR(B525)</f>
        <v>Q1-2024</v>
      </c>
      <c r="G525" s="4">
        <v>45306</v>
      </c>
      <c r="H525" s="4">
        <f>IF(G525&lt;B525, B525+3, G525)</f>
        <v>45306</v>
      </c>
      <c r="I525" s="10">
        <f>H525-B525</f>
        <v>2</v>
      </c>
      <c r="J525" s="10">
        <f t="shared" si="48"/>
        <v>1</v>
      </c>
      <c r="K525" s="10">
        <f t="shared" si="49"/>
        <v>1</v>
      </c>
      <c r="L525" s="6" t="s">
        <v>648</v>
      </c>
      <c r="M525" s="6" t="s">
        <v>660</v>
      </c>
      <c r="N525" s="6" t="s">
        <v>686</v>
      </c>
      <c r="O525" s="6" t="s">
        <v>703</v>
      </c>
      <c r="P525" s="6" t="s">
        <v>711</v>
      </c>
      <c r="Q525" s="6" t="s">
        <v>718</v>
      </c>
      <c r="R525" s="6" t="s">
        <v>727</v>
      </c>
      <c r="S525" s="6" t="s">
        <v>1257</v>
      </c>
      <c r="T525" s="8">
        <v>1061.3699999999999</v>
      </c>
      <c r="U525" s="8">
        <v>1938.33</v>
      </c>
      <c r="V525" s="8">
        <f t="shared" si="50"/>
        <v>0.17</v>
      </c>
      <c r="W525" s="8">
        <v>0.17</v>
      </c>
      <c r="X525" s="10">
        <f>IF(Table2[[#This Row],[DiscountPct]]&gt;0.2,1,0)</f>
        <v>0</v>
      </c>
      <c r="Y525" s="10">
        <v>4</v>
      </c>
      <c r="Z525" s="30">
        <f>Table2[[#This Row],[UnitPrice]]*Y525*(1-V525)</f>
        <v>6435.2555999999995</v>
      </c>
      <c r="AA525" s="2">
        <f>T525*Y525</f>
        <v>4245.4799999999996</v>
      </c>
      <c r="AB525" s="2">
        <f t="shared" si="51"/>
        <v>2189.7755999999999</v>
      </c>
      <c r="AC525" s="2">
        <f t="shared" si="52"/>
        <v>0.34027795259600879</v>
      </c>
      <c r="AD525" s="2" t="e">
        <f>_xlfn.PERCENTILE.INC(S:S, 0.33)</f>
        <v>#NUM!</v>
      </c>
      <c r="AE525" s="2" t="e">
        <f>_xlfn.PERCENTILE.INC(S:S, 0.66)</f>
        <v>#NUM!</v>
      </c>
      <c r="AF525" s="30" t="e">
        <f t="shared" si="53"/>
        <v>#NUM!</v>
      </c>
    </row>
    <row r="526" spans="1:32" x14ac:dyDescent="0.3">
      <c r="A526" s="31" t="s">
        <v>539</v>
      </c>
      <c r="B526" s="32">
        <v>45398</v>
      </c>
      <c r="C526" s="47">
        <f>EOMONTH(Table2[[#This Row],[OrderDate]],-1)+1</f>
        <v>45383</v>
      </c>
      <c r="D526" s="45">
        <f>EOMONTH(_xlfn.MINIFS(B526:B1156,M526:M1156,Table2[[#This Row],[Country]]), -1) + 1</f>
        <v>45108</v>
      </c>
      <c r="E526" s="47"/>
      <c r="F526" s="32" t="str">
        <f>"Q"&amp;ROUNDUP(MONTH(B526)/3,0)&amp;"-"&amp;YEAR(B526)</f>
        <v>Q2-2024</v>
      </c>
      <c r="G526" s="32">
        <v>45409</v>
      </c>
      <c r="H526" s="32">
        <f>IF(G526&lt;B526, B526+3, G526)</f>
        <v>45409</v>
      </c>
      <c r="I526" s="33">
        <f>H526-B526</f>
        <v>11</v>
      </c>
      <c r="J526" s="33">
        <f t="shared" si="48"/>
        <v>0</v>
      </c>
      <c r="K526" s="33">
        <f t="shared" si="49"/>
        <v>0</v>
      </c>
      <c r="L526" s="34" t="s">
        <v>646</v>
      </c>
      <c r="M526" s="34" t="s">
        <v>650</v>
      </c>
      <c r="N526" s="34" t="s">
        <v>678</v>
      </c>
      <c r="O526" s="34" t="s">
        <v>706</v>
      </c>
      <c r="P526" s="34" t="s">
        <v>708</v>
      </c>
      <c r="Q526" s="34" t="s">
        <v>726</v>
      </c>
      <c r="R526" s="34" t="s">
        <v>728</v>
      </c>
      <c r="S526" s="34" t="s">
        <v>1258</v>
      </c>
      <c r="T526" s="35">
        <v>401.3</v>
      </c>
      <c r="U526" s="35">
        <v>826.47</v>
      </c>
      <c r="V526" s="35">
        <f t="shared" si="50"/>
        <v>0.22500000000000001</v>
      </c>
      <c r="W526" s="35">
        <v>0.22500000000000001</v>
      </c>
      <c r="X526" s="33">
        <f>IF(Table2[[#This Row],[DiscountPct]]&gt;0.2,1,0)</f>
        <v>1</v>
      </c>
      <c r="Y526" s="33">
        <v>13</v>
      </c>
      <c r="Z526" s="30">
        <f>Table2[[#This Row],[UnitPrice]]*Y526*(1-V526)</f>
        <v>8326.6852500000005</v>
      </c>
      <c r="AA526" s="31">
        <f>T526*Y526</f>
        <v>5216.9000000000005</v>
      </c>
      <c r="AB526" s="31">
        <f t="shared" si="51"/>
        <v>3109.7852499999999</v>
      </c>
      <c r="AC526" s="31">
        <f t="shared" si="52"/>
        <v>0.37347217489696755</v>
      </c>
      <c r="AD526" s="31" t="e">
        <f>_xlfn.PERCENTILE.INC(S:S, 0.33)</f>
        <v>#NUM!</v>
      </c>
      <c r="AE526" s="31" t="e">
        <f>_xlfn.PERCENTILE.INC(S:S, 0.66)</f>
        <v>#NUM!</v>
      </c>
      <c r="AF526" s="30" t="e">
        <f t="shared" si="53"/>
        <v>#NUM!</v>
      </c>
    </row>
    <row r="527" spans="1:32" x14ac:dyDescent="0.3">
      <c r="A527" s="2" t="s">
        <v>540</v>
      </c>
      <c r="B527" s="4">
        <v>45695</v>
      </c>
      <c r="C527" s="46">
        <f>EOMONTH(Table2[[#This Row],[OrderDate]],-1)+1</f>
        <v>45689</v>
      </c>
      <c r="D527" s="45">
        <f>EOMONTH(_xlfn.MINIFS(B527:B1157,M527:M1157,Table2[[#This Row],[Country]]), -1) + 1</f>
        <v>44958</v>
      </c>
      <c r="E527" s="46"/>
      <c r="F527" s="4" t="str">
        <f>"Q"&amp;ROUNDUP(MONTH(B527)/3,0)&amp;"-"&amp;YEAR(B527)</f>
        <v>Q1-2025</v>
      </c>
      <c r="G527" s="4">
        <v>45704</v>
      </c>
      <c r="H527" s="4">
        <f>IF(G527&lt;B527, B527+3, G527)</f>
        <v>45704</v>
      </c>
      <c r="I527" s="10">
        <f>H527-B527</f>
        <v>9</v>
      </c>
      <c r="J527" s="10">
        <f t="shared" si="48"/>
        <v>0</v>
      </c>
      <c r="K527" s="10">
        <f t="shared" si="49"/>
        <v>0</v>
      </c>
      <c r="L527" s="6" t="s">
        <v>646</v>
      </c>
      <c r="M527" s="6" t="s">
        <v>651</v>
      </c>
      <c r="N527" s="6" t="s">
        <v>665</v>
      </c>
      <c r="O527" s="6" t="s">
        <v>705</v>
      </c>
      <c r="P527" s="6" t="s">
        <v>710</v>
      </c>
      <c r="Q527" s="6" t="s">
        <v>712</v>
      </c>
      <c r="R527" s="6" t="s">
        <v>728</v>
      </c>
      <c r="S527" s="6" t="s">
        <v>1259</v>
      </c>
      <c r="T527" s="8">
        <v>90.68</v>
      </c>
      <c r="U527" s="8">
        <v>118.17</v>
      </c>
      <c r="V527" s="8">
        <f t="shared" si="50"/>
        <v>0.13500000000000001</v>
      </c>
      <c r="W527" s="8">
        <v>0.13500000000000001</v>
      </c>
      <c r="X527" s="10">
        <f>IF(Table2[[#This Row],[DiscountPct]]&gt;0.2,1,0)</f>
        <v>0</v>
      </c>
      <c r="Y527" s="10">
        <v>21</v>
      </c>
      <c r="Z527" s="30">
        <f>Table2[[#This Row],[UnitPrice]]*Y527*(1-V527)</f>
        <v>2146.5580500000001</v>
      </c>
      <c r="AA527" s="2">
        <f>T527*Y527</f>
        <v>1904.2800000000002</v>
      </c>
      <c r="AB527" s="2">
        <f t="shared" si="51"/>
        <v>242.27804999999989</v>
      </c>
      <c r="AC527" s="2">
        <f t="shared" si="52"/>
        <v>0.11286815653552899</v>
      </c>
      <c r="AD527" s="2" t="e">
        <f>_xlfn.PERCENTILE.INC(S:S, 0.33)</f>
        <v>#NUM!</v>
      </c>
      <c r="AE527" s="2" t="e">
        <f>_xlfn.PERCENTILE.INC(S:S, 0.66)</f>
        <v>#NUM!</v>
      </c>
      <c r="AF527" s="30" t="e">
        <f t="shared" si="53"/>
        <v>#NUM!</v>
      </c>
    </row>
    <row r="528" spans="1:32" x14ac:dyDescent="0.3">
      <c r="A528" s="31" t="s">
        <v>541</v>
      </c>
      <c r="B528" s="32">
        <v>44938</v>
      </c>
      <c r="C528" s="47">
        <f>EOMONTH(Table2[[#This Row],[OrderDate]],-1)+1</f>
        <v>44927</v>
      </c>
      <c r="D528" s="45">
        <f>EOMONTH(_xlfn.MINIFS(B528:B1158,M528:M1158,Table2[[#This Row],[Country]]), -1) + 1</f>
        <v>44927</v>
      </c>
      <c r="E528" s="47"/>
      <c r="F528" s="32" t="str">
        <f>"Q"&amp;ROUNDUP(MONTH(B528)/3,0)&amp;"-"&amp;YEAR(B528)</f>
        <v>Q1-2023</v>
      </c>
      <c r="G528" s="32">
        <v>44952</v>
      </c>
      <c r="H528" s="32">
        <f>IF(G528&lt;B528, B528+3, G528)</f>
        <v>44952</v>
      </c>
      <c r="I528" s="33">
        <f>H528-B528</f>
        <v>14</v>
      </c>
      <c r="J528" s="33">
        <f t="shared" si="48"/>
        <v>0</v>
      </c>
      <c r="K528" s="33">
        <f t="shared" si="49"/>
        <v>0</v>
      </c>
      <c r="L528" s="34" t="s">
        <v>647</v>
      </c>
      <c r="M528" s="34" t="s">
        <v>659</v>
      </c>
      <c r="N528" s="34" t="s">
        <v>676</v>
      </c>
      <c r="O528" s="34" t="s">
        <v>703</v>
      </c>
      <c r="P528" s="34" t="s">
        <v>707</v>
      </c>
      <c r="Q528" s="34" t="s">
        <v>724</v>
      </c>
      <c r="R528" s="34" t="s">
        <v>728</v>
      </c>
      <c r="S528" s="34" t="s">
        <v>1260</v>
      </c>
      <c r="T528" s="35">
        <v>1083.0899999999999</v>
      </c>
      <c r="U528" s="35">
        <v>1425.87</v>
      </c>
      <c r="V528" s="35">
        <f t="shared" si="50"/>
        <v>0</v>
      </c>
      <c r="W528" s="35">
        <v>0</v>
      </c>
      <c r="X528" s="33">
        <f>IF(Table2[[#This Row],[DiscountPct]]&gt;0.2,1,0)</f>
        <v>0</v>
      </c>
      <c r="Y528" s="33">
        <v>8</v>
      </c>
      <c r="Z528" s="30">
        <f>Table2[[#This Row],[UnitPrice]]*Y528*(1-V528)</f>
        <v>11406.96</v>
      </c>
      <c r="AA528" s="31">
        <f>T528*Y528</f>
        <v>8664.7199999999993</v>
      </c>
      <c r="AB528" s="31">
        <f t="shared" si="51"/>
        <v>2742.24</v>
      </c>
      <c r="AC528" s="31">
        <f t="shared" si="52"/>
        <v>0.24040059752992909</v>
      </c>
      <c r="AD528" s="31" t="e">
        <f>_xlfn.PERCENTILE.INC(S:S, 0.33)</f>
        <v>#NUM!</v>
      </c>
      <c r="AE528" s="31" t="e">
        <f>_xlfn.PERCENTILE.INC(S:S, 0.66)</f>
        <v>#NUM!</v>
      </c>
      <c r="AF528" s="30" t="e">
        <f t="shared" si="53"/>
        <v>#NUM!</v>
      </c>
    </row>
    <row r="529" spans="1:32" x14ac:dyDescent="0.3">
      <c r="A529" s="2" t="s">
        <v>542</v>
      </c>
      <c r="B529" s="4">
        <v>45448</v>
      </c>
      <c r="C529" s="46">
        <f>EOMONTH(Table2[[#This Row],[OrderDate]],-1)+1</f>
        <v>45444</v>
      </c>
      <c r="D529" s="45">
        <f>EOMONTH(_xlfn.MINIFS(B529:B1159,M529:M1159,Table2[[#This Row],[Country]]), -1) + 1</f>
        <v>45108</v>
      </c>
      <c r="E529" s="46"/>
      <c r="F529" s="4" t="str">
        <f>"Q"&amp;ROUNDUP(MONTH(B529)/3,0)&amp;"-"&amp;YEAR(B529)</f>
        <v>Q2-2024</v>
      </c>
      <c r="G529" s="4">
        <v>45466</v>
      </c>
      <c r="H529" s="4">
        <f>IF(G529&lt;B529, B529+3, G529)</f>
        <v>45466</v>
      </c>
      <c r="I529" s="10">
        <f>H529-B529</f>
        <v>18</v>
      </c>
      <c r="J529" s="10">
        <f t="shared" si="48"/>
        <v>0</v>
      </c>
      <c r="K529" s="10">
        <f t="shared" si="49"/>
        <v>0</v>
      </c>
      <c r="L529" s="6" t="s">
        <v>646</v>
      </c>
      <c r="M529" s="6" t="s">
        <v>650</v>
      </c>
      <c r="N529" s="6" t="s">
        <v>664</v>
      </c>
      <c r="O529" s="6" t="s">
        <v>704</v>
      </c>
      <c r="P529" s="6" t="s">
        <v>710</v>
      </c>
      <c r="Q529" s="6" t="s">
        <v>726</v>
      </c>
      <c r="R529" s="6" t="s">
        <v>731</v>
      </c>
      <c r="S529" s="6" t="s">
        <v>1261</v>
      </c>
      <c r="T529" s="8">
        <v>1208.74</v>
      </c>
      <c r="U529" s="8">
        <v>1594.78</v>
      </c>
      <c r="V529" s="8">
        <f t="shared" si="50"/>
        <v>5.8999999999999997E-2</v>
      </c>
      <c r="W529" s="8">
        <v>5.8999999999999997E-2</v>
      </c>
      <c r="X529" s="10">
        <f>IF(Table2[[#This Row],[DiscountPct]]&gt;0.2,1,0)</f>
        <v>0</v>
      </c>
      <c r="Y529" s="10">
        <v>39</v>
      </c>
      <c r="Z529" s="30">
        <f>Table2[[#This Row],[UnitPrice]]*Y529*(1-V529)</f>
        <v>58526.83122</v>
      </c>
      <c r="AA529" s="2">
        <f>T529*Y529</f>
        <v>47140.86</v>
      </c>
      <c r="AB529" s="2">
        <f t="shared" si="51"/>
        <v>11385.971219999999</v>
      </c>
      <c r="AC529" s="2">
        <f t="shared" si="52"/>
        <v>0.1945427589817838</v>
      </c>
      <c r="AD529" s="2" t="e">
        <f>_xlfn.PERCENTILE.INC(S:S, 0.33)</f>
        <v>#NUM!</v>
      </c>
      <c r="AE529" s="2" t="e">
        <f>_xlfn.PERCENTILE.INC(S:S, 0.66)</f>
        <v>#NUM!</v>
      </c>
      <c r="AF529" s="30" t="e">
        <f t="shared" si="53"/>
        <v>#NUM!</v>
      </c>
    </row>
    <row r="530" spans="1:32" x14ac:dyDescent="0.3">
      <c r="A530" s="31" t="s">
        <v>543</v>
      </c>
      <c r="B530" s="32">
        <v>45162</v>
      </c>
      <c r="C530" s="47">
        <f>EOMONTH(Table2[[#This Row],[OrderDate]],-1)+1</f>
        <v>45139</v>
      </c>
      <c r="D530" s="45">
        <f>EOMONTH(_xlfn.MINIFS(B530:B1160,M530:M1160,Table2[[#This Row],[Country]]), -1) + 1</f>
        <v>44927</v>
      </c>
      <c r="E530" s="47"/>
      <c r="F530" s="32" t="str">
        <f>"Q"&amp;ROUNDUP(MONTH(B530)/3,0)&amp;"-"&amp;YEAR(B530)</f>
        <v>Q3-2023</v>
      </c>
      <c r="G530" s="32">
        <v>45189</v>
      </c>
      <c r="H530" s="32">
        <f>IF(G530&lt;B530, B530+3, G530)</f>
        <v>45189</v>
      </c>
      <c r="I530" s="33">
        <f>H530-B530</f>
        <v>27</v>
      </c>
      <c r="J530" s="33">
        <f t="shared" si="48"/>
        <v>0</v>
      </c>
      <c r="K530" s="33">
        <f t="shared" si="49"/>
        <v>0</v>
      </c>
      <c r="L530" s="34" t="s">
        <v>646</v>
      </c>
      <c r="M530" s="34" t="s">
        <v>661</v>
      </c>
      <c r="N530" s="34" t="s">
        <v>687</v>
      </c>
      <c r="O530" s="34" t="s">
        <v>705</v>
      </c>
      <c r="P530" s="34" t="s">
        <v>709</v>
      </c>
      <c r="Q530" s="34" t="s">
        <v>724</v>
      </c>
      <c r="R530" s="34" t="s">
        <v>728</v>
      </c>
      <c r="S530" s="34" t="s">
        <v>1262</v>
      </c>
      <c r="T530" s="35">
        <v>1399.64</v>
      </c>
      <c r="U530" s="35">
        <v>3342.11</v>
      </c>
      <c r="V530" s="35">
        <f t="shared" si="50"/>
        <v>0</v>
      </c>
      <c r="W530" s="35">
        <v>0</v>
      </c>
      <c r="X530" s="33">
        <f>IF(Table2[[#This Row],[DiscountPct]]&gt;0.2,1,0)</f>
        <v>0</v>
      </c>
      <c r="Y530" s="33">
        <v>10</v>
      </c>
      <c r="Z530" s="30">
        <f>Table2[[#This Row],[UnitPrice]]*Y530*(1-V530)</f>
        <v>33421.1</v>
      </c>
      <c r="AA530" s="31">
        <f>T530*Y530</f>
        <v>13996.400000000001</v>
      </c>
      <c r="AB530" s="31">
        <f t="shared" si="51"/>
        <v>19424.699999999997</v>
      </c>
      <c r="AC530" s="31">
        <f t="shared" si="52"/>
        <v>0.58121067229983447</v>
      </c>
      <c r="AD530" s="31" t="e">
        <f>_xlfn.PERCENTILE.INC(S:S, 0.33)</f>
        <v>#NUM!</v>
      </c>
      <c r="AE530" s="31" t="e">
        <f>_xlfn.PERCENTILE.INC(S:S, 0.66)</f>
        <v>#NUM!</v>
      </c>
      <c r="AF530" s="30" t="e">
        <f t="shared" si="53"/>
        <v>#NUM!</v>
      </c>
    </row>
    <row r="531" spans="1:32" x14ac:dyDescent="0.3">
      <c r="A531" s="2" t="s">
        <v>544</v>
      </c>
      <c r="B531" s="4">
        <v>45316</v>
      </c>
      <c r="C531" s="46">
        <f>EOMONTH(Table2[[#This Row],[OrderDate]],-1)+1</f>
        <v>45292</v>
      </c>
      <c r="D531" s="45">
        <f>EOMONTH(_xlfn.MINIFS(B531:B1161,M531:M1161,Table2[[#This Row],[Country]]), -1) + 1</f>
        <v>44986</v>
      </c>
      <c r="E531" s="46"/>
      <c r="F531" s="4" t="str">
        <f>"Q"&amp;ROUNDUP(MONTH(B531)/3,0)&amp;"-"&amp;YEAR(B531)</f>
        <v>Q1-2024</v>
      </c>
      <c r="G531" s="4">
        <v>45330</v>
      </c>
      <c r="H531" s="4">
        <f>IF(G531&lt;B531, B531+3, G531)</f>
        <v>45330</v>
      </c>
      <c r="I531" s="10">
        <f>H531-B531</f>
        <v>14</v>
      </c>
      <c r="J531" s="10">
        <f t="shared" si="48"/>
        <v>0</v>
      </c>
      <c r="K531" s="10">
        <f t="shared" si="49"/>
        <v>0</v>
      </c>
      <c r="L531" s="6" t="s">
        <v>647</v>
      </c>
      <c r="M531" s="6" t="s">
        <v>652</v>
      </c>
      <c r="N531" s="6" t="s">
        <v>666</v>
      </c>
      <c r="O531" s="6" t="s">
        <v>704</v>
      </c>
      <c r="P531" s="6" t="s">
        <v>709</v>
      </c>
      <c r="Q531" s="6" t="s">
        <v>714</v>
      </c>
      <c r="R531" s="6" t="s">
        <v>729</v>
      </c>
      <c r="S531" s="6" t="s">
        <v>1263</v>
      </c>
      <c r="T531" s="8">
        <v>937.16</v>
      </c>
      <c r="U531" s="8">
        <v>1069.77</v>
      </c>
      <c r="V531" s="8">
        <f t="shared" si="50"/>
        <v>3.7999999999999999E-2</v>
      </c>
      <c r="W531" s="8">
        <v>3.7999999999999999E-2</v>
      </c>
      <c r="X531" s="10">
        <f>IF(Table2[[#This Row],[DiscountPct]]&gt;0.2,1,0)</f>
        <v>0</v>
      </c>
      <c r="Y531" s="10">
        <v>9</v>
      </c>
      <c r="Z531" s="30">
        <f>Table2[[#This Row],[UnitPrice]]*Y531*(1-V531)</f>
        <v>9262.0686600000008</v>
      </c>
      <c r="AA531" s="2">
        <f>T531*Y531</f>
        <v>8434.44</v>
      </c>
      <c r="AB531" s="2">
        <f t="shared" si="51"/>
        <v>827.62866000000031</v>
      </c>
      <c r="AC531" s="2">
        <f t="shared" si="52"/>
        <v>8.9356783066645962E-2</v>
      </c>
      <c r="AD531" s="2" t="e">
        <f>_xlfn.PERCENTILE.INC(S:S, 0.33)</f>
        <v>#NUM!</v>
      </c>
      <c r="AE531" s="2" t="e">
        <f>_xlfn.PERCENTILE.INC(S:S, 0.66)</f>
        <v>#NUM!</v>
      </c>
      <c r="AF531" s="30" t="e">
        <f t="shared" si="53"/>
        <v>#NUM!</v>
      </c>
    </row>
    <row r="532" spans="1:32" x14ac:dyDescent="0.3">
      <c r="A532" s="31" t="s">
        <v>545</v>
      </c>
      <c r="B532" s="32">
        <v>45727</v>
      </c>
      <c r="C532" s="47">
        <f>EOMONTH(Table2[[#This Row],[OrderDate]],-1)+1</f>
        <v>45717</v>
      </c>
      <c r="D532" s="45">
        <f>EOMONTH(_xlfn.MINIFS(B532:B1162,M532:M1162,Table2[[#This Row],[Country]]), -1) + 1</f>
        <v>44927</v>
      </c>
      <c r="E532" s="47"/>
      <c r="F532" s="32" t="str">
        <f>"Q"&amp;ROUNDUP(MONTH(B532)/3,0)&amp;"-"&amp;YEAR(B532)</f>
        <v>Q1-2025</v>
      </c>
      <c r="G532" s="32">
        <v>45742</v>
      </c>
      <c r="H532" s="32">
        <f>IF(G532&lt;B532, B532+3, G532)</f>
        <v>45742</v>
      </c>
      <c r="I532" s="33">
        <f>H532-B532</f>
        <v>15</v>
      </c>
      <c r="J532" s="33">
        <f t="shared" si="48"/>
        <v>0</v>
      </c>
      <c r="K532" s="33">
        <f t="shared" si="49"/>
        <v>0</v>
      </c>
      <c r="L532" s="34" t="s">
        <v>649</v>
      </c>
      <c r="M532" s="34" t="s">
        <v>656</v>
      </c>
      <c r="N532" s="34" t="s">
        <v>671</v>
      </c>
      <c r="O532" s="34" t="s">
        <v>705</v>
      </c>
      <c r="P532" s="34" t="s">
        <v>708</v>
      </c>
      <c r="Q532" s="34" t="s">
        <v>714</v>
      </c>
      <c r="R532" s="34" t="s">
        <v>730</v>
      </c>
      <c r="S532" s="34" t="s">
        <v>1264</v>
      </c>
      <c r="T532" s="35">
        <v>116.97</v>
      </c>
      <c r="U532" s="35">
        <v>140.82</v>
      </c>
      <c r="V532" s="35">
        <f t="shared" si="50"/>
        <v>0.122</v>
      </c>
      <c r="W532" s="35">
        <v>0.122</v>
      </c>
      <c r="X532" s="33">
        <f>IF(Table2[[#This Row],[DiscountPct]]&gt;0.2,1,0)</f>
        <v>0</v>
      </c>
      <c r="Y532" s="33">
        <v>5</v>
      </c>
      <c r="Z532" s="30">
        <f>Table2[[#This Row],[UnitPrice]]*Y532*(1-V532)</f>
        <v>618.19979999999987</v>
      </c>
      <c r="AA532" s="31">
        <f>T532*Y532</f>
        <v>584.85</v>
      </c>
      <c r="AB532" s="31">
        <f t="shared" si="51"/>
        <v>33.349799999999846</v>
      </c>
      <c r="AC532" s="31">
        <f t="shared" si="52"/>
        <v>5.3946636669891926E-2</v>
      </c>
      <c r="AD532" s="31" t="e">
        <f>_xlfn.PERCENTILE.INC(S:S, 0.33)</f>
        <v>#NUM!</v>
      </c>
      <c r="AE532" s="31" t="e">
        <f>_xlfn.PERCENTILE.INC(S:S, 0.66)</f>
        <v>#NUM!</v>
      </c>
      <c r="AF532" s="30" t="e">
        <f t="shared" si="53"/>
        <v>#NUM!</v>
      </c>
    </row>
    <row r="533" spans="1:32" x14ac:dyDescent="0.3">
      <c r="A533" s="2" t="s">
        <v>546</v>
      </c>
      <c r="B533" s="4">
        <v>45769</v>
      </c>
      <c r="C533" s="46">
        <f>EOMONTH(Table2[[#This Row],[OrderDate]],-1)+1</f>
        <v>45748</v>
      </c>
      <c r="D533" s="45">
        <f>EOMONTH(_xlfn.MINIFS(B533:B1163,M533:M1163,Table2[[#This Row],[Country]]), -1) + 1</f>
        <v>45017</v>
      </c>
      <c r="E533" s="46"/>
      <c r="F533" s="4" t="str">
        <f>"Q"&amp;ROUNDUP(MONTH(B533)/3,0)&amp;"-"&amp;YEAR(B533)</f>
        <v>Q2-2025</v>
      </c>
      <c r="G533" s="4">
        <v>45789</v>
      </c>
      <c r="H533" s="4">
        <f>IF(G533&lt;B533, B533+3, G533)</f>
        <v>45789</v>
      </c>
      <c r="I533" s="10">
        <f>H533-B533</f>
        <v>20</v>
      </c>
      <c r="J533" s="10">
        <f t="shared" si="48"/>
        <v>0</v>
      </c>
      <c r="K533" s="10">
        <f t="shared" si="49"/>
        <v>0</v>
      </c>
      <c r="L533" s="6" t="s">
        <v>649</v>
      </c>
      <c r="M533" s="6" t="s">
        <v>657</v>
      </c>
      <c r="N533" s="6" t="s">
        <v>679</v>
      </c>
      <c r="O533" s="6" t="s">
        <v>706</v>
      </c>
      <c r="P533" s="6" t="s">
        <v>709</v>
      </c>
      <c r="Q533" s="6" t="s">
        <v>723</v>
      </c>
      <c r="R533" s="6" t="s">
        <v>732</v>
      </c>
      <c r="S533" s="6" t="s">
        <v>1265</v>
      </c>
      <c r="T533" s="8">
        <v>59.51</v>
      </c>
      <c r="U533" s="8">
        <v>67.040000000000006</v>
      </c>
      <c r="V533" s="8">
        <f t="shared" si="50"/>
        <v>0.114</v>
      </c>
      <c r="W533" s="8">
        <v>0.114</v>
      </c>
      <c r="X533" s="10">
        <f>IF(Table2[[#This Row],[DiscountPct]]&gt;0.2,1,0)</f>
        <v>0</v>
      </c>
      <c r="Y533" s="10">
        <v>9</v>
      </c>
      <c r="Z533" s="30">
        <f>Table2[[#This Row],[UnitPrice]]*Y533*(1-V533)</f>
        <v>534.57695999999999</v>
      </c>
      <c r="AA533" s="2">
        <f>T533*Y533</f>
        <v>535.59</v>
      </c>
      <c r="AB533" s="2">
        <f t="shared" si="51"/>
        <v>-1.0130400000000463</v>
      </c>
      <c r="AC533" s="2">
        <f t="shared" si="52"/>
        <v>-1.8950311663264469E-3</v>
      </c>
      <c r="AD533" s="2" t="e">
        <f>_xlfn.PERCENTILE.INC(S:S, 0.33)</f>
        <v>#NUM!</v>
      </c>
      <c r="AE533" s="2" t="e">
        <f>_xlfn.PERCENTILE.INC(S:S, 0.66)</f>
        <v>#NUM!</v>
      </c>
      <c r="AF533" s="30" t="e">
        <f t="shared" si="53"/>
        <v>#NUM!</v>
      </c>
    </row>
    <row r="534" spans="1:32" x14ac:dyDescent="0.3">
      <c r="A534" s="31" t="s">
        <v>547</v>
      </c>
      <c r="B534" s="32">
        <v>45155</v>
      </c>
      <c r="C534" s="47">
        <f>EOMONTH(Table2[[#This Row],[OrderDate]],-1)+1</f>
        <v>45139</v>
      </c>
      <c r="D534" s="45">
        <f>EOMONTH(_xlfn.MINIFS(B534:B1164,M534:M1164,Table2[[#This Row],[Country]]), -1) + 1</f>
        <v>44927</v>
      </c>
      <c r="E534" s="47"/>
      <c r="F534" s="32" t="str">
        <f>"Q"&amp;ROUNDUP(MONTH(B534)/3,0)&amp;"-"&amp;YEAR(B534)</f>
        <v>Q3-2023</v>
      </c>
      <c r="G534" s="32">
        <v>45172</v>
      </c>
      <c r="H534" s="32">
        <f>IF(G534&lt;B534, B534+3, G534)</f>
        <v>45172</v>
      </c>
      <c r="I534" s="33">
        <f>H534-B534</f>
        <v>17</v>
      </c>
      <c r="J534" s="33">
        <f t="shared" si="48"/>
        <v>0</v>
      </c>
      <c r="K534" s="33">
        <f t="shared" si="49"/>
        <v>0</v>
      </c>
      <c r="L534" s="34" t="s">
        <v>646</v>
      </c>
      <c r="M534" s="34" t="s">
        <v>661</v>
      </c>
      <c r="N534" s="34" t="s">
        <v>687</v>
      </c>
      <c r="O534" s="34" t="s">
        <v>706</v>
      </c>
      <c r="P534" s="34" t="s">
        <v>707</v>
      </c>
      <c r="Q534" s="34" t="s">
        <v>720</v>
      </c>
      <c r="R534" s="34" t="s">
        <v>730</v>
      </c>
      <c r="S534" s="34" t="s">
        <v>1266</v>
      </c>
      <c r="T534" s="35">
        <v>676.37</v>
      </c>
      <c r="U534" s="35">
        <v>1276.67</v>
      </c>
      <c r="V534" s="35">
        <f t="shared" si="50"/>
        <v>6.6000000000000003E-2</v>
      </c>
      <c r="W534" s="35">
        <v>6.6000000000000003E-2</v>
      </c>
      <c r="X534" s="33">
        <f>IF(Table2[[#This Row],[DiscountPct]]&gt;0.2,1,0)</f>
        <v>0</v>
      </c>
      <c r="Y534" s="33">
        <v>10</v>
      </c>
      <c r="Z534" s="30">
        <f>Table2[[#This Row],[UnitPrice]]*Y534*(1-V534)</f>
        <v>11924.0978</v>
      </c>
      <c r="AA534" s="31">
        <f>T534*Y534</f>
        <v>6763.7</v>
      </c>
      <c r="AB534" s="31">
        <f t="shared" si="51"/>
        <v>5160.3977999999997</v>
      </c>
      <c r="AC534" s="31">
        <f t="shared" si="52"/>
        <v>0.4327705027712872</v>
      </c>
      <c r="AD534" s="31" t="e">
        <f>_xlfn.PERCENTILE.INC(S:S, 0.33)</f>
        <v>#NUM!</v>
      </c>
      <c r="AE534" s="31" t="e">
        <f>_xlfn.PERCENTILE.INC(S:S, 0.66)</f>
        <v>#NUM!</v>
      </c>
      <c r="AF534" s="30" t="e">
        <f t="shared" si="53"/>
        <v>#NUM!</v>
      </c>
    </row>
    <row r="535" spans="1:32" x14ac:dyDescent="0.3">
      <c r="A535" s="2" t="s">
        <v>548</v>
      </c>
      <c r="B535" s="4">
        <v>45832</v>
      </c>
      <c r="C535" s="46">
        <f>EOMONTH(Table2[[#This Row],[OrderDate]],-1)+1</f>
        <v>45809</v>
      </c>
      <c r="D535" s="45">
        <f>EOMONTH(_xlfn.MINIFS(B535:B1165,M535:M1165,Table2[[#This Row],[Country]]), -1) + 1</f>
        <v>44927</v>
      </c>
      <c r="E535" s="46"/>
      <c r="F535" s="4" t="str">
        <f>"Q"&amp;ROUNDUP(MONTH(B535)/3,0)&amp;"-"&amp;YEAR(B535)</f>
        <v>Q2-2025</v>
      </c>
      <c r="G535" s="4">
        <v>45852</v>
      </c>
      <c r="H535" s="4">
        <f>IF(G535&lt;B535, B535+3, G535)</f>
        <v>45852</v>
      </c>
      <c r="I535" s="10">
        <f>H535-B535</f>
        <v>20</v>
      </c>
      <c r="J535" s="10">
        <f t="shared" si="48"/>
        <v>0</v>
      </c>
      <c r="K535" s="10">
        <f t="shared" si="49"/>
        <v>0</v>
      </c>
      <c r="L535" s="6" t="s">
        <v>646</v>
      </c>
      <c r="M535" s="6" t="s">
        <v>661</v>
      </c>
      <c r="N535" s="6" t="s">
        <v>682</v>
      </c>
      <c r="O535" s="6" t="s">
        <v>706</v>
      </c>
      <c r="P535" s="6" t="s">
        <v>709</v>
      </c>
      <c r="Q535" s="6" t="s">
        <v>713</v>
      </c>
      <c r="R535" s="6" t="s">
        <v>731</v>
      </c>
      <c r="S535" s="6" t="s">
        <v>1267</v>
      </c>
      <c r="T535" s="8">
        <v>1151.06</v>
      </c>
      <c r="U535" s="8">
        <v>2821.36</v>
      </c>
      <c r="V535" s="8">
        <f t="shared" si="50"/>
        <v>0.248</v>
      </c>
      <c r="W535" s="8">
        <v>0.248</v>
      </c>
      <c r="X535" s="10">
        <f>IF(Table2[[#This Row],[DiscountPct]]&gt;0.2,1,0)</f>
        <v>1</v>
      </c>
      <c r="Y535" s="10">
        <v>20</v>
      </c>
      <c r="Z535" s="30">
        <f>Table2[[#This Row],[UnitPrice]]*Y535*(1-V535)</f>
        <v>42433.254400000005</v>
      </c>
      <c r="AA535" s="2">
        <f>T535*Y535</f>
        <v>23021.199999999997</v>
      </c>
      <c r="AB535" s="2">
        <f t="shared" si="51"/>
        <v>19412.054400000008</v>
      </c>
      <c r="AC535" s="2">
        <f t="shared" si="52"/>
        <v>0.45747267501594235</v>
      </c>
      <c r="AD535" s="2" t="e">
        <f>_xlfn.PERCENTILE.INC(S:S, 0.33)</f>
        <v>#NUM!</v>
      </c>
      <c r="AE535" s="2" t="e">
        <f>_xlfn.PERCENTILE.INC(S:S, 0.66)</f>
        <v>#NUM!</v>
      </c>
      <c r="AF535" s="30" t="e">
        <f t="shared" si="53"/>
        <v>#NUM!</v>
      </c>
    </row>
    <row r="536" spans="1:32" x14ac:dyDescent="0.3">
      <c r="A536" s="31" t="s">
        <v>549</v>
      </c>
      <c r="B536" s="32">
        <v>45667</v>
      </c>
      <c r="C536" s="47">
        <f>EOMONTH(Table2[[#This Row],[OrderDate]],-1)+1</f>
        <v>45658</v>
      </c>
      <c r="D536" s="45">
        <f>EOMONTH(_xlfn.MINIFS(B536:B1166,M536:M1166,Table2[[#This Row],[Country]]), -1) + 1</f>
        <v>44927</v>
      </c>
      <c r="E536" s="47"/>
      <c r="F536" s="32" t="str">
        <f>"Q"&amp;ROUNDUP(MONTH(B536)/3,0)&amp;"-"&amp;YEAR(B536)</f>
        <v>Q1-2025</v>
      </c>
      <c r="G536" s="32">
        <v>45694</v>
      </c>
      <c r="H536" s="32">
        <f>IF(G536&lt;B536, B536+3, G536)</f>
        <v>45694</v>
      </c>
      <c r="I536" s="33">
        <f>H536-B536</f>
        <v>27</v>
      </c>
      <c r="J536" s="33">
        <f t="shared" si="48"/>
        <v>0</v>
      </c>
      <c r="K536" s="33">
        <f t="shared" si="49"/>
        <v>0</v>
      </c>
      <c r="L536" s="34" t="s">
        <v>648</v>
      </c>
      <c r="M536" s="34" t="s">
        <v>655</v>
      </c>
      <c r="N536" s="34" t="s">
        <v>672</v>
      </c>
      <c r="O536" s="34" t="s">
        <v>703</v>
      </c>
      <c r="P536" s="34" t="s">
        <v>707</v>
      </c>
      <c r="Q536" s="34" t="s">
        <v>717</v>
      </c>
      <c r="R536" s="34" t="s">
        <v>731</v>
      </c>
      <c r="S536" s="34" t="s">
        <v>1268</v>
      </c>
      <c r="T536" s="35">
        <v>725.62</v>
      </c>
      <c r="U536" s="35">
        <v>1559.19</v>
      </c>
      <c r="V536" s="35">
        <f t="shared" si="50"/>
        <v>0.19</v>
      </c>
      <c r="W536" s="35">
        <v>0.19</v>
      </c>
      <c r="X536" s="33">
        <f>IF(Table2[[#This Row],[DiscountPct]]&gt;0.2,1,0)</f>
        <v>0</v>
      </c>
      <c r="Y536" s="33">
        <v>12</v>
      </c>
      <c r="Z536" s="30">
        <f>Table2[[#This Row],[UnitPrice]]*Y536*(1-V536)</f>
        <v>15155.326800000001</v>
      </c>
      <c r="AA536" s="31">
        <f>T536*Y536</f>
        <v>8707.44</v>
      </c>
      <c r="AB536" s="31">
        <f t="shared" si="51"/>
        <v>6447.8868000000002</v>
      </c>
      <c r="AC536" s="31">
        <f t="shared" si="52"/>
        <v>0.42545349797405885</v>
      </c>
      <c r="AD536" s="31" t="e">
        <f>_xlfn.PERCENTILE.INC(S:S, 0.33)</f>
        <v>#NUM!</v>
      </c>
      <c r="AE536" s="31" t="e">
        <f>_xlfn.PERCENTILE.INC(S:S, 0.66)</f>
        <v>#NUM!</v>
      </c>
      <c r="AF536" s="30" t="e">
        <f t="shared" si="53"/>
        <v>#NUM!</v>
      </c>
    </row>
    <row r="537" spans="1:32" x14ac:dyDescent="0.3">
      <c r="A537" s="2" t="s">
        <v>550</v>
      </c>
      <c r="B537" s="4">
        <v>45108</v>
      </c>
      <c r="C537" s="46">
        <f>EOMONTH(Table2[[#This Row],[OrderDate]],-1)+1</f>
        <v>45108</v>
      </c>
      <c r="D537" s="45">
        <f>EOMONTH(_xlfn.MINIFS(B537:B1167,M537:M1167,Table2[[#This Row],[Country]]), -1) + 1</f>
        <v>45017</v>
      </c>
      <c r="E537" s="46"/>
      <c r="F537" s="4" t="str">
        <f>"Q"&amp;ROUNDUP(MONTH(B537)/3,0)&amp;"-"&amp;YEAR(B537)</f>
        <v>Q3-2023</v>
      </c>
      <c r="G537" s="4">
        <v>45118</v>
      </c>
      <c r="H537" s="4">
        <f>IF(G537&lt;B537, B537+3, G537)</f>
        <v>45118</v>
      </c>
      <c r="I537" s="10">
        <f>H537-B537</f>
        <v>10</v>
      </c>
      <c r="J537" s="10">
        <f t="shared" si="48"/>
        <v>0</v>
      </c>
      <c r="K537" s="10">
        <f t="shared" si="49"/>
        <v>0</v>
      </c>
      <c r="L537" s="6" t="s">
        <v>649</v>
      </c>
      <c r="M537" s="6" t="s">
        <v>657</v>
      </c>
      <c r="N537" s="6" t="s">
        <v>690</v>
      </c>
      <c r="O537" s="6" t="s">
        <v>701</v>
      </c>
      <c r="P537" s="6" t="s">
        <v>711</v>
      </c>
      <c r="Q537" s="6" t="s">
        <v>721</v>
      </c>
      <c r="R537" s="6" t="s">
        <v>729</v>
      </c>
      <c r="S537" s="6" t="s">
        <v>1269</v>
      </c>
      <c r="T537" s="8">
        <v>479.5</v>
      </c>
      <c r="U537" s="8">
        <v>656.66</v>
      </c>
      <c r="V537" s="8">
        <f t="shared" si="50"/>
        <v>0.14899999999999999</v>
      </c>
      <c r="W537" s="8">
        <v>0.14899999999999999</v>
      </c>
      <c r="X537" s="10">
        <f>IF(Table2[[#This Row],[DiscountPct]]&gt;0.2,1,0)</f>
        <v>0</v>
      </c>
      <c r="Y537" s="10">
        <v>14</v>
      </c>
      <c r="Z537" s="30">
        <f>Table2[[#This Row],[UnitPrice]]*Y537*(1-V537)</f>
        <v>7823.4472399999995</v>
      </c>
      <c r="AA537" s="2">
        <f>T537*Y537</f>
        <v>6713</v>
      </c>
      <c r="AB537" s="2">
        <f t="shared" si="51"/>
        <v>1110.4472399999995</v>
      </c>
      <c r="AC537" s="2">
        <f t="shared" si="52"/>
        <v>0.14193835606412289</v>
      </c>
      <c r="AD537" s="2" t="e">
        <f>_xlfn.PERCENTILE.INC(S:S, 0.33)</f>
        <v>#NUM!</v>
      </c>
      <c r="AE537" s="2" t="e">
        <f>_xlfn.PERCENTILE.INC(S:S, 0.66)</f>
        <v>#NUM!</v>
      </c>
      <c r="AF537" s="30" t="e">
        <f t="shared" si="53"/>
        <v>#NUM!</v>
      </c>
    </row>
    <row r="538" spans="1:32" x14ac:dyDescent="0.3">
      <c r="A538" s="31" t="s">
        <v>551</v>
      </c>
      <c r="B538" s="32">
        <v>45520</v>
      </c>
      <c r="C538" s="47">
        <f>EOMONTH(Table2[[#This Row],[OrderDate]],-1)+1</f>
        <v>45505</v>
      </c>
      <c r="D538" s="45">
        <f>EOMONTH(_xlfn.MINIFS(B538:B1168,M538:M1168,Table2[[#This Row],[Country]]), -1) + 1</f>
        <v>44958</v>
      </c>
      <c r="E538" s="47"/>
      <c r="F538" s="32" t="str">
        <f>"Q"&amp;ROUNDUP(MONTH(B538)/3,0)&amp;"-"&amp;YEAR(B538)</f>
        <v>Q3-2024</v>
      </c>
      <c r="G538" s="32">
        <v>45530</v>
      </c>
      <c r="H538" s="32">
        <f>IF(G538&lt;B538, B538+3, G538)</f>
        <v>45530</v>
      </c>
      <c r="I538" s="33">
        <f>H538-B538</f>
        <v>10</v>
      </c>
      <c r="J538" s="33">
        <f t="shared" si="48"/>
        <v>0</v>
      </c>
      <c r="K538" s="33">
        <f t="shared" si="49"/>
        <v>0</v>
      </c>
      <c r="L538" s="34" t="s">
        <v>648</v>
      </c>
      <c r="M538" s="34" t="s">
        <v>660</v>
      </c>
      <c r="N538" s="34" t="s">
        <v>677</v>
      </c>
      <c r="O538" s="34" t="s">
        <v>701</v>
      </c>
      <c r="P538" s="34" t="s">
        <v>710</v>
      </c>
      <c r="Q538" s="34" t="s">
        <v>716</v>
      </c>
      <c r="R538" s="34" t="s">
        <v>731</v>
      </c>
      <c r="S538" s="34" t="s">
        <v>1121</v>
      </c>
      <c r="T538" s="35">
        <v>1291.7</v>
      </c>
      <c r="U538" s="35">
        <v>2657.84</v>
      </c>
      <c r="V538" s="35">
        <f t="shared" si="50"/>
        <v>8.6999999999999994E-2</v>
      </c>
      <c r="W538" s="35">
        <v>8.6999999999999994E-2</v>
      </c>
      <c r="X538" s="33">
        <f>IF(Table2[[#This Row],[DiscountPct]]&gt;0.2,1,0)</f>
        <v>0</v>
      </c>
      <c r="Y538" s="33">
        <v>21</v>
      </c>
      <c r="Z538" s="30">
        <f>Table2[[#This Row],[UnitPrice]]*Y538*(1-V538)</f>
        <v>50958.766320000002</v>
      </c>
      <c r="AA538" s="31">
        <f>T538*Y538</f>
        <v>27125.7</v>
      </c>
      <c r="AB538" s="31">
        <f t="shared" si="51"/>
        <v>23833.066320000002</v>
      </c>
      <c r="AC538" s="31">
        <f t="shared" si="52"/>
        <v>0.46769315745083367</v>
      </c>
      <c r="AD538" s="31" t="e">
        <f>_xlfn.PERCENTILE.INC(S:S, 0.33)</f>
        <v>#NUM!</v>
      </c>
      <c r="AE538" s="31" t="e">
        <f>_xlfn.PERCENTILE.INC(S:S, 0.66)</f>
        <v>#NUM!</v>
      </c>
      <c r="AF538" s="30" t="e">
        <f t="shared" si="53"/>
        <v>#NUM!</v>
      </c>
    </row>
    <row r="539" spans="1:32" x14ac:dyDescent="0.3">
      <c r="A539" s="2" t="s">
        <v>552</v>
      </c>
      <c r="B539" s="4">
        <v>45114</v>
      </c>
      <c r="C539" s="46">
        <f>EOMONTH(Table2[[#This Row],[OrderDate]],-1)+1</f>
        <v>45108</v>
      </c>
      <c r="D539" s="45">
        <f>EOMONTH(_xlfn.MINIFS(B539:B1169,M539:M1169,Table2[[#This Row],[Country]]), -1) + 1</f>
        <v>44927</v>
      </c>
      <c r="E539" s="46"/>
      <c r="F539" s="4" t="str">
        <f>"Q"&amp;ROUNDUP(MONTH(B539)/3,0)&amp;"-"&amp;YEAR(B539)</f>
        <v>Q3-2023</v>
      </c>
      <c r="G539" s="4">
        <v>45120</v>
      </c>
      <c r="H539" s="4">
        <f>IF(G539&lt;B539, B539+3, G539)</f>
        <v>45120</v>
      </c>
      <c r="I539" s="10">
        <f>H539-B539</f>
        <v>6</v>
      </c>
      <c r="J539" s="10">
        <f t="shared" si="48"/>
        <v>1</v>
      </c>
      <c r="K539" s="10">
        <f t="shared" si="49"/>
        <v>1</v>
      </c>
      <c r="L539" s="6" t="s">
        <v>646</v>
      </c>
      <c r="M539" s="6" t="s">
        <v>661</v>
      </c>
      <c r="N539" s="6" t="s">
        <v>695</v>
      </c>
      <c r="O539" s="6" t="s">
        <v>705</v>
      </c>
      <c r="P539" s="6" t="s">
        <v>709</v>
      </c>
      <c r="Q539" s="6" t="s">
        <v>717</v>
      </c>
      <c r="R539" s="6" t="s">
        <v>733</v>
      </c>
      <c r="S539" s="6" t="s">
        <v>1270</v>
      </c>
      <c r="T539" s="8">
        <v>612.59</v>
      </c>
      <c r="U539" s="8">
        <v>1424.74</v>
      </c>
      <c r="V539" s="8">
        <f t="shared" si="50"/>
        <v>4.3999999999999997E-2</v>
      </c>
      <c r="W539" s="8">
        <v>4.3999999999999997E-2</v>
      </c>
      <c r="X539" s="10">
        <f>IF(Table2[[#This Row],[DiscountPct]]&gt;0.2,1,0)</f>
        <v>0</v>
      </c>
      <c r="Y539" s="10">
        <v>15</v>
      </c>
      <c r="Z539" s="30">
        <f>Table2[[#This Row],[UnitPrice]]*Y539*(1-V539)</f>
        <v>20430.771599999996</v>
      </c>
      <c r="AA539" s="2">
        <f>T539*Y539</f>
        <v>9188.85</v>
      </c>
      <c r="AB539" s="2">
        <f t="shared" si="51"/>
        <v>11241.921599999996</v>
      </c>
      <c r="AC539" s="2">
        <f t="shared" si="52"/>
        <v>0.55024459281802152</v>
      </c>
      <c r="AD539" s="2" t="e">
        <f>_xlfn.PERCENTILE.INC(S:S, 0.33)</f>
        <v>#NUM!</v>
      </c>
      <c r="AE539" s="2" t="e">
        <f>_xlfn.PERCENTILE.INC(S:S, 0.66)</f>
        <v>#NUM!</v>
      </c>
      <c r="AF539" s="30" t="e">
        <f t="shared" si="53"/>
        <v>#NUM!</v>
      </c>
    </row>
    <row r="540" spans="1:32" x14ac:dyDescent="0.3">
      <c r="A540" s="31" t="s">
        <v>553</v>
      </c>
      <c r="B540" s="32">
        <v>45288</v>
      </c>
      <c r="C540" s="47">
        <f>EOMONTH(Table2[[#This Row],[OrderDate]],-1)+1</f>
        <v>45261</v>
      </c>
      <c r="D540" s="45">
        <f>EOMONTH(_xlfn.MINIFS(B540:B1170,M540:M1170,Table2[[#This Row],[Country]]), -1) + 1</f>
        <v>44927</v>
      </c>
      <c r="E540" s="47"/>
      <c r="F540" s="32" t="str">
        <f>"Q"&amp;ROUNDUP(MONTH(B540)/3,0)&amp;"-"&amp;YEAR(B540)</f>
        <v>Q4-2023</v>
      </c>
      <c r="G540" s="32">
        <v>45292</v>
      </c>
      <c r="H540" s="32">
        <f>IF(G540&lt;B540, B540+3, G540)</f>
        <v>45292</v>
      </c>
      <c r="I540" s="33">
        <f>H540-B540</f>
        <v>4</v>
      </c>
      <c r="J540" s="33">
        <f t="shared" si="48"/>
        <v>1</v>
      </c>
      <c r="K540" s="33">
        <f t="shared" si="49"/>
        <v>1</v>
      </c>
      <c r="L540" s="34" t="s">
        <v>646</v>
      </c>
      <c r="M540" s="34" t="s">
        <v>661</v>
      </c>
      <c r="N540" s="34" t="s">
        <v>695</v>
      </c>
      <c r="O540" s="34" t="s">
        <v>702</v>
      </c>
      <c r="P540" s="34" t="s">
        <v>710</v>
      </c>
      <c r="Q540" s="34" t="s">
        <v>720</v>
      </c>
      <c r="R540" s="34" t="s">
        <v>728</v>
      </c>
      <c r="S540" s="34" t="s">
        <v>1271</v>
      </c>
      <c r="T540" s="35">
        <v>1141.8</v>
      </c>
      <c r="U540" s="35">
        <v>2318.7399999999998</v>
      </c>
      <c r="V540" s="35">
        <f t="shared" si="50"/>
        <v>0.107</v>
      </c>
      <c r="W540" s="35">
        <v>0.107</v>
      </c>
      <c r="X540" s="33">
        <f>IF(Table2[[#This Row],[DiscountPct]]&gt;0.2,1,0)</f>
        <v>0</v>
      </c>
      <c r="Y540" s="33">
        <v>32</v>
      </c>
      <c r="Z540" s="30">
        <f>Table2[[#This Row],[UnitPrice]]*Y540*(1-V540)</f>
        <v>66260.314239999992</v>
      </c>
      <c r="AA540" s="31">
        <f>T540*Y540</f>
        <v>36537.599999999999</v>
      </c>
      <c r="AB540" s="31">
        <f t="shared" si="51"/>
        <v>29722.714239999994</v>
      </c>
      <c r="AC540" s="31">
        <f t="shared" si="52"/>
        <v>0.44857490612468304</v>
      </c>
      <c r="AD540" s="31" t="e">
        <f>_xlfn.PERCENTILE.INC(S:S, 0.33)</f>
        <v>#NUM!</v>
      </c>
      <c r="AE540" s="31" t="e">
        <f>_xlfn.PERCENTILE.INC(S:S, 0.66)</f>
        <v>#NUM!</v>
      </c>
      <c r="AF540" s="30" t="e">
        <f t="shared" si="53"/>
        <v>#NUM!</v>
      </c>
    </row>
    <row r="541" spans="1:32" x14ac:dyDescent="0.3">
      <c r="A541" s="2" t="s">
        <v>554</v>
      </c>
      <c r="B541" s="4">
        <v>44952</v>
      </c>
      <c r="C541" s="46">
        <f>EOMONTH(Table2[[#This Row],[OrderDate]],-1)+1</f>
        <v>44927</v>
      </c>
      <c r="D541" s="45">
        <f>EOMONTH(_xlfn.MINIFS(B541:B1171,M541:M1171,Table2[[#This Row],[Country]]), -1) + 1</f>
        <v>44927</v>
      </c>
      <c r="E541" s="46"/>
      <c r="F541" s="4" t="str">
        <f>"Q"&amp;ROUNDUP(MONTH(B541)/3,0)&amp;"-"&amp;YEAR(B541)</f>
        <v>Q1-2023</v>
      </c>
      <c r="G541" s="4">
        <v>44972</v>
      </c>
      <c r="H541" s="4">
        <f>IF(G541&lt;B541, B541+3, G541)</f>
        <v>44972</v>
      </c>
      <c r="I541" s="10">
        <f>H541-B541</f>
        <v>20</v>
      </c>
      <c r="J541" s="10">
        <f t="shared" si="48"/>
        <v>0</v>
      </c>
      <c r="K541" s="10">
        <f t="shared" si="49"/>
        <v>0</v>
      </c>
      <c r="L541" s="6" t="s">
        <v>649</v>
      </c>
      <c r="M541" s="6" t="s">
        <v>656</v>
      </c>
      <c r="N541" s="6" t="s">
        <v>671</v>
      </c>
      <c r="O541" s="6" t="s">
        <v>705</v>
      </c>
      <c r="P541" s="6" t="s">
        <v>708</v>
      </c>
      <c r="Q541" s="6" t="s">
        <v>719</v>
      </c>
      <c r="R541" s="6" t="s">
        <v>729</v>
      </c>
      <c r="S541" s="6" t="s">
        <v>1272</v>
      </c>
      <c r="T541" s="8">
        <v>492.62</v>
      </c>
      <c r="U541" s="8">
        <v>366.7</v>
      </c>
      <c r="V541" s="8">
        <f t="shared" si="50"/>
        <v>8.8999999999999996E-2</v>
      </c>
      <c r="W541" s="8">
        <v>8.8999999999999996E-2</v>
      </c>
      <c r="X541" s="10">
        <f>IF(Table2[[#This Row],[DiscountPct]]&gt;0.2,1,0)</f>
        <v>0</v>
      </c>
      <c r="Y541" s="10">
        <v>10</v>
      </c>
      <c r="Z541" s="30">
        <f>Table2[[#This Row],[UnitPrice]]*Y541*(1-V541)</f>
        <v>3340.6370000000002</v>
      </c>
      <c r="AA541" s="2">
        <f>T541*Y541</f>
        <v>4926.2</v>
      </c>
      <c r="AB541" s="2">
        <f t="shared" si="51"/>
        <v>-1585.5629999999996</v>
      </c>
      <c r="AC541" s="2">
        <f t="shared" si="52"/>
        <v>-0.47462894052840809</v>
      </c>
      <c r="AD541" s="2" t="e">
        <f>_xlfn.PERCENTILE.INC(S:S, 0.33)</f>
        <v>#NUM!</v>
      </c>
      <c r="AE541" s="2" t="e">
        <f>_xlfn.PERCENTILE.INC(S:S, 0.66)</f>
        <v>#NUM!</v>
      </c>
      <c r="AF541" s="30" t="e">
        <f t="shared" si="53"/>
        <v>#NUM!</v>
      </c>
    </row>
    <row r="542" spans="1:32" x14ac:dyDescent="0.3">
      <c r="A542" s="31" t="s">
        <v>555</v>
      </c>
      <c r="B542" s="32">
        <v>45115</v>
      </c>
      <c r="C542" s="47">
        <f>EOMONTH(Table2[[#This Row],[OrderDate]],-1)+1</f>
        <v>45108</v>
      </c>
      <c r="D542" s="45">
        <f>EOMONTH(_xlfn.MINIFS(B542:B1172,M542:M1172,Table2[[#This Row],[Country]]), -1) + 1</f>
        <v>45108</v>
      </c>
      <c r="E542" s="47"/>
      <c r="F542" s="32" t="str">
        <f>"Q"&amp;ROUNDUP(MONTH(B542)/3,0)&amp;"-"&amp;YEAR(B542)</f>
        <v>Q3-2023</v>
      </c>
      <c r="G542" s="32">
        <v>45116</v>
      </c>
      <c r="H542" s="32">
        <f>IF(G542&lt;B542, B542+3, G542)</f>
        <v>45116</v>
      </c>
      <c r="I542" s="33">
        <f>H542-B542</f>
        <v>1</v>
      </c>
      <c r="J542" s="33">
        <f t="shared" si="48"/>
        <v>1</v>
      </c>
      <c r="K542" s="33">
        <f t="shared" si="49"/>
        <v>1</v>
      </c>
      <c r="L542" s="34" t="s">
        <v>646</v>
      </c>
      <c r="M542" s="34" t="s">
        <v>650</v>
      </c>
      <c r="N542" s="34" t="s">
        <v>664</v>
      </c>
      <c r="O542" s="34" t="s">
        <v>704</v>
      </c>
      <c r="P542" s="34" t="s">
        <v>708</v>
      </c>
      <c r="Q542" s="34" t="s">
        <v>726</v>
      </c>
      <c r="R542" s="34" t="s">
        <v>731</v>
      </c>
      <c r="S542" s="34" t="s">
        <v>1273</v>
      </c>
      <c r="T542" s="35">
        <v>1258.72</v>
      </c>
      <c r="U542" s="35">
        <v>2797.41</v>
      </c>
      <c r="V542" s="35">
        <f t="shared" si="50"/>
        <v>0</v>
      </c>
      <c r="W542" s="35">
        <v>0</v>
      </c>
      <c r="X542" s="33">
        <f>IF(Table2[[#This Row],[DiscountPct]]&gt;0.2,1,0)</f>
        <v>0</v>
      </c>
      <c r="Y542" s="33">
        <v>7</v>
      </c>
      <c r="Z542" s="30">
        <f>Table2[[#This Row],[UnitPrice]]*Y542*(1-V542)</f>
        <v>19581.87</v>
      </c>
      <c r="AA542" s="31">
        <f>T542*Y542</f>
        <v>8811.0400000000009</v>
      </c>
      <c r="AB542" s="31">
        <f t="shared" si="51"/>
        <v>10770.829999999998</v>
      </c>
      <c r="AC542" s="31">
        <f t="shared" si="52"/>
        <v>0.55004093071805704</v>
      </c>
      <c r="AD542" s="31" t="e">
        <f>_xlfn.PERCENTILE.INC(S:S, 0.33)</f>
        <v>#NUM!</v>
      </c>
      <c r="AE542" s="31" t="e">
        <f>_xlfn.PERCENTILE.INC(S:S, 0.66)</f>
        <v>#NUM!</v>
      </c>
      <c r="AF542" s="30" t="e">
        <f t="shared" si="53"/>
        <v>#NUM!</v>
      </c>
    </row>
    <row r="543" spans="1:32" x14ac:dyDescent="0.3">
      <c r="A543" s="2" t="s">
        <v>556</v>
      </c>
      <c r="B543" s="4">
        <v>45450</v>
      </c>
      <c r="C543" s="46">
        <f>EOMONTH(Table2[[#This Row],[OrderDate]],-1)+1</f>
        <v>45444</v>
      </c>
      <c r="D543" s="45">
        <f>EOMONTH(_xlfn.MINIFS(B543:B1173,M543:M1173,Table2[[#This Row],[Country]]), -1) + 1</f>
        <v>45139</v>
      </c>
      <c r="E543" s="46"/>
      <c r="F543" s="4" t="str">
        <f>"Q"&amp;ROUNDUP(MONTH(B543)/3,0)&amp;"-"&amp;YEAR(B543)</f>
        <v>Q2-2024</v>
      </c>
      <c r="G543" s="4">
        <v>45452</v>
      </c>
      <c r="H543" s="4">
        <f>IF(G543&lt;B543, B543+3, G543)</f>
        <v>45452</v>
      </c>
      <c r="I543" s="10">
        <f>H543-B543</f>
        <v>2</v>
      </c>
      <c r="J543" s="10">
        <f t="shared" si="48"/>
        <v>1</v>
      </c>
      <c r="K543" s="10">
        <f t="shared" si="49"/>
        <v>1</v>
      </c>
      <c r="L543" s="6" t="s">
        <v>647</v>
      </c>
      <c r="M543" s="6" t="s">
        <v>659</v>
      </c>
      <c r="N543" s="6" t="s">
        <v>685</v>
      </c>
      <c r="O543" s="6" t="s">
        <v>701</v>
      </c>
      <c r="P543" s="6" t="s">
        <v>707</v>
      </c>
      <c r="Q543" s="6" t="s">
        <v>719</v>
      </c>
      <c r="R543" s="6" t="s">
        <v>732</v>
      </c>
      <c r="S543" s="6" t="s">
        <v>1274</v>
      </c>
      <c r="T543" s="8">
        <v>1370.28</v>
      </c>
      <c r="U543" s="8">
        <v>2209.66</v>
      </c>
      <c r="V543" s="8">
        <f t="shared" si="50"/>
        <v>0.13300000000000001</v>
      </c>
      <c r="W543" s="8">
        <v>0.13300000000000001</v>
      </c>
      <c r="X543" s="10">
        <f>IF(Table2[[#This Row],[DiscountPct]]&gt;0.2,1,0)</f>
        <v>0</v>
      </c>
      <c r="Y543" s="10">
        <v>16</v>
      </c>
      <c r="Z543" s="30">
        <f>Table2[[#This Row],[UnitPrice]]*Y543*(1-V543)</f>
        <v>30652.403519999996</v>
      </c>
      <c r="AA543" s="2">
        <f>T543*Y543</f>
        <v>21924.48</v>
      </c>
      <c r="AB543" s="2">
        <f t="shared" si="51"/>
        <v>8727.9235199999966</v>
      </c>
      <c r="AC543" s="2">
        <f t="shared" si="52"/>
        <v>0.28473863442079589</v>
      </c>
      <c r="AD543" s="2" t="e">
        <f>_xlfn.PERCENTILE.INC(S:S, 0.33)</f>
        <v>#NUM!</v>
      </c>
      <c r="AE543" s="2" t="e">
        <f>_xlfn.PERCENTILE.INC(S:S, 0.66)</f>
        <v>#NUM!</v>
      </c>
      <c r="AF543" s="30" t="e">
        <f t="shared" si="53"/>
        <v>#NUM!</v>
      </c>
    </row>
    <row r="544" spans="1:32" x14ac:dyDescent="0.3">
      <c r="A544" s="31" t="s">
        <v>557</v>
      </c>
      <c r="B544" s="32">
        <v>44968</v>
      </c>
      <c r="C544" s="47">
        <f>EOMONTH(Table2[[#This Row],[OrderDate]],-1)+1</f>
        <v>44958</v>
      </c>
      <c r="D544" s="45">
        <f>EOMONTH(_xlfn.MINIFS(B544:B1174,M544:M1174,Table2[[#This Row],[Country]]), -1) + 1</f>
        <v>44958</v>
      </c>
      <c r="E544" s="47"/>
      <c r="F544" s="32" t="str">
        <f>"Q"&amp;ROUNDUP(MONTH(B544)/3,0)&amp;"-"&amp;YEAR(B544)</f>
        <v>Q1-2023</v>
      </c>
      <c r="G544" s="32">
        <v>44969</v>
      </c>
      <c r="H544" s="32">
        <f>IF(G544&lt;B544, B544+3, G544)</f>
        <v>44969</v>
      </c>
      <c r="I544" s="33">
        <f>H544-B544</f>
        <v>1</v>
      </c>
      <c r="J544" s="33">
        <f t="shared" si="48"/>
        <v>1</v>
      </c>
      <c r="K544" s="33">
        <f t="shared" si="49"/>
        <v>1</v>
      </c>
      <c r="L544" s="34" t="s">
        <v>646</v>
      </c>
      <c r="M544" s="34" t="s">
        <v>651</v>
      </c>
      <c r="N544" s="34" t="s">
        <v>663</v>
      </c>
      <c r="O544" s="34" t="s">
        <v>703</v>
      </c>
      <c r="P544" s="34" t="s">
        <v>711</v>
      </c>
      <c r="Q544" s="34" t="s">
        <v>726</v>
      </c>
      <c r="R544" s="34" t="s">
        <v>733</v>
      </c>
      <c r="S544" s="34" t="s">
        <v>1275</v>
      </c>
      <c r="T544" s="35">
        <v>944.61</v>
      </c>
      <c r="U544" s="35">
        <v>839.04</v>
      </c>
      <c r="V544" s="35">
        <f t="shared" si="50"/>
        <v>5.8999999999999997E-2</v>
      </c>
      <c r="W544" s="35">
        <v>5.8999999999999997E-2</v>
      </c>
      <c r="X544" s="33">
        <f>IF(Table2[[#This Row],[DiscountPct]]&gt;0.2,1,0)</f>
        <v>0</v>
      </c>
      <c r="Y544" s="33">
        <v>6</v>
      </c>
      <c r="Z544" s="30">
        <f>Table2[[#This Row],[UnitPrice]]*Y544*(1-V544)</f>
        <v>4737.2198399999997</v>
      </c>
      <c r="AA544" s="31">
        <f>T544*Y544</f>
        <v>5667.66</v>
      </c>
      <c r="AB544" s="31">
        <f t="shared" si="51"/>
        <v>-930.44016000000011</v>
      </c>
      <c r="AC544" s="31">
        <f t="shared" si="52"/>
        <v>-0.19641059343363726</v>
      </c>
      <c r="AD544" s="31" t="e">
        <f>_xlfn.PERCENTILE.INC(S:S, 0.33)</f>
        <v>#NUM!</v>
      </c>
      <c r="AE544" s="31" t="e">
        <f>_xlfn.PERCENTILE.INC(S:S, 0.66)</f>
        <v>#NUM!</v>
      </c>
      <c r="AF544" s="30" t="e">
        <f t="shared" si="53"/>
        <v>#NUM!</v>
      </c>
    </row>
    <row r="545" spans="1:32" x14ac:dyDescent="0.3">
      <c r="A545" s="2" t="s">
        <v>558</v>
      </c>
      <c r="B545" s="4">
        <v>45108</v>
      </c>
      <c r="C545" s="46">
        <f>EOMONTH(Table2[[#This Row],[OrderDate]],-1)+1</f>
        <v>45108</v>
      </c>
      <c r="D545" s="45">
        <f>EOMONTH(_xlfn.MINIFS(B545:B1175,M545:M1175,Table2[[#This Row],[Country]]), -1) + 1</f>
        <v>44958</v>
      </c>
      <c r="E545" s="46"/>
      <c r="F545" s="4" t="str">
        <f>"Q"&amp;ROUNDUP(MONTH(B545)/3,0)&amp;"-"&amp;YEAR(B545)</f>
        <v>Q3-2023</v>
      </c>
      <c r="G545" s="4">
        <v>45115</v>
      </c>
      <c r="H545" s="4">
        <f>IF(G545&lt;B545, B545+3, G545)</f>
        <v>45115</v>
      </c>
      <c r="I545" s="10">
        <f>H545-B545</f>
        <v>7</v>
      </c>
      <c r="J545" s="10">
        <f t="shared" si="48"/>
        <v>1</v>
      </c>
      <c r="K545" s="10">
        <f t="shared" si="49"/>
        <v>1</v>
      </c>
      <c r="L545" s="6" t="s">
        <v>649</v>
      </c>
      <c r="M545" s="6" t="s">
        <v>656</v>
      </c>
      <c r="N545" s="6" t="s">
        <v>698</v>
      </c>
      <c r="O545" s="6" t="s">
        <v>705</v>
      </c>
      <c r="P545" s="6" t="s">
        <v>710</v>
      </c>
      <c r="Q545" s="6" t="s">
        <v>725</v>
      </c>
      <c r="R545" s="6" t="s">
        <v>731</v>
      </c>
      <c r="S545" s="6" t="s">
        <v>1276</v>
      </c>
      <c r="T545" s="8">
        <v>460.21</v>
      </c>
      <c r="U545" s="8">
        <v>1139.1500000000001</v>
      </c>
      <c r="V545" s="8">
        <f t="shared" si="50"/>
        <v>0.115</v>
      </c>
      <c r="W545" s="8">
        <v>0.115</v>
      </c>
      <c r="X545" s="10">
        <f>IF(Table2[[#This Row],[DiscountPct]]&gt;0.2,1,0)</f>
        <v>0</v>
      </c>
      <c r="Y545" s="10">
        <v>14</v>
      </c>
      <c r="Z545" s="30">
        <f>Table2[[#This Row],[UnitPrice]]*Y545*(1-V545)</f>
        <v>14114.068500000001</v>
      </c>
      <c r="AA545" s="2">
        <f>T545*Y545</f>
        <v>6442.94</v>
      </c>
      <c r="AB545" s="2">
        <f t="shared" si="51"/>
        <v>7671.1285000000016</v>
      </c>
      <c r="AC545" s="2">
        <f t="shared" si="52"/>
        <v>0.54350937151821255</v>
      </c>
      <c r="AD545" s="2" t="e">
        <f>_xlfn.PERCENTILE.INC(S:S, 0.33)</f>
        <v>#NUM!</v>
      </c>
      <c r="AE545" s="2" t="e">
        <f>_xlfn.PERCENTILE.INC(S:S, 0.66)</f>
        <v>#NUM!</v>
      </c>
      <c r="AF545" s="30" t="e">
        <f t="shared" si="53"/>
        <v>#NUM!</v>
      </c>
    </row>
    <row r="546" spans="1:32" x14ac:dyDescent="0.3">
      <c r="A546" s="31" t="s">
        <v>559</v>
      </c>
      <c r="B546" s="32">
        <v>45889</v>
      </c>
      <c r="C546" s="47">
        <f>EOMONTH(Table2[[#This Row],[OrderDate]],-1)+1</f>
        <v>45870</v>
      </c>
      <c r="D546" s="45">
        <f>EOMONTH(_xlfn.MINIFS(B546:B1176,M546:M1176,Table2[[#This Row],[Country]]), -1) + 1</f>
        <v>44958</v>
      </c>
      <c r="E546" s="47"/>
      <c r="F546" s="32" t="str">
        <f>"Q"&amp;ROUNDUP(MONTH(B546)/3,0)&amp;"-"&amp;YEAR(B546)</f>
        <v>Q3-2025</v>
      </c>
      <c r="G546" s="32">
        <v>45895</v>
      </c>
      <c r="H546" s="32">
        <f>IF(G546&lt;B546, B546+3, G546)</f>
        <v>45895</v>
      </c>
      <c r="I546" s="33">
        <f>H546-B546</f>
        <v>6</v>
      </c>
      <c r="J546" s="33">
        <f t="shared" si="48"/>
        <v>1</v>
      </c>
      <c r="K546" s="33">
        <f t="shared" si="49"/>
        <v>1</v>
      </c>
      <c r="L546" s="34" t="s">
        <v>648</v>
      </c>
      <c r="M546" s="34" t="s">
        <v>660</v>
      </c>
      <c r="N546" s="34" t="s">
        <v>700</v>
      </c>
      <c r="O546" s="34" t="s">
        <v>701</v>
      </c>
      <c r="P546" s="34" t="s">
        <v>707</v>
      </c>
      <c r="Q546" s="34" t="s">
        <v>724</v>
      </c>
      <c r="R546" s="34" t="s">
        <v>729</v>
      </c>
      <c r="S546" s="34" t="s">
        <v>1277</v>
      </c>
      <c r="T546" s="35">
        <v>1304.95</v>
      </c>
      <c r="U546" s="35">
        <v>1712.03</v>
      </c>
      <c r="V546" s="35">
        <f t="shared" si="50"/>
        <v>0.21199999999999999</v>
      </c>
      <c r="W546" s="35">
        <v>0.21199999999999999</v>
      </c>
      <c r="X546" s="33">
        <f>IF(Table2[[#This Row],[DiscountPct]]&gt;0.2,1,0)</f>
        <v>1</v>
      </c>
      <c r="Y546" s="33">
        <v>8</v>
      </c>
      <c r="Z546" s="30">
        <f>Table2[[#This Row],[UnitPrice]]*Y546*(1-V546)</f>
        <v>10792.637119999999</v>
      </c>
      <c r="AA546" s="31">
        <f>T546*Y546</f>
        <v>10439.6</v>
      </c>
      <c r="AB546" s="31">
        <f t="shared" si="51"/>
        <v>353.03711999999905</v>
      </c>
      <c r="AC546" s="31">
        <f t="shared" si="52"/>
        <v>3.2710922833287949E-2</v>
      </c>
      <c r="AD546" s="31" t="e">
        <f>_xlfn.PERCENTILE.INC(S:S, 0.33)</f>
        <v>#NUM!</v>
      </c>
      <c r="AE546" s="31" t="e">
        <f>_xlfn.PERCENTILE.INC(S:S, 0.66)</f>
        <v>#NUM!</v>
      </c>
      <c r="AF546" s="30" t="e">
        <f t="shared" si="53"/>
        <v>#NUM!</v>
      </c>
    </row>
    <row r="547" spans="1:32" x14ac:dyDescent="0.3">
      <c r="A547" s="2" t="s">
        <v>560</v>
      </c>
      <c r="B547" s="4">
        <v>45355</v>
      </c>
      <c r="C547" s="46">
        <f>EOMONTH(Table2[[#This Row],[OrderDate]],-1)+1</f>
        <v>45352</v>
      </c>
      <c r="D547" s="45">
        <f>EOMONTH(_xlfn.MINIFS(B547:B1177,M547:M1177,Table2[[#This Row],[Country]]), -1) + 1</f>
        <v>44927</v>
      </c>
      <c r="E547" s="46"/>
      <c r="F547" s="4" t="str">
        <f>"Q"&amp;ROUNDUP(MONTH(B547)/3,0)&amp;"-"&amp;YEAR(B547)</f>
        <v>Q1-2024</v>
      </c>
      <c r="G547" s="4">
        <v>45367</v>
      </c>
      <c r="H547" s="4">
        <f>IF(G547&lt;B547, B547+3, G547)</f>
        <v>45367</v>
      </c>
      <c r="I547" s="10">
        <f>H547-B547</f>
        <v>12</v>
      </c>
      <c r="J547" s="10">
        <f t="shared" si="48"/>
        <v>0</v>
      </c>
      <c r="K547" s="10">
        <f t="shared" si="49"/>
        <v>0</v>
      </c>
      <c r="L547" s="6" t="s">
        <v>646</v>
      </c>
      <c r="M547" s="6" t="s">
        <v>661</v>
      </c>
      <c r="N547" s="6" t="s">
        <v>682</v>
      </c>
      <c r="O547" s="6" t="s">
        <v>706</v>
      </c>
      <c r="P547" s="6" t="s">
        <v>710</v>
      </c>
      <c r="Q547" s="6" t="s">
        <v>724</v>
      </c>
      <c r="R547" s="6" t="s">
        <v>732</v>
      </c>
      <c r="S547" s="6" t="s">
        <v>1278</v>
      </c>
      <c r="T547" s="8">
        <v>441.08</v>
      </c>
      <c r="U547" s="8">
        <v>1054.29</v>
      </c>
      <c r="V547" s="8">
        <f t="shared" si="50"/>
        <v>0.23699999999999999</v>
      </c>
      <c r="W547" s="8">
        <v>0.23699999999999999</v>
      </c>
      <c r="X547" s="10">
        <f>IF(Table2[[#This Row],[DiscountPct]]&gt;0.2,1,0)</f>
        <v>1</v>
      </c>
      <c r="Y547" s="10">
        <v>6</v>
      </c>
      <c r="Z547" s="30">
        <f>Table2[[#This Row],[UnitPrice]]*Y547*(1-V547)</f>
        <v>4826.5396199999996</v>
      </c>
      <c r="AA547" s="2">
        <f>T547*Y547</f>
        <v>2646.48</v>
      </c>
      <c r="AB547" s="2">
        <f t="shared" si="51"/>
        <v>2180.0596199999995</v>
      </c>
      <c r="AC547" s="2">
        <f t="shared" si="52"/>
        <v>0.45168169985932899</v>
      </c>
      <c r="AD547" s="2" t="e">
        <f>_xlfn.PERCENTILE.INC(S:S, 0.33)</f>
        <v>#NUM!</v>
      </c>
      <c r="AE547" s="2" t="e">
        <f>_xlfn.PERCENTILE.INC(S:S, 0.66)</f>
        <v>#NUM!</v>
      </c>
      <c r="AF547" s="30" t="e">
        <f t="shared" si="53"/>
        <v>#NUM!</v>
      </c>
    </row>
    <row r="548" spans="1:32" x14ac:dyDescent="0.3">
      <c r="A548" s="31" t="s">
        <v>561</v>
      </c>
      <c r="B548" s="32">
        <v>45177</v>
      </c>
      <c r="C548" s="47">
        <f>EOMONTH(Table2[[#This Row],[OrderDate]],-1)+1</f>
        <v>45170</v>
      </c>
      <c r="D548" s="45">
        <f>EOMONTH(_xlfn.MINIFS(B548:B1178,M548:M1178,Table2[[#This Row],[Country]]), -1) + 1</f>
        <v>45017</v>
      </c>
      <c r="E548" s="47"/>
      <c r="F548" s="32" t="str">
        <f>"Q"&amp;ROUNDUP(MONTH(B548)/3,0)&amp;"-"&amp;YEAR(B548)</f>
        <v>Q3-2023</v>
      </c>
      <c r="G548" s="32">
        <v>45201</v>
      </c>
      <c r="H548" s="32">
        <f>IF(G548&lt;B548, B548+3, G548)</f>
        <v>45201</v>
      </c>
      <c r="I548" s="33">
        <f>H548-B548</f>
        <v>24</v>
      </c>
      <c r="J548" s="33">
        <f t="shared" si="48"/>
        <v>0</v>
      </c>
      <c r="K548" s="33">
        <f t="shared" si="49"/>
        <v>0</v>
      </c>
      <c r="L548" s="34" t="s">
        <v>648</v>
      </c>
      <c r="M548" s="34" t="s">
        <v>653</v>
      </c>
      <c r="N548" s="34" t="s">
        <v>667</v>
      </c>
      <c r="O548" s="34" t="s">
        <v>702</v>
      </c>
      <c r="P548" s="34" t="s">
        <v>711</v>
      </c>
      <c r="Q548" s="34" t="s">
        <v>720</v>
      </c>
      <c r="R548" s="34" t="s">
        <v>733</v>
      </c>
      <c r="S548" s="34" t="s">
        <v>1279</v>
      </c>
      <c r="T548" s="35">
        <v>1299.03</v>
      </c>
      <c r="U548" s="35">
        <v>2451.2199999999998</v>
      </c>
      <c r="V548" s="35">
        <f t="shared" si="50"/>
        <v>0.20799999999999999</v>
      </c>
      <c r="W548" s="35">
        <v>0.20799999999999999</v>
      </c>
      <c r="X548" s="33">
        <f>IF(Table2[[#This Row],[DiscountPct]]&gt;0.2,1,0)</f>
        <v>1</v>
      </c>
      <c r="Y548" s="33">
        <v>8</v>
      </c>
      <c r="Z548" s="30">
        <f>Table2[[#This Row],[UnitPrice]]*Y548*(1-V548)</f>
        <v>15530.929919999999</v>
      </c>
      <c r="AA548" s="31">
        <f>T548*Y548</f>
        <v>10392.24</v>
      </c>
      <c r="AB548" s="31">
        <f t="shared" si="51"/>
        <v>5138.6899199999989</v>
      </c>
      <c r="AC548" s="31">
        <f t="shared" si="52"/>
        <v>0.3308681416032041</v>
      </c>
      <c r="AD548" s="31" t="e">
        <f>_xlfn.PERCENTILE.INC(S:S, 0.33)</f>
        <v>#NUM!</v>
      </c>
      <c r="AE548" s="31" t="e">
        <f>_xlfn.PERCENTILE.INC(S:S, 0.66)</f>
        <v>#NUM!</v>
      </c>
      <c r="AF548" s="30" t="e">
        <f t="shared" si="53"/>
        <v>#NUM!</v>
      </c>
    </row>
    <row r="549" spans="1:32" x14ac:dyDescent="0.3">
      <c r="A549" s="2" t="s">
        <v>562</v>
      </c>
      <c r="B549" s="4">
        <v>44985</v>
      </c>
      <c r="C549" s="46">
        <f>EOMONTH(Table2[[#This Row],[OrderDate]],-1)+1</f>
        <v>44958</v>
      </c>
      <c r="D549" s="45">
        <f>EOMONTH(_xlfn.MINIFS(B549:B1179,M549:M1179,Table2[[#This Row],[Country]]), -1) + 1</f>
        <v>44958</v>
      </c>
      <c r="E549" s="46"/>
      <c r="F549" s="4" t="str">
        <f>"Q"&amp;ROUNDUP(MONTH(B549)/3,0)&amp;"-"&amp;YEAR(B549)</f>
        <v>Q1-2023</v>
      </c>
      <c r="G549" s="4">
        <v>44991</v>
      </c>
      <c r="H549" s="4">
        <f>IF(G549&lt;B549, B549+3, G549)</f>
        <v>44991</v>
      </c>
      <c r="I549" s="10">
        <f>H549-B549</f>
        <v>6</v>
      </c>
      <c r="J549" s="10">
        <f t="shared" si="48"/>
        <v>1</v>
      </c>
      <c r="K549" s="10">
        <f t="shared" si="49"/>
        <v>1</v>
      </c>
      <c r="L549" s="6" t="s">
        <v>649</v>
      </c>
      <c r="M549" s="6" t="s">
        <v>656</v>
      </c>
      <c r="N549" s="6" t="s">
        <v>698</v>
      </c>
      <c r="O549" s="6" t="s">
        <v>705</v>
      </c>
      <c r="P549" s="6" t="s">
        <v>709</v>
      </c>
      <c r="Q549" s="6" t="s">
        <v>726</v>
      </c>
      <c r="R549" s="6" t="s">
        <v>728</v>
      </c>
      <c r="S549" s="6" t="s">
        <v>1280</v>
      </c>
      <c r="T549" s="8">
        <v>880.02</v>
      </c>
      <c r="U549" s="8">
        <v>1251.21</v>
      </c>
      <c r="V549" s="8">
        <f t="shared" si="50"/>
        <v>0.123</v>
      </c>
      <c r="W549" s="8">
        <v>0.123</v>
      </c>
      <c r="X549" s="10">
        <f>IF(Table2[[#This Row],[DiscountPct]]&gt;0.2,1,0)</f>
        <v>0</v>
      </c>
      <c r="Y549" s="10">
        <v>29</v>
      </c>
      <c r="Z549" s="30">
        <f>Table2[[#This Row],[UnitPrice]]*Y549*(1-V549)</f>
        <v>31822.023930000003</v>
      </c>
      <c r="AA549" s="2">
        <f>T549*Y549</f>
        <v>25520.579999999998</v>
      </c>
      <c r="AB549" s="2">
        <f t="shared" si="51"/>
        <v>6301.4439300000049</v>
      </c>
      <c r="AC549" s="2">
        <f t="shared" si="52"/>
        <v>0.19802146915172672</v>
      </c>
      <c r="AD549" s="2" t="e">
        <f>_xlfn.PERCENTILE.INC(S:S, 0.33)</f>
        <v>#NUM!</v>
      </c>
      <c r="AE549" s="2" t="e">
        <f>_xlfn.PERCENTILE.INC(S:S, 0.66)</f>
        <v>#NUM!</v>
      </c>
      <c r="AF549" s="30" t="e">
        <f t="shared" si="53"/>
        <v>#NUM!</v>
      </c>
    </row>
    <row r="550" spans="1:32" x14ac:dyDescent="0.3">
      <c r="A550" s="31" t="s">
        <v>563</v>
      </c>
      <c r="B550" s="32">
        <v>45486</v>
      </c>
      <c r="C550" s="47">
        <f>EOMONTH(Table2[[#This Row],[OrderDate]],-1)+1</f>
        <v>45474</v>
      </c>
      <c r="D550" s="45">
        <f>EOMONTH(_xlfn.MINIFS(B550:B1180,M550:M1180,Table2[[#This Row],[Country]]), -1) + 1</f>
        <v>44927</v>
      </c>
      <c r="E550" s="47"/>
      <c r="F550" s="32" t="str">
        <f>"Q"&amp;ROUNDUP(MONTH(B550)/3,0)&amp;"-"&amp;YEAR(B550)</f>
        <v>Q3-2024</v>
      </c>
      <c r="G550" s="32">
        <v>45507</v>
      </c>
      <c r="H550" s="32">
        <f>IF(G550&lt;B550, B550+3, G550)</f>
        <v>45507</v>
      </c>
      <c r="I550" s="33">
        <f>H550-B550</f>
        <v>21</v>
      </c>
      <c r="J550" s="33">
        <f t="shared" si="48"/>
        <v>0</v>
      </c>
      <c r="K550" s="33">
        <f t="shared" si="49"/>
        <v>0</v>
      </c>
      <c r="L550" s="34" t="s">
        <v>648</v>
      </c>
      <c r="M550" s="34" t="s">
        <v>655</v>
      </c>
      <c r="N550" s="34" t="s">
        <v>692</v>
      </c>
      <c r="O550" s="34" t="s">
        <v>701</v>
      </c>
      <c r="P550" s="34" t="s">
        <v>709</v>
      </c>
      <c r="Q550" s="34" t="s">
        <v>724</v>
      </c>
      <c r="R550" s="34" t="s">
        <v>732</v>
      </c>
      <c r="S550" s="34" t="s">
        <v>1281</v>
      </c>
      <c r="T550" s="35">
        <v>702.98</v>
      </c>
      <c r="U550" s="35">
        <v>1104.8</v>
      </c>
      <c r="V550" s="35">
        <f t="shared" si="50"/>
        <v>0.17499999999999999</v>
      </c>
      <c r="W550" s="35">
        <v>0.17499999999999999</v>
      </c>
      <c r="X550" s="33">
        <f>IF(Table2[[#This Row],[DiscountPct]]&gt;0.2,1,0)</f>
        <v>0</v>
      </c>
      <c r="Y550" s="33">
        <v>12</v>
      </c>
      <c r="Z550" s="30">
        <f>Table2[[#This Row],[UnitPrice]]*Y550*(1-V550)</f>
        <v>10937.519999999999</v>
      </c>
      <c r="AA550" s="31">
        <f>T550*Y550</f>
        <v>8435.76</v>
      </c>
      <c r="AB550" s="31">
        <f t="shared" si="51"/>
        <v>2501.7599999999984</v>
      </c>
      <c r="AC550" s="31">
        <f t="shared" si="52"/>
        <v>0.22873192460448061</v>
      </c>
      <c r="AD550" s="31" t="e">
        <f>_xlfn.PERCENTILE.INC(S:S, 0.33)</f>
        <v>#NUM!</v>
      </c>
      <c r="AE550" s="31" t="e">
        <f>_xlfn.PERCENTILE.INC(S:S, 0.66)</f>
        <v>#NUM!</v>
      </c>
      <c r="AF550" s="30" t="e">
        <f t="shared" si="53"/>
        <v>#NUM!</v>
      </c>
    </row>
    <row r="551" spans="1:32" x14ac:dyDescent="0.3">
      <c r="A551" s="2" t="s">
        <v>564</v>
      </c>
      <c r="B551" s="4">
        <v>45633</v>
      </c>
      <c r="C551" s="46">
        <f>EOMONTH(Table2[[#This Row],[OrderDate]],-1)+1</f>
        <v>45627</v>
      </c>
      <c r="D551" s="45">
        <f>EOMONTH(_xlfn.MINIFS(B551:B1181,M551:M1181,Table2[[#This Row],[Country]]), -1) + 1</f>
        <v>45017</v>
      </c>
      <c r="E551" s="46"/>
      <c r="F551" s="4" t="str">
        <f>"Q"&amp;ROUNDUP(MONTH(B551)/3,0)&amp;"-"&amp;YEAR(B551)</f>
        <v>Q4-2024</v>
      </c>
      <c r="G551" s="4">
        <v>45652</v>
      </c>
      <c r="H551" s="4">
        <f>IF(G551&lt;B551, B551+3, G551)</f>
        <v>45652</v>
      </c>
      <c r="I551" s="10">
        <f>H551-B551</f>
        <v>19</v>
      </c>
      <c r="J551" s="10">
        <f t="shared" si="48"/>
        <v>0</v>
      </c>
      <c r="K551" s="10">
        <f t="shared" si="49"/>
        <v>0</v>
      </c>
      <c r="L551" s="6" t="s">
        <v>649</v>
      </c>
      <c r="M551" s="6" t="s">
        <v>658</v>
      </c>
      <c r="N551" s="6" t="s">
        <v>683</v>
      </c>
      <c r="O551" s="6" t="s">
        <v>706</v>
      </c>
      <c r="P551" s="6" t="s">
        <v>708</v>
      </c>
      <c r="Q551" s="6" t="s">
        <v>726</v>
      </c>
      <c r="R551" s="6" t="s">
        <v>729</v>
      </c>
      <c r="S551" s="6" t="s">
        <v>1282</v>
      </c>
      <c r="T551" s="8">
        <v>1035.24</v>
      </c>
      <c r="U551" s="8">
        <v>2383.41</v>
      </c>
      <c r="V551" s="8">
        <f t="shared" si="50"/>
        <v>0.17</v>
      </c>
      <c r="W551" s="8">
        <v>0.17</v>
      </c>
      <c r="X551" s="10">
        <f>IF(Table2[[#This Row],[DiscountPct]]&gt;0.2,1,0)</f>
        <v>0</v>
      </c>
      <c r="Y551" s="10">
        <v>15</v>
      </c>
      <c r="Z551" s="30">
        <f>Table2[[#This Row],[UnitPrice]]*Y551*(1-V551)</f>
        <v>29673.454499999993</v>
      </c>
      <c r="AA551" s="2">
        <f>T551*Y551</f>
        <v>15528.6</v>
      </c>
      <c r="AB551" s="2">
        <f t="shared" si="51"/>
        <v>14144.854499999992</v>
      </c>
      <c r="AC551" s="2">
        <f t="shared" si="52"/>
        <v>0.47668378145860962</v>
      </c>
      <c r="AD551" s="2" t="e">
        <f>_xlfn.PERCENTILE.INC(S:S, 0.33)</f>
        <v>#NUM!</v>
      </c>
      <c r="AE551" s="2" t="e">
        <f>_xlfn.PERCENTILE.INC(S:S, 0.66)</f>
        <v>#NUM!</v>
      </c>
      <c r="AF551" s="30" t="e">
        <f t="shared" si="53"/>
        <v>#NUM!</v>
      </c>
    </row>
    <row r="552" spans="1:32" x14ac:dyDescent="0.3">
      <c r="A552" s="31" t="s">
        <v>565</v>
      </c>
      <c r="B552" s="32">
        <v>45875</v>
      </c>
      <c r="C552" s="47">
        <f>EOMONTH(Table2[[#This Row],[OrderDate]],-1)+1</f>
        <v>45870</v>
      </c>
      <c r="D552" s="45">
        <f>EOMONTH(_xlfn.MINIFS(B552:B1182,M552:M1182,Table2[[#This Row],[Country]]), -1) + 1</f>
        <v>44927</v>
      </c>
      <c r="E552" s="47"/>
      <c r="F552" s="32" t="str">
        <f>"Q"&amp;ROUNDUP(MONTH(B552)/3,0)&amp;"-"&amp;YEAR(B552)</f>
        <v>Q3-2025</v>
      </c>
      <c r="G552" s="32">
        <v>45892</v>
      </c>
      <c r="H552" s="32">
        <f>IF(G552&lt;B552, B552+3, G552)</f>
        <v>45892</v>
      </c>
      <c r="I552" s="33">
        <f>H552-B552</f>
        <v>17</v>
      </c>
      <c r="J552" s="33">
        <f t="shared" si="48"/>
        <v>0</v>
      </c>
      <c r="K552" s="33">
        <f t="shared" si="49"/>
        <v>0</v>
      </c>
      <c r="L552" s="34" t="s">
        <v>648</v>
      </c>
      <c r="M552" s="34" t="s">
        <v>655</v>
      </c>
      <c r="N552" s="34" t="s">
        <v>672</v>
      </c>
      <c r="O552" s="34" t="s">
        <v>704</v>
      </c>
      <c r="P552" s="34" t="s">
        <v>710</v>
      </c>
      <c r="Q552" s="34" t="s">
        <v>720</v>
      </c>
      <c r="R552" s="34" t="s">
        <v>732</v>
      </c>
      <c r="S552" s="34" t="s">
        <v>1283</v>
      </c>
      <c r="T552" s="35">
        <v>86.64</v>
      </c>
      <c r="U552" s="35">
        <v>213.06</v>
      </c>
      <c r="V552" s="35">
        <f t="shared" si="50"/>
        <v>0.21199999999999999</v>
      </c>
      <c r="W552" s="35">
        <v>0.21199999999999999</v>
      </c>
      <c r="X552" s="33">
        <f>IF(Table2[[#This Row],[DiscountPct]]&gt;0.2,1,0)</f>
        <v>1</v>
      </c>
      <c r="Y552" s="33">
        <v>11</v>
      </c>
      <c r="Z552" s="30">
        <f>Table2[[#This Row],[UnitPrice]]*Y552*(1-V552)</f>
        <v>1846.8040799999999</v>
      </c>
      <c r="AA552" s="31">
        <f>T552*Y552</f>
        <v>953.04</v>
      </c>
      <c r="AB552" s="31">
        <f t="shared" si="51"/>
        <v>893.76407999999992</v>
      </c>
      <c r="AC552" s="31">
        <f t="shared" si="52"/>
        <v>0.48395175735154322</v>
      </c>
      <c r="AD552" s="31" t="e">
        <f>_xlfn.PERCENTILE.INC(S:S, 0.33)</f>
        <v>#NUM!</v>
      </c>
      <c r="AE552" s="31" t="e">
        <f>_xlfn.PERCENTILE.INC(S:S, 0.66)</f>
        <v>#NUM!</v>
      </c>
      <c r="AF552" s="30" t="e">
        <f t="shared" si="53"/>
        <v>#NUM!</v>
      </c>
    </row>
    <row r="553" spans="1:32" x14ac:dyDescent="0.3">
      <c r="A553" s="2" t="s">
        <v>566</v>
      </c>
      <c r="B553" s="4">
        <v>44988</v>
      </c>
      <c r="C553" s="46">
        <f>EOMONTH(Table2[[#This Row],[OrderDate]],-1)+1</f>
        <v>44986</v>
      </c>
      <c r="D553" s="45">
        <f>EOMONTH(_xlfn.MINIFS(B553:B1183,M553:M1183,Table2[[#This Row],[Country]]), -1) + 1</f>
        <v>44986</v>
      </c>
      <c r="E553" s="46"/>
      <c r="F553" s="4" t="str">
        <f>"Q"&amp;ROUNDUP(MONTH(B553)/3,0)&amp;"-"&amp;YEAR(B553)</f>
        <v>Q1-2023</v>
      </c>
      <c r="G553" s="4">
        <v>45005</v>
      </c>
      <c r="H553" s="4">
        <f>IF(G553&lt;B553, B553+3, G553)</f>
        <v>45005</v>
      </c>
      <c r="I553" s="10">
        <f>H553-B553</f>
        <v>17</v>
      </c>
      <c r="J553" s="10">
        <f t="shared" si="48"/>
        <v>0</v>
      </c>
      <c r="K553" s="10">
        <f t="shared" si="49"/>
        <v>0</v>
      </c>
      <c r="L553" s="6" t="s">
        <v>647</v>
      </c>
      <c r="M553" s="6" t="s">
        <v>652</v>
      </c>
      <c r="N553" s="6" t="s">
        <v>694</v>
      </c>
      <c r="O553" s="6" t="s">
        <v>705</v>
      </c>
      <c r="P553" s="6" t="s">
        <v>708</v>
      </c>
      <c r="Q553" s="6" t="s">
        <v>726</v>
      </c>
      <c r="R553" s="6" t="s">
        <v>729</v>
      </c>
      <c r="S553" s="6" t="s">
        <v>1284</v>
      </c>
      <c r="T553" s="8">
        <v>1171.17</v>
      </c>
      <c r="U553" s="8">
        <v>2030.64</v>
      </c>
      <c r="V553" s="8">
        <f t="shared" si="50"/>
        <v>0.157</v>
      </c>
      <c r="W553" s="8">
        <v>0.157</v>
      </c>
      <c r="X553" s="10">
        <f>IF(Table2[[#This Row],[DiscountPct]]&gt;0.2,1,0)</f>
        <v>0</v>
      </c>
      <c r="Y553" s="10">
        <v>11</v>
      </c>
      <c r="Z553" s="30">
        <f>Table2[[#This Row],[UnitPrice]]*Y553*(1-V553)</f>
        <v>18830.12472</v>
      </c>
      <c r="AA553" s="2">
        <f>T553*Y553</f>
        <v>12882.87</v>
      </c>
      <c r="AB553" s="2">
        <f t="shared" si="51"/>
        <v>5947.254719999999</v>
      </c>
      <c r="AC553" s="2">
        <f t="shared" si="52"/>
        <v>0.31583724528830415</v>
      </c>
      <c r="AD553" s="2" t="e">
        <f>_xlfn.PERCENTILE.INC(S:S, 0.33)</f>
        <v>#NUM!</v>
      </c>
      <c r="AE553" s="2" t="e">
        <f>_xlfn.PERCENTILE.INC(S:S, 0.66)</f>
        <v>#NUM!</v>
      </c>
      <c r="AF553" s="30" t="e">
        <f t="shared" si="53"/>
        <v>#NUM!</v>
      </c>
    </row>
    <row r="554" spans="1:32" x14ac:dyDescent="0.3">
      <c r="A554" s="31" t="s">
        <v>567</v>
      </c>
      <c r="B554" s="32">
        <v>45704</v>
      </c>
      <c r="C554" s="47">
        <f>EOMONTH(Table2[[#This Row],[OrderDate]],-1)+1</f>
        <v>45689</v>
      </c>
      <c r="D554" s="45">
        <f>EOMONTH(_xlfn.MINIFS(B554:B1184,M554:M1184,Table2[[#This Row],[Country]]), -1) + 1</f>
        <v>45261</v>
      </c>
      <c r="E554" s="47"/>
      <c r="F554" s="32" t="str">
        <f>"Q"&amp;ROUNDUP(MONTH(B554)/3,0)&amp;"-"&amp;YEAR(B554)</f>
        <v>Q1-2025</v>
      </c>
      <c r="G554" s="32">
        <v>45733</v>
      </c>
      <c r="H554" s="32">
        <f>IF(G554&lt;B554, B554+3, G554)</f>
        <v>45733</v>
      </c>
      <c r="I554" s="33">
        <f>H554-B554</f>
        <v>29</v>
      </c>
      <c r="J554" s="33">
        <f t="shared" si="48"/>
        <v>0</v>
      </c>
      <c r="K554" s="33">
        <f t="shared" si="49"/>
        <v>0</v>
      </c>
      <c r="L554" s="34" t="s">
        <v>649</v>
      </c>
      <c r="M554" s="34" t="s">
        <v>656</v>
      </c>
      <c r="N554" s="34" t="s">
        <v>684</v>
      </c>
      <c r="O554" s="34" t="s">
        <v>704</v>
      </c>
      <c r="P554" s="34" t="s">
        <v>707</v>
      </c>
      <c r="Q554" s="34" t="s">
        <v>716</v>
      </c>
      <c r="R554" s="34" t="s">
        <v>733</v>
      </c>
      <c r="S554" s="34" t="s">
        <v>1285</v>
      </c>
      <c r="T554" s="35">
        <v>730.42</v>
      </c>
      <c r="U554" s="35">
        <v>956.7</v>
      </c>
      <c r="V554" s="35">
        <f t="shared" si="50"/>
        <v>4.2000000000000003E-2</v>
      </c>
      <c r="W554" s="35">
        <v>4.2000000000000003E-2</v>
      </c>
      <c r="X554" s="33">
        <f>IF(Table2[[#This Row],[DiscountPct]]&gt;0.2,1,0)</f>
        <v>0</v>
      </c>
      <c r="Y554" s="33">
        <v>22</v>
      </c>
      <c r="Z554" s="30">
        <f>Table2[[#This Row],[UnitPrice]]*Y554*(1-V554)</f>
        <v>20163.409200000002</v>
      </c>
      <c r="AA554" s="31">
        <f>T554*Y554</f>
        <v>16069.24</v>
      </c>
      <c r="AB554" s="31">
        <f t="shared" si="51"/>
        <v>4094.1692000000021</v>
      </c>
      <c r="AC554" s="31">
        <f t="shared" si="52"/>
        <v>0.20304945256975698</v>
      </c>
      <c r="AD554" s="31" t="e">
        <f>_xlfn.PERCENTILE.INC(S:S, 0.33)</f>
        <v>#NUM!</v>
      </c>
      <c r="AE554" s="31" t="e">
        <f>_xlfn.PERCENTILE.INC(S:S, 0.66)</f>
        <v>#NUM!</v>
      </c>
      <c r="AF554" s="30" t="e">
        <f t="shared" si="53"/>
        <v>#NUM!</v>
      </c>
    </row>
    <row r="555" spans="1:32" x14ac:dyDescent="0.3">
      <c r="A555" s="2" t="s">
        <v>568</v>
      </c>
      <c r="B555" s="4">
        <v>45703</v>
      </c>
      <c r="C555" s="46">
        <f>EOMONTH(Table2[[#This Row],[OrderDate]],-1)+1</f>
        <v>45689</v>
      </c>
      <c r="D555" s="45">
        <f>EOMONTH(_xlfn.MINIFS(B555:B1185,M555:M1185,Table2[[#This Row],[Country]]), -1) + 1</f>
        <v>45170</v>
      </c>
      <c r="E555" s="46"/>
      <c r="F555" s="4" t="str">
        <f>"Q"&amp;ROUNDUP(MONTH(B555)/3,0)&amp;"-"&amp;YEAR(B555)</f>
        <v>Q1-2025</v>
      </c>
      <c r="G555" s="4">
        <v>45717</v>
      </c>
      <c r="H555" s="4">
        <f>IF(G555&lt;B555, B555+3, G555)</f>
        <v>45717</v>
      </c>
      <c r="I555" s="10">
        <f>H555-B555</f>
        <v>14</v>
      </c>
      <c r="J555" s="10">
        <f t="shared" si="48"/>
        <v>0</v>
      </c>
      <c r="K555" s="10">
        <f t="shared" si="49"/>
        <v>0</v>
      </c>
      <c r="L555" s="6" t="s">
        <v>646</v>
      </c>
      <c r="M555" s="6" t="s">
        <v>650</v>
      </c>
      <c r="N555" s="6" t="s">
        <v>675</v>
      </c>
      <c r="O555" s="6" t="s">
        <v>702</v>
      </c>
      <c r="P555" s="6" t="s">
        <v>711</v>
      </c>
      <c r="Q555" s="6" t="s">
        <v>716</v>
      </c>
      <c r="R555" s="6" t="s">
        <v>733</v>
      </c>
      <c r="S555" s="6" t="s">
        <v>1286</v>
      </c>
      <c r="T555" s="8">
        <v>1162.8599999999999</v>
      </c>
      <c r="U555" s="8">
        <v>1447.68</v>
      </c>
      <c r="V555" s="8">
        <f t="shared" si="50"/>
        <v>8.6999999999999994E-2</v>
      </c>
      <c r="W555" s="8">
        <v>8.6999999999999994E-2</v>
      </c>
      <c r="X555" s="10">
        <f>IF(Table2[[#This Row],[DiscountPct]]&gt;0.2,1,0)</f>
        <v>0</v>
      </c>
      <c r="Y555" s="10">
        <v>12</v>
      </c>
      <c r="Z555" s="30">
        <f>Table2[[#This Row],[UnitPrice]]*Y555*(1-V555)</f>
        <v>15860.782080000001</v>
      </c>
      <c r="AA555" s="2">
        <f>T555*Y555</f>
        <v>13954.32</v>
      </c>
      <c r="AB555" s="2">
        <f t="shared" si="51"/>
        <v>1906.4620800000012</v>
      </c>
      <c r="AC555" s="2">
        <f t="shared" si="52"/>
        <v>0.12019975247021369</v>
      </c>
      <c r="AD555" s="2" t="e">
        <f>_xlfn.PERCENTILE.INC(S:S, 0.33)</f>
        <v>#NUM!</v>
      </c>
      <c r="AE555" s="2" t="e">
        <f>_xlfn.PERCENTILE.INC(S:S, 0.66)</f>
        <v>#NUM!</v>
      </c>
      <c r="AF555" s="30" t="e">
        <f t="shared" si="53"/>
        <v>#NUM!</v>
      </c>
    </row>
    <row r="556" spans="1:32" x14ac:dyDescent="0.3">
      <c r="A556" s="31" t="s">
        <v>569</v>
      </c>
      <c r="B556" s="32">
        <v>45535</v>
      </c>
      <c r="C556" s="47">
        <f>EOMONTH(Table2[[#This Row],[OrderDate]],-1)+1</f>
        <v>45505</v>
      </c>
      <c r="D556" s="45">
        <f>EOMONTH(_xlfn.MINIFS(B556:B1186,M556:M1186,Table2[[#This Row],[Country]]), -1) + 1</f>
        <v>45017</v>
      </c>
      <c r="E556" s="47"/>
      <c r="F556" s="32" t="str">
        <f>"Q"&amp;ROUNDUP(MONTH(B556)/3,0)&amp;"-"&amp;YEAR(B556)</f>
        <v>Q3-2024</v>
      </c>
      <c r="G556" s="32">
        <v>45561</v>
      </c>
      <c r="H556" s="32">
        <f>IF(G556&lt;B556, B556+3, G556)</f>
        <v>45561</v>
      </c>
      <c r="I556" s="33">
        <f>H556-B556</f>
        <v>26</v>
      </c>
      <c r="J556" s="33">
        <f t="shared" si="48"/>
        <v>0</v>
      </c>
      <c r="K556" s="33">
        <f t="shared" si="49"/>
        <v>0</v>
      </c>
      <c r="L556" s="34" t="s">
        <v>647</v>
      </c>
      <c r="M556" s="34" t="s">
        <v>652</v>
      </c>
      <c r="N556" s="34" t="s">
        <v>689</v>
      </c>
      <c r="O556" s="34" t="s">
        <v>702</v>
      </c>
      <c r="P556" s="34" t="s">
        <v>708</v>
      </c>
      <c r="Q556" s="34" t="s">
        <v>714</v>
      </c>
      <c r="R556" s="34" t="s">
        <v>730</v>
      </c>
      <c r="S556" s="34" t="s">
        <v>1287</v>
      </c>
      <c r="T556" s="35">
        <v>1189.03</v>
      </c>
      <c r="U556" s="35">
        <v>2949.62</v>
      </c>
      <c r="V556" s="35">
        <f t="shared" si="50"/>
        <v>0.125</v>
      </c>
      <c r="W556" s="35">
        <v>0.125</v>
      </c>
      <c r="X556" s="33">
        <f>IF(Table2[[#This Row],[DiscountPct]]&gt;0.2,1,0)</f>
        <v>0</v>
      </c>
      <c r="Y556" s="33">
        <v>13</v>
      </c>
      <c r="Z556" s="30">
        <f>Table2[[#This Row],[UnitPrice]]*Y556*(1-V556)</f>
        <v>33551.927499999998</v>
      </c>
      <c r="AA556" s="31">
        <f>T556*Y556</f>
        <v>15457.39</v>
      </c>
      <c r="AB556" s="31">
        <f t="shared" si="51"/>
        <v>18094.537499999999</v>
      </c>
      <c r="AC556" s="31">
        <f t="shared" si="52"/>
        <v>0.53929949330034765</v>
      </c>
      <c r="AD556" s="31" t="e">
        <f>_xlfn.PERCENTILE.INC(S:S, 0.33)</f>
        <v>#NUM!</v>
      </c>
      <c r="AE556" s="31" t="e">
        <f>_xlfn.PERCENTILE.INC(S:S, 0.66)</f>
        <v>#NUM!</v>
      </c>
      <c r="AF556" s="30" t="e">
        <f t="shared" si="53"/>
        <v>#NUM!</v>
      </c>
    </row>
    <row r="557" spans="1:32" x14ac:dyDescent="0.3">
      <c r="A557" s="2" t="s">
        <v>570</v>
      </c>
      <c r="B557" s="4">
        <v>45053</v>
      </c>
      <c r="C557" s="46">
        <f>EOMONTH(Table2[[#This Row],[OrderDate]],-1)+1</f>
        <v>45047</v>
      </c>
      <c r="D557" s="45">
        <f>EOMONTH(_xlfn.MINIFS(B557:B1187,M557:M1187,Table2[[#This Row],[Country]]), -1) + 1</f>
        <v>45047</v>
      </c>
      <c r="E557" s="46"/>
      <c r="F557" s="4" t="str">
        <f>"Q"&amp;ROUNDUP(MONTH(B557)/3,0)&amp;"-"&amp;YEAR(B557)</f>
        <v>Q2-2023</v>
      </c>
      <c r="G557" s="4">
        <v>45066</v>
      </c>
      <c r="H557" s="4">
        <f>IF(G557&lt;B557, B557+3, G557)</f>
        <v>45066</v>
      </c>
      <c r="I557" s="10">
        <f>H557-B557</f>
        <v>13</v>
      </c>
      <c r="J557" s="10">
        <f t="shared" si="48"/>
        <v>0</v>
      </c>
      <c r="K557" s="10">
        <f t="shared" si="49"/>
        <v>0</v>
      </c>
      <c r="L557" s="6" t="s">
        <v>647</v>
      </c>
      <c r="M557" s="6" t="s">
        <v>654</v>
      </c>
      <c r="N557" s="6" t="s">
        <v>691</v>
      </c>
      <c r="O557" s="6" t="s">
        <v>706</v>
      </c>
      <c r="P557" s="6" t="s">
        <v>707</v>
      </c>
      <c r="Q557" s="6" t="s">
        <v>726</v>
      </c>
      <c r="R557" s="6" t="s">
        <v>733</v>
      </c>
      <c r="S557" s="6" t="s">
        <v>1288</v>
      </c>
      <c r="T557" s="8">
        <v>1443.28</v>
      </c>
      <c r="U557" s="8">
        <v>2580.5700000000002</v>
      </c>
      <c r="V557" s="8">
        <f t="shared" si="50"/>
        <v>0</v>
      </c>
      <c r="W557" s="8">
        <v>0</v>
      </c>
      <c r="X557" s="10">
        <f>IF(Table2[[#This Row],[DiscountPct]]&gt;0.2,1,0)</f>
        <v>0</v>
      </c>
      <c r="Y557" s="10">
        <v>18</v>
      </c>
      <c r="Z557" s="30">
        <f>Table2[[#This Row],[UnitPrice]]*Y557*(1-V557)</f>
        <v>46450.26</v>
      </c>
      <c r="AA557" s="2">
        <f>T557*Y557</f>
        <v>25979.040000000001</v>
      </c>
      <c r="AB557" s="2">
        <f t="shared" si="51"/>
        <v>20471.22</v>
      </c>
      <c r="AC557" s="2">
        <f t="shared" si="52"/>
        <v>0.4407127107577008</v>
      </c>
      <c r="AD557" s="2" t="e">
        <f>_xlfn.PERCENTILE.INC(S:S, 0.33)</f>
        <v>#NUM!</v>
      </c>
      <c r="AE557" s="2" t="e">
        <f>_xlfn.PERCENTILE.INC(S:S, 0.66)</f>
        <v>#NUM!</v>
      </c>
      <c r="AF557" s="30" t="e">
        <f t="shared" si="53"/>
        <v>#NUM!</v>
      </c>
    </row>
    <row r="558" spans="1:32" x14ac:dyDescent="0.3">
      <c r="A558" s="31" t="s">
        <v>571</v>
      </c>
      <c r="B558" s="32">
        <v>45791</v>
      </c>
      <c r="C558" s="47">
        <f>EOMONTH(Table2[[#This Row],[OrderDate]],-1)+1</f>
        <v>45778</v>
      </c>
      <c r="D558" s="45">
        <f>EOMONTH(_xlfn.MINIFS(B558:B1188,M558:M1188,Table2[[#This Row],[Country]]), -1) + 1</f>
        <v>45017</v>
      </c>
      <c r="E558" s="47"/>
      <c r="F558" s="32" t="str">
        <f>"Q"&amp;ROUNDUP(MONTH(B558)/3,0)&amp;"-"&amp;YEAR(B558)</f>
        <v>Q2-2025</v>
      </c>
      <c r="G558" s="32">
        <v>45789</v>
      </c>
      <c r="H558" s="32">
        <f>IF(G558&lt;B558, B558+3, G558)</f>
        <v>45794</v>
      </c>
      <c r="I558" s="33">
        <f>H558-B558</f>
        <v>3</v>
      </c>
      <c r="J558" s="33">
        <f t="shared" si="48"/>
        <v>1</v>
      </c>
      <c r="K558" s="33">
        <f t="shared" si="49"/>
        <v>1</v>
      </c>
      <c r="L558" s="34" t="s">
        <v>648</v>
      </c>
      <c r="M558" s="34" t="s">
        <v>653</v>
      </c>
      <c r="N558" s="34" t="s">
        <v>688</v>
      </c>
      <c r="O558" s="34" t="s">
        <v>703</v>
      </c>
      <c r="P558" s="34" t="s">
        <v>710</v>
      </c>
      <c r="Q558" s="34" t="s">
        <v>721</v>
      </c>
      <c r="R558" s="34" t="s">
        <v>728</v>
      </c>
      <c r="S558" s="34" t="s">
        <v>1289</v>
      </c>
      <c r="T558" s="35">
        <v>883.5</v>
      </c>
      <c r="U558" s="35">
        <v>1978.91</v>
      </c>
      <c r="V558" s="35">
        <f t="shared" si="50"/>
        <v>5.3999999999999999E-2</v>
      </c>
      <c r="W558" s="35">
        <v>5.3999999999999999E-2</v>
      </c>
      <c r="X558" s="33">
        <f>IF(Table2[[#This Row],[DiscountPct]]&gt;0.2,1,0)</f>
        <v>0</v>
      </c>
      <c r="Y558" s="33">
        <v>27</v>
      </c>
      <c r="Z558" s="30">
        <f>Table2[[#This Row],[UnitPrice]]*Y558*(1-V558)</f>
        <v>50545.319219999998</v>
      </c>
      <c r="AA558" s="31">
        <f>T558*Y558</f>
        <v>23854.5</v>
      </c>
      <c r="AB558" s="31">
        <f t="shared" si="51"/>
        <v>26690.819219999998</v>
      </c>
      <c r="AC558" s="31">
        <f t="shared" si="52"/>
        <v>0.52805718970390547</v>
      </c>
      <c r="AD558" s="31" t="e">
        <f>_xlfn.PERCENTILE.INC(S:S, 0.33)</f>
        <v>#NUM!</v>
      </c>
      <c r="AE558" s="31" t="e">
        <f>_xlfn.PERCENTILE.INC(S:S, 0.66)</f>
        <v>#NUM!</v>
      </c>
      <c r="AF558" s="30" t="e">
        <f t="shared" si="53"/>
        <v>#NUM!</v>
      </c>
    </row>
    <row r="559" spans="1:32" x14ac:dyDescent="0.3">
      <c r="A559" s="2" t="s">
        <v>572</v>
      </c>
      <c r="B559" s="4">
        <v>45362</v>
      </c>
      <c r="C559" s="46">
        <f>EOMONTH(Table2[[#This Row],[OrderDate]],-1)+1</f>
        <v>45352</v>
      </c>
      <c r="D559" s="45">
        <f>EOMONTH(_xlfn.MINIFS(B559:B1189,M559:M1189,Table2[[#This Row],[Country]]), -1) + 1</f>
        <v>44958</v>
      </c>
      <c r="E559" s="46"/>
      <c r="F559" s="4" t="str">
        <f>"Q"&amp;ROUNDUP(MONTH(B559)/3,0)&amp;"-"&amp;YEAR(B559)</f>
        <v>Q1-2024</v>
      </c>
      <c r="G559" s="4">
        <v>45380</v>
      </c>
      <c r="H559" s="4">
        <f>IF(G559&lt;B559, B559+3, G559)</f>
        <v>45380</v>
      </c>
      <c r="I559" s="10">
        <f>H559-B559</f>
        <v>18</v>
      </c>
      <c r="J559" s="10">
        <f t="shared" si="48"/>
        <v>0</v>
      </c>
      <c r="K559" s="10">
        <f t="shared" si="49"/>
        <v>0</v>
      </c>
      <c r="L559" s="6" t="s">
        <v>648</v>
      </c>
      <c r="M559" s="6" t="s">
        <v>660</v>
      </c>
      <c r="N559" s="6" t="s">
        <v>700</v>
      </c>
      <c r="O559" s="6" t="s">
        <v>701</v>
      </c>
      <c r="P559" s="6" t="s">
        <v>707</v>
      </c>
      <c r="Q559" s="6" t="s">
        <v>724</v>
      </c>
      <c r="R559" s="6" t="s">
        <v>732</v>
      </c>
      <c r="S559" s="6" t="s">
        <v>1290</v>
      </c>
      <c r="T559" s="8">
        <v>710.98</v>
      </c>
      <c r="U559" s="8">
        <v>1481.45</v>
      </c>
      <c r="V559" s="8">
        <f t="shared" si="50"/>
        <v>0.21099999999999999</v>
      </c>
      <c r="W559" s="8">
        <v>0.21099999999999999</v>
      </c>
      <c r="X559" s="10">
        <f>IF(Table2[[#This Row],[DiscountPct]]&gt;0.2,1,0)</f>
        <v>1</v>
      </c>
      <c r="Y559" s="10">
        <v>9</v>
      </c>
      <c r="Z559" s="30">
        <f>Table2[[#This Row],[UnitPrice]]*Y559*(1-V559)</f>
        <v>10519.776450000001</v>
      </c>
      <c r="AA559" s="2">
        <f>T559*Y559</f>
        <v>6398.82</v>
      </c>
      <c r="AB559" s="2">
        <f t="shared" si="51"/>
        <v>4120.9564500000015</v>
      </c>
      <c r="AC559" s="2">
        <f t="shared" si="52"/>
        <v>0.39173422264120461</v>
      </c>
      <c r="AD559" s="2" t="e">
        <f>_xlfn.PERCENTILE.INC(S:S, 0.33)</f>
        <v>#NUM!</v>
      </c>
      <c r="AE559" s="2" t="e">
        <f>_xlfn.PERCENTILE.INC(S:S, 0.66)</f>
        <v>#NUM!</v>
      </c>
      <c r="AF559" s="30" t="e">
        <f t="shared" si="53"/>
        <v>#NUM!</v>
      </c>
    </row>
    <row r="560" spans="1:32" x14ac:dyDescent="0.3">
      <c r="A560" s="31" t="s">
        <v>573</v>
      </c>
      <c r="B560" s="32">
        <v>45430</v>
      </c>
      <c r="C560" s="47">
        <f>EOMONTH(Table2[[#This Row],[OrderDate]],-1)+1</f>
        <v>45413</v>
      </c>
      <c r="D560" s="45">
        <f>EOMONTH(_xlfn.MINIFS(B560:B1190,M560:M1190,Table2[[#This Row],[Country]]), -1) + 1</f>
        <v>45170</v>
      </c>
      <c r="E560" s="47"/>
      <c r="F560" s="32" t="str">
        <f>"Q"&amp;ROUNDUP(MONTH(B560)/3,0)&amp;"-"&amp;YEAR(B560)</f>
        <v>Q2-2024</v>
      </c>
      <c r="G560" s="32">
        <v>45434</v>
      </c>
      <c r="H560" s="32">
        <f>IF(G560&lt;B560, B560+3, G560)</f>
        <v>45434</v>
      </c>
      <c r="I560" s="33">
        <f>H560-B560</f>
        <v>4</v>
      </c>
      <c r="J560" s="33">
        <f t="shared" si="48"/>
        <v>1</v>
      </c>
      <c r="K560" s="33">
        <f t="shared" si="49"/>
        <v>1</v>
      </c>
      <c r="L560" s="34" t="s">
        <v>646</v>
      </c>
      <c r="M560" s="34" t="s">
        <v>650</v>
      </c>
      <c r="N560" s="34" t="s">
        <v>664</v>
      </c>
      <c r="O560" s="34" t="s">
        <v>701</v>
      </c>
      <c r="P560" s="34" t="s">
        <v>711</v>
      </c>
      <c r="Q560" s="34" t="s">
        <v>722</v>
      </c>
      <c r="R560" s="34" t="s">
        <v>733</v>
      </c>
      <c r="S560" s="34" t="s">
        <v>1291</v>
      </c>
      <c r="T560" s="35">
        <v>857.42</v>
      </c>
      <c r="U560" s="35">
        <v>1658.92</v>
      </c>
      <c r="V560" s="35">
        <f t="shared" si="50"/>
        <v>0.122</v>
      </c>
      <c r="W560" s="35">
        <v>0.122</v>
      </c>
      <c r="X560" s="33">
        <f>IF(Table2[[#This Row],[DiscountPct]]&gt;0.2,1,0)</f>
        <v>0</v>
      </c>
      <c r="Y560" s="33">
        <v>9</v>
      </c>
      <c r="Z560" s="30">
        <f>Table2[[#This Row],[UnitPrice]]*Y560*(1-V560)</f>
        <v>13108.78584</v>
      </c>
      <c r="AA560" s="31">
        <f>T560*Y560</f>
        <v>7716.78</v>
      </c>
      <c r="AB560" s="31">
        <f t="shared" si="51"/>
        <v>5392.0058400000007</v>
      </c>
      <c r="AC560" s="31">
        <f t="shared" si="52"/>
        <v>0.41132763215544305</v>
      </c>
      <c r="AD560" s="31" t="e">
        <f>_xlfn.PERCENTILE.INC(S:S, 0.33)</f>
        <v>#NUM!</v>
      </c>
      <c r="AE560" s="31" t="e">
        <f>_xlfn.PERCENTILE.INC(S:S, 0.66)</f>
        <v>#NUM!</v>
      </c>
      <c r="AF560" s="30" t="e">
        <f t="shared" si="53"/>
        <v>#NUM!</v>
      </c>
    </row>
    <row r="561" spans="1:32" x14ac:dyDescent="0.3">
      <c r="A561" s="2" t="s">
        <v>574</v>
      </c>
      <c r="B561" s="4">
        <v>45299</v>
      </c>
      <c r="C561" s="46">
        <f>EOMONTH(Table2[[#This Row],[OrderDate]],-1)+1</f>
        <v>45292</v>
      </c>
      <c r="D561" s="45">
        <f>EOMONTH(_xlfn.MINIFS(B561:B1191,M561:M1191,Table2[[#This Row],[Country]]), -1) + 1</f>
        <v>45078</v>
      </c>
      <c r="E561" s="46"/>
      <c r="F561" s="4" t="str">
        <f>"Q"&amp;ROUNDUP(MONTH(B561)/3,0)&amp;"-"&amp;YEAR(B561)</f>
        <v>Q1-2024</v>
      </c>
      <c r="G561" s="4">
        <v>45303</v>
      </c>
      <c r="H561" s="4">
        <f>IF(G561&lt;B561, B561+3, G561)</f>
        <v>45303</v>
      </c>
      <c r="I561" s="10">
        <f>H561-B561</f>
        <v>4</v>
      </c>
      <c r="J561" s="10">
        <f t="shared" si="48"/>
        <v>1</v>
      </c>
      <c r="K561" s="10">
        <f t="shared" si="49"/>
        <v>1</v>
      </c>
      <c r="L561" s="6" t="s">
        <v>647</v>
      </c>
      <c r="M561" s="6" t="s">
        <v>654</v>
      </c>
      <c r="N561" s="6" t="s">
        <v>668</v>
      </c>
      <c r="O561" s="6" t="s">
        <v>701</v>
      </c>
      <c r="P561" s="6" t="s">
        <v>711</v>
      </c>
      <c r="Q561" s="6" t="s">
        <v>718</v>
      </c>
      <c r="R561" s="6" t="s">
        <v>728</v>
      </c>
      <c r="S561" s="6" t="s">
        <v>1292</v>
      </c>
      <c r="T561" s="8">
        <v>802.32</v>
      </c>
      <c r="U561" s="8">
        <v>602.34</v>
      </c>
      <c r="V561" s="8">
        <f t="shared" si="50"/>
        <v>0.12</v>
      </c>
      <c r="W561" s="8">
        <v>0.12</v>
      </c>
      <c r="X561" s="10">
        <f>IF(Table2[[#This Row],[DiscountPct]]&gt;0.2,1,0)</f>
        <v>0</v>
      </c>
      <c r="Y561" s="10">
        <v>25</v>
      </c>
      <c r="Z561" s="30">
        <f>Table2[[#This Row],[UnitPrice]]*Y561*(1-V561)</f>
        <v>13251.48</v>
      </c>
      <c r="AA561" s="2">
        <f>T561*Y561</f>
        <v>20058</v>
      </c>
      <c r="AB561" s="2">
        <f t="shared" si="51"/>
        <v>-6806.52</v>
      </c>
      <c r="AC561" s="2">
        <f t="shared" si="52"/>
        <v>-0.51364224977134632</v>
      </c>
      <c r="AD561" s="2" t="e">
        <f>_xlfn.PERCENTILE.INC(S:S, 0.33)</f>
        <v>#NUM!</v>
      </c>
      <c r="AE561" s="2" t="e">
        <f>_xlfn.PERCENTILE.INC(S:S, 0.66)</f>
        <v>#NUM!</v>
      </c>
      <c r="AF561" s="30" t="e">
        <f t="shared" si="53"/>
        <v>#NUM!</v>
      </c>
    </row>
    <row r="562" spans="1:32" x14ac:dyDescent="0.3">
      <c r="A562" s="31" t="s">
        <v>575</v>
      </c>
      <c r="B562" s="32">
        <v>45590</v>
      </c>
      <c r="C562" s="47">
        <f>EOMONTH(Table2[[#This Row],[OrderDate]],-1)+1</f>
        <v>45566</v>
      </c>
      <c r="D562" s="45">
        <f>EOMONTH(_xlfn.MINIFS(B562:B1192,M562:M1192,Table2[[#This Row],[Country]]), -1) + 1</f>
        <v>44958</v>
      </c>
      <c r="E562" s="47"/>
      <c r="F562" s="32" t="str">
        <f>"Q"&amp;ROUNDUP(MONTH(B562)/3,0)&amp;"-"&amp;YEAR(B562)</f>
        <v>Q4-2024</v>
      </c>
      <c r="G562" s="32">
        <v>45601</v>
      </c>
      <c r="H562" s="32">
        <f>IF(G562&lt;B562, B562+3, G562)</f>
        <v>45601</v>
      </c>
      <c r="I562" s="33">
        <f>H562-B562</f>
        <v>11</v>
      </c>
      <c r="J562" s="33">
        <f t="shared" si="48"/>
        <v>0</v>
      </c>
      <c r="K562" s="33">
        <f t="shared" si="49"/>
        <v>0</v>
      </c>
      <c r="L562" s="34" t="s">
        <v>648</v>
      </c>
      <c r="M562" s="34" t="s">
        <v>660</v>
      </c>
      <c r="N562" s="34" t="s">
        <v>700</v>
      </c>
      <c r="O562" s="34" t="s">
        <v>701</v>
      </c>
      <c r="P562" s="34" t="s">
        <v>710</v>
      </c>
      <c r="Q562" s="34" t="s">
        <v>725</v>
      </c>
      <c r="R562" s="34" t="s">
        <v>727</v>
      </c>
      <c r="S562" s="34" t="s">
        <v>1293</v>
      </c>
      <c r="T562" s="35">
        <v>446.66</v>
      </c>
      <c r="U562" s="35">
        <v>527.64</v>
      </c>
      <c r="V562" s="35">
        <f t="shared" si="50"/>
        <v>0.14499999999999999</v>
      </c>
      <c r="W562" s="35">
        <v>0.14499999999999999</v>
      </c>
      <c r="X562" s="33">
        <f>IF(Table2[[#This Row],[DiscountPct]]&gt;0.2,1,0)</f>
        <v>0</v>
      </c>
      <c r="Y562" s="33">
        <v>15</v>
      </c>
      <c r="Z562" s="30">
        <f>Table2[[#This Row],[UnitPrice]]*Y562*(1-V562)</f>
        <v>6766.9829999999993</v>
      </c>
      <c r="AA562" s="31">
        <f>T562*Y562</f>
        <v>6699.9000000000005</v>
      </c>
      <c r="AB562" s="31">
        <f t="shared" si="51"/>
        <v>67.082999999998719</v>
      </c>
      <c r="AC562" s="31">
        <f t="shared" si="52"/>
        <v>9.9132804087137105E-3</v>
      </c>
      <c r="AD562" s="31" t="e">
        <f>_xlfn.PERCENTILE.INC(S:S, 0.33)</f>
        <v>#NUM!</v>
      </c>
      <c r="AE562" s="31" t="e">
        <f>_xlfn.PERCENTILE.INC(S:S, 0.66)</f>
        <v>#NUM!</v>
      </c>
      <c r="AF562" s="30" t="e">
        <f t="shared" si="53"/>
        <v>#NUM!</v>
      </c>
    </row>
    <row r="563" spans="1:32" x14ac:dyDescent="0.3">
      <c r="A563" s="2" t="s">
        <v>576</v>
      </c>
      <c r="B563" s="4">
        <v>45626</v>
      </c>
      <c r="C563" s="46">
        <f>EOMONTH(Table2[[#This Row],[OrderDate]],-1)+1</f>
        <v>45597</v>
      </c>
      <c r="D563" s="45">
        <f>EOMONTH(_xlfn.MINIFS(B563:B1193,M563:M1193,Table2[[#This Row],[Country]]), -1) + 1</f>
        <v>45170</v>
      </c>
      <c r="E563" s="46"/>
      <c r="F563" s="4" t="str">
        <f>"Q"&amp;ROUNDUP(MONTH(B563)/3,0)&amp;"-"&amp;YEAR(B563)</f>
        <v>Q4-2024</v>
      </c>
      <c r="G563" s="4">
        <v>45645</v>
      </c>
      <c r="H563" s="4">
        <f>IF(G563&lt;B563, B563+3, G563)</f>
        <v>45645</v>
      </c>
      <c r="I563" s="10">
        <f>H563-B563</f>
        <v>19</v>
      </c>
      <c r="J563" s="10">
        <f t="shared" si="48"/>
        <v>0</v>
      </c>
      <c r="K563" s="10">
        <f t="shared" si="49"/>
        <v>0</v>
      </c>
      <c r="L563" s="6" t="s">
        <v>646</v>
      </c>
      <c r="M563" s="6" t="s">
        <v>650</v>
      </c>
      <c r="N563" s="6" t="s">
        <v>662</v>
      </c>
      <c r="O563" s="6" t="s">
        <v>701</v>
      </c>
      <c r="P563" s="6" t="s">
        <v>708</v>
      </c>
      <c r="Q563" s="6" t="s">
        <v>716</v>
      </c>
      <c r="R563" s="6" t="s">
        <v>730</v>
      </c>
      <c r="S563" s="6" t="s">
        <v>1294</v>
      </c>
      <c r="T563" s="8">
        <v>1195.98</v>
      </c>
      <c r="U563" s="8">
        <v>1841.9</v>
      </c>
      <c r="V563" s="8">
        <f t="shared" si="50"/>
        <v>5.5E-2</v>
      </c>
      <c r="W563" s="8">
        <v>5.5E-2</v>
      </c>
      <c r="X563" s="10">
        <f>IF(Table2[[#This Row],[DiscountPct]]&gt;0.2,1,0)</f>
        <v>0</v>
      </c>
      <c r="Y563" s="10">
        <v>19</v>
      </c>
      <c r="Z563" s="30">
        <f>Table2[[#This Row],[UnitPrice]]*Y563*(1-V563)</f>
        <v>33071.3145</v>
      </c>
      <c r="AA563" s="2">
        <f>T563*Y563</f>
        <v>22723.62</v>
      </c>
      <c r="AB563" s="2">
        <f t="shared" si="51"/>
        <v>10347.694500000001</v>
      </c>
      <c r="AC563" s="2">
        <f t="shared" si="52"/>
        <v>0.31289032977506842</v>
      </c>
      <c r="AD563" s="2" t="e">
        <f>_xlfn.PERCENTILE.INC(S:S, 0.33)</f>
        <v>#NUM!</v>
      </c>
      <c r="AE563" s="2" t="e">
        <f>_xlfn.PERCENTILE.INC(S:S, 0.66)</f>
        <v>#NUM!</v>
      </c>
      <c r="AF563" s="30" t="e">
        <f t="shared" si="53"/>
        <v>#NUM!</v>
      </c>
    </row>
    <row r="564" spans="1:32" x14ac:dyDescent="0.3">
      <c r="A564" s="31" t="s">
        <v>577</v>
      </c>
      <c r="B564" s="32">
        <v>45029</v>
      </c>
      <c r="C564" s="47">
        <f>EOMONTH(Table2[[#This Row],[OrderDate]],-1)+1</f>
        <v>45017</v>
      </c>
      <c r="D564" s="45">
        <f>EOMONTH(_xlfn.MINIFS(B564:B1194,M564:M1194,Table2[[#This Row],[Country]]), -1) + 1</f>
        <v>45017</v>
      </c>
      <c r="E564" s="47"/>
      <c r="F564" s="32" t="str">
        <f>"Q"&amp;ROUNDUP(MONTH(B564)/3,0)&amp;"-"&amp;YEAR(B564)</f>
        <v>Q2-2023</v>
      </c>
      <c r="G564" s="32">
        <v>45048</v>
      </c>
      <c r="H564" s="32">
        <f>IF(G564&lt;B564, B564+3, G564)</f>
        <v>45048</v>
      </c>
      <c r="I564" s="33">
        <f>H564-B564</f>
        <v>19</v>
      </c>
      <c r="J564" s="33">
        <f t="shared" si="48"/>
        <v>0</v>
      </c>
      <c r="K564" s="33">
        <f t="shared" si="49"/>
        <v>0</v>
      </c>
      <c r="L564" s="34" t="s">
        <v>648</v>
      </c>
      <c r="M564" s="34" t="s">
        <v>653</v>
      </c>
      <c r="N564" s="34" t="s">
        <v>681</v>
      </c>
      <c r="O564" s="34" t="s">
        <v>704</v>
      </c>
      <c r="P564" s="34" t="s">
        <v>710</v>
      </c>
      <c r="Q564" s="34" t="s">
        <v>718</v>
      </c>
      <c r="R564" s="34" t="s">
        <v>732</v>
      </c>
      <c r="S564" s="34" t="s">
        <v>1295</v>
      </c>
      <c r="T564" s="35">
        <v>671.05</v>
      </c>
      <c r="U564" s="35">
        <v>1645.48</v>
      </c>
      <c r="V564" s="35">
        <f t="shared" si="50"/>
        <v>0.13700000000000001</v>
      </c>
      <c r="W564" s="35">
        <v>0.13700000000000001</v>
      </c>
      <c r="X564" s="33">
        <f>IF(Table2[[#This Row],[DiscountPct]]&gt;0.2,1,0)</f>
        <v>0</v>
      </c>
      <c r="Y564" s="33">
        <v>6</v>
      </c>
      <c r="Z564" s="30">
        <f>Table2[[#This Row],[UnitPrice]]*Y564*(1-V564)</f>
        <v>8520.2954399999999</v>
      </c>
      <c r="AA564" s="31">
        <f>T564*Y564</f>
        <v>4026.2999999999997</v>
      </c>
      <c r="AB564" s="31">
        <f t="shared" si="51"/>
        <v>4493.9954400000006</v>
      </c>
      <c r="AC564" s="31">
        <f t="shared" si="52"/>
        <v>0.52744596377517172</v>
      </c>
      <c r="AD564" s="31" t="e">
        <f>_xlfn.PERCENTILE.INC(S:S, 0.33)</f>
        <v>#NUM!</v>
      </c>
      <c r="AE564" s="31" t="e">
        <f>_xlfn.PERCENTILE.INC(S:S, 0.66)</f>
        <v>#NUM!</v>
      </c>
      <c r="AF564" s="30" t="e">
        <f t="shared" si="53"/>
        <v>#NUM!</v>
      </c>
    </row>
    <row r="565" spans="1:32" x14ac:dyDescent="0.3">
      <c r="A565" s="2" t="s">
        <v>578</v>
      </c>
      <c r="B565" s="4">
        <v>45692</v>
      </c>
      <c r="C565" s="46">
        <f>EOMONTH(Table2[[#This Row],[OrderDate]],-1)+1</f>
        <v>45689</v>
      </c>
      <c r="D565" s="45">
        <f>EOMONTH(_xlfn.MINIFS(B565:B1195,M565:M1195,Table2[[#This Row],[Country]]), -1) + 1</f>
        <v>45017</v>
      </c>
      <c r="E565" s="46"/>
      <c r="F565" s="4" t="str">
        <f>"Q"&amp;ROUNDUP(MONTH(B565)/3,0)&amp;"-"&amp;YEAR(B565)</f>
        <v>Q1-2025</v>
      </c>
      <c r="G565" s="4">
        <v>45696</v>
      </c>
      <c r="H565" s="4">
        <f>IF(G565&lt;B565, B565+3, G565)</f>
        <v>45696</v>
      </c>
      <c r="I565" s="10">
        <f>H565-B565</f>
        <v>4</v>
      </c>
      <c r="J565" s="10">
        <f t="shared" si="48"/>
        <v>1</v>
      </c>
      <c r="K565" s="10">
        <f t="shared" si="49"/>
        <v>1</v>
      </c>
      <c r="L565" s="6" t="s">
        <v>649</v>
      </c>
      <c r="M565" s="6" t="s">
        <v>658</v>
      </c>
      <c r="N565" s="6" t="s">
        <v>693</v>
      </c>
      <c r="O565" s="6" t="s">
        <v>706</v>
      </c>
      <c r="P565" s="6" t="s">
        <v>709</v>
      </c>
      <c r="Q565" s="6" t="s">
        <v>716</v>
      </c>
      <c r="R565" s="6" t="s">
        <v>729</v>
      </c>
      <c r="S565" s="6" t="s">
        <v>1296</v>
      </c>
      <c r="T565" s="8">
        <v>586.21</v>
      </c>
      <c r="U565" s="8">
        <v>727.22</v>
      </c>
      <c r="V565" s="8">
        <f t="shared" si="50"/>
        <v>6.8000000000000005E-2</v>
      </c>
      <c r="W565" s="8">
        <v>6.8000000000000005E-2</v>
      </c>
      <c r="X565" s="10">
        <f>IF(Table2[[#This Row],[DiscountPct]]&gt;0.2,1,0)</f>
        <v>0</v>
      </c>
      <c r="Y565" s="10">
        <v>15</v>
      </c>
      <c r="Z565" s="30">
        <f>Table2[[#This Row],[UnitPrice]]*Y565*(1-V565)</f>
        <v>10166.535600000001</v>
      </c>
      <c r="AA565" s="2">
        <f>T565*Y565</f>
        <v>8793.1500000000015</v>
      </c>
      <c r="AB565" s="2">
        <f t="shared" si="51"/>
        <v>1373.3855999999996</v>
      </c>
      <c r="AC565" s="2">
        <f t="shared" si="52"/>
        <v>0.13508884973559721</v>
      </c>
      <c r="AD565" s="2" t="e">
        <f>_xlfn.PERCENTILE.INC(S:S, 0.33)</f>
        <v>#NUM!</v>
      </c>
      <c r="AE565" s="2" t="e">
        <f>_xlfn.PERCENTILE.INC(S:S, 0.66)</f>
        <v>#NUM!</v>
      </c>
      <c r="AF565" s="30" t="e">
        <f t="shared" si="53"/>
        <v>#NUM!</v>
      </c>
    </row>
    <row r="566" spans="1:32" x14ac:dyDescent="0.3">
      <c r="A566" s="31" t="s">
        <v>579</v>
      </c>
      <c r="B566" s="32">
        <v>45315</v>
      </c>
      <c r="C566" s="47">
        <f>EOMONTH(Table2[[#This Row],[OrderDate]],-1)+1</f>
        <v>45292</v>
      </c>
      <c r="D566" s="45">
        <f>EOMONTH(_xlfn.MINIFS(B566:B1196,M566:M1196,Table2[[#This Row],[Country]]), -1) + 1</f>
        <v>45017</v>
      </c>
      <c r="E566" s="47"/>
      <c r="F566" s="32" t="str">
        <f>"Q"&amp;ROUNDUP(MONTH(B566)/3,0)&amp;"-"&amp;YEAR(B566)</f>
        <v>Q1-2024</v>
      </c>
      <c r="G566" s="32">
        <v>45326</v>
      </c>
      <c r="H566" s="32">
        <f>IF(G566&lt;B566, B566+3, G566)</f>
        <v>45326</v>
      </c>
      <c r="I566" s="33">
        <f>H566-B566</f>
        <v>11</v>
      </c>
      <c r="J566" s="33">
        <f t="shared" si="48"/>
        <v>0</v>
      </c>
      <c r="K566" s="33">
        <f t="shared" si="49"/>
        <v>0</v>
      </c>
      <c r="L566" s="34" t="s">
        <v>649</v>
      </c>
      <c r="M566" s="34" t="s">
        <v>658</v>
      </c>
      <c r="N566" s="34" t="s">
        <v>693</v>
      </c>
      <c r="O566" s="34" t="s">
        <v>704</v>
      </c>
      <c r="P566" s="34" t="s">
        <v>707</v>
      </c>
      <c r="Q566" s="34" t="s">
        <v>717</v>
      </c>
      <c r="R566" s="34" t="s">
        <v>731</v>
      </c>
      <c r="S566" s="34" t="s">
        <v>1297</v>
      </c>
      <c r="T566" s="35">
        <v>525.34</v>
      </c>
      <c r="U566" s="35">
        <v>1233.79</v>
      </c>
      <c r="V566" s="35">
        <f t="shared" si="50"/>
        <v>0.14299999999999999</v>
      </c>
      <c r="W566" s="35">
        <v>0.14299999999999999</v>
      </c>
      <c r="X566" s="33">
        <f>IF(Table2[[#This Row],[DiscountPct]]&gt;0.2,1,0)</f>
        <v>0</v>
      </c>
      <c r="Y566" s="33">
        <v>4</v>
      </c>
      <c r="Z566" s="30">
        <f>Table2[[#This Row],[UnitPrice]]*Y566*(1-V566)</f>
        <v>4229.4321199999995</v>
      </c>
      <c r="AA566" s="31">
        <f>T566*Y566</f>
        <v>2101.36</v>
      </c>
      <c r="AB566" s="31">
        <f t="shared" si="51"/>
        <v>2128.0721199999994</v>
      </c>
      <c r="AC566" s="31">
        <f t="shared" si="52"/>
        <v>0.50315788494082736</v>
      </c>
      <c r="AD566" s="31" t="e">
        <f>_xlfn.PERCENTILE.INC(S:S, 0.33)</f>
        <v>#NUM!</v>
      </c>
      <c r="AE566" s="31" t="e">
        <f>_xlfn.PERCENTILE.INC(S:S, 0.66)</f>
        <v>#NUM!</v>
      </c>
      <c r="AF566" s="30" t="e">
        <f t="shared" si="53"/>
        <v>#NUM!</v>
      </c>
    </row>
    <row r="567" spans="1:32" x14ac:dyDescent="0.3">
      <c r="A567" s="2" t="s">
        <v>580</v>
      </c>
      <c r="B567" s="4">
        <v>45330</v>
      </c>
      <c r="C567" s="46">
        <f>EOMONTH(Table2[[#This Row],[OrderDate]],-1)+1</f>
        <v>45323</v>
      </c>
      <c r="D567" s="45">
        <f>EOMONTH(_xlfn.MINIFS(B567:B1197,M567:M1197,Table2[[#This Row],[Country]]), -1) + 1</f>
        <v>45170</v>
      </c>
      <c r="E567" s="46"/>
      <c r="F567" s="4" t="str">
        <f>"Q"&amp;ROUNDUP(MONTH(B567)/3,0)&amp;"-"&amp;YEAR(B567)</f>
        <v>Q1-2024</v>
      </c>
      <c r="G567" s="4">
        <v>45331</v>
      </c>
      <c r="H567" s="4">
        <f>IF(G567&lt;B567, B567+3, G567)</f>
        <v>45331</v>
      </c>
      <c r="I567" s="10">
        <f>H567-B567</f>
        <v>1</v>
      </c>
      <c r="J567" s="10">
        <f t="shared" si="48"/>
        <v>1</v>
      </c>
      <c r="K567" s="10">
        <f t="shared" si="49"/>
        <v>1</v>
      </c>
      <c r="L567" s="6" t="s">
        <v>646</v>
      </c>
      <c r="M567" s="6" t="s">
        <v>650</v>
      </c>
      <c r="N567" s="6" t="s">
        <v>675</v>
      </c>
      <c r="O567" s="6" t="s">
        <v>701</v>
      </c>
      <c r="P567" s="6" t="s">
        <v>711</v>
      </c>
      <c r="Q567" s="6" t="s">
        <v>721</v>
      </c>
      <c r="R567" s="6" t="s">
        <v>727</v>
      </c>
      <c r="S567" s="6" t="s">
        <v>1298</v>
      </c>
      <c r="T567" s="8">
        <v>1233.52</v>
      </c>
      <c r="U567" s="8">
        <v>1543.76</v>
      </c>
      <c r="V567" s="8">
        <f t="shared" si="50"/>
        <v>0.126</v>
      </c>
      <c r="W567" s="8">
        <v>0.126</v>
      </c>
      <c r="X567" s="10">
        <f>IF(Table2[[#This Row],[DiscountPct]]&gt;0.2,1,0)</f>
        <v>0</v>
      </c>
      <c r="Y567" s="10">
        <v>13</v>
      </c>
      <c r="Z567" s="30">
        <f>Table2[[#This Row],[UnitPrice]]*Y567*(1-V567)</f>
        <v>17540.201120000002</v>
      </c>
      <c r="AA567" s="2">
        <f>T567*Y567</f>
        <v>16035.76</v>
      </c>
      <c r="AB567" s="2">
        <f t="shared" si="51"/>
        <v>1504.4411200000013</v>
      </c>
      <c r="AC567" s="2">
        <f t="shared" si="52"/>
        <v>8.5771030201277493E-2</v>
      </c>
      <c r="AD567" s="2" t="e">
        <f>_xlfn.PERCENTILE.INC(S:S, 0.33)</f>
        <v>#NUM!</v>
      </c>
      <c r="AE567" s="2" t="e">
        <f>_xlfn.PERCENTILE.INC(S:S, 0.66)</f>
        <v>#NUM!</v>
      </c>
      <c r="AF567" s="30" t="e">
        <f t="shared" si="53"/>
        <v>#NUM!</v>
      </c>
    </row>
    <row r="568" spans="1:32" x14ac:dyDescent="0.3">
      <c r="A568" s="31" t="s">
        <v>581</v>
      </c>
      <c r="B568" s="32">
        <v>45834</v>
      </c>
      <c r="C568" s="47">
        <f>EOMONTH(Table2[[#This Row],[OrderDate]],-1)+1</f>
        <v>45809</v>
      </c>
      <c r="D568" s="45">
        <f>EOMONTH(_xlfn.MINIFS(B568:B1198,M568:M1198,Table2[[#This Row],[Country]]), -1) + 1</f>
        <v>45200</v>
      </c>
      <c r="E568" s="47"/>
      <c r="F568" s="32" t="str">
        <f>"Q"&amp;ROUNDUP(MONTH(B568)/3,0)&amp;"-"&amp;YEAR(B568)</f>
        <v>Q2-2025</v>
      </c>
      <c r="G568" s="32">
        <v>45849</v>
      </c>
      <c r="H568" s="32">
        <f>IF(G568&lt;B568, B568+3, G568)</f>
        <v>45849</v>
      </c>
      <c r="I568" s="33">
        <f>H568-B568</f>
        <v>15</v>
      </c>
      <c r="J568" s="33">
        <f t="shared" si="48"/>
        <v>0</v>
      </c>
      <c r="K568" s="33">
        <f t="shared" si="49"/>
        <v>0</v>
      </c>
      <c r="L568" s="34" t="s">
        <v>646</v>
      </c>
      <c r="M568" s="34" t="s">
        <v>651</v>
      </c>
      <c r="N568" s="34" t="s">
        <v>663</v>
      </c>
      <c r="O568" s="34" t="s">
        <v>705</v>
      </c>
      <c r="P568" s="34" t="s">
        <v>708</v>
      </c>
      <c r="Q568" s="34" t="s">
        <v>720</v>
      </c>
      <c r="R568" s="34" t="s">
        <v>731</v>
      </c>
      <c r="S568" s="34" t="s">
        <v>1299</v>
      </c>
      <c r="T568" s="35">
        <v>1170.1500000000001</v>
      </c>
      <c r="U568" s="35">
        <v>2115.19</v>
      </c>
      <c r="V568" s="35">
        <f t="shared" si="50"/>
        <v>9.1999999999999998E-2</v>
      </c>
      <c r="W568" s="35">
        <v>9.1999999999999998E-2</v>
      </c>
      <c r="X568" s="33">
        <f>IF(Table2[[#This Row],[DiscountPct]]&gt;0.2,1,0)</f>
        <v>0</v>
      </c>
      <c r="Y568" s="33">
        <v>23</v>
      </c>
      <c r="Z568" s="30">
        <f>Table2[[#This Row],[UnitPrice]]*Y568*(1-V568)</f>
        <v>44173.627960000005</v>
      </c>
      <c r="AA568" s="31">
        <f>T568*Y568</f>
        <v>26913.45</v>
      </c>
      <c r="AB568" s="31">
        <f t="shared" si="51"/>
        <v>17260.177960000005</v>
      </c>
      <c r="AC568" s="31">
        <f t="shared" si="52"/>
        <v>0.39073489674946776</v>
      </c>
      <c r="AD568" s="31" t="e">
        <f>_xlfn.PERCENTILE.INC(S:S, 0.33)</f>
        <v>#NUM!</v>
      </c>
      <c r="AE568" s="31" t="e">
        <f>_xlfn.PERCENTILE.INC(S:S, 0.66)</f>
        <v>#NUM!</v>
      </c>
      <c r="AF568" s="30" t="e">
        <f t="shared" si="53"/>
        <v>#NUM!</v>
      </c>
    </row>
    <row r="569" spans="1:32" x14ac:dyDescent="0.3">
      <c r="A569" s="2" t="s">
        <v>582</v>
      </c>
      <c r="B569" s="4">
        <v>45600</v>
      </c>
      <c r="C569" s="46">
        <f>EOMONTH(Table2[[#This Row],[OrderDate]],-1)+1</f>
        <v>45597</v>
      </c>
      <c r="D569" s="45">
        <f>EOMONTH(_xlfn.MINIFS(B569:B1199,M569:M1199,Table2[[#This Row],[Country]]), -1) + 1</f>
        <v>45017</v>
      </c>
      <c r="E569" s="46"/>
      <c r="F569" s="4" t="str">
        <f>"Q"&amp;ROUNDUP(MONTH(B569)/3,0)&amp;"-"&amp;YEAR(B569)</f>
        <v>Q4-2024</v>
      </c>
      <c r="G569" s="4">
        <v>45603</v>
      </c>
      <c r="H569" s="4">
        <f>IF(G569&lt;B569, B569+3, G569)</f>
        <v>45603</v>
      </c>
      <c r="I569" s="10">
        <f>H569-B569</f>
        <v>3</v>
      </c>
      <c r="J569" s="10">
        <f t="shared" si="48"/>
        <v>1</v>
      </c>
      <c r="K569" s="10">
        <f t="shared" si="49"/>
        <v>1</v>
      </c>
      <c r="L569" s="6" t="s">
        <v>649</v>
      </c>
      <c r="M569" s="6" t="s">
        <v>657</v>
      </c>
      <c r="N569" s="6" t="s">
        <v>679</v>
      </c>
      <c r="O569" s="6" t="s">
        <v>701</v>
      </c>
      <c r="P569" s="6" t="s">
        <v>708</v>
      </c>
      <c r="Q569" s="6" t="s">
        <v>719</v>
      </c>
      <c r="R569" s="6" t="s">
        <v>732</v>
      </c>
      <c r="S569" s="6" t="s">
        <v>1300</v>
      </c>
      <c r="T569" s="8">
        <v>740.68</v>
      </c>
      <c r="U569" s="8">
        <v>1837.19</v>
      </c>
      <c r="V569" s="8">
        <f t="shared" si="50"/>
        <v>0.19700000000000001</v>
      </c>
      <c r="W569" s="8">
        <v>0.19700000000000001</v>
      </c>
      <c r="X569" s="10">
        <f>IF(Table2[[#This Row],[DiscountPct]]&gt;0.2,1,0)</f>
        <v>0</v>
      </c>
      <c r="Y569" s="10">
        <v>17</v>
      </c>
      <c r="Z569" s="30">
        <f>Table2[[#This Row],[UnitPrice]]*Y569*(1-V569)</f>
        <v>25079.480689999997</v>
      </c>
      <c r="AA569" s="2">
        <f>T569*Y569</f>
        <v>12591.56</v>
      </c>
      <c r="AB569" s="2">
        <f t="shared" si="51"/>
        <v>12487.920689999997</v>
      </c>
      <c r="AC569" s="2">
        <f t="shared" si="52"/>
        <v>0.4979337827748298</v>
      </c>
      <c r="AD569" s="2" t="e">
        <f>_xlfn.PERCENTILE.INC(S:S, 0.33)</f>
        <v>#NUM!</v>
      </c>
      <c r="AE569" s="2" t="e">
        <f>_xlfn.PERCENTILE.INC(S:S, 0.66)</f>
        <v>#NUM!</v>
      </c>
      <c r="AF569" s="30" t="e">
        <f t="shared" si="53"/>
        <v>#NUM!</v>
      </c>
    </row>
    <row r="570" spans="1:32" x14ac:dyDescent="0.3">
      <c r="A570" s="31" t="s">
        <v>583</v>
      </c>
      <c r="B570" s="32">
        <v>45342</v>
      </c>
      <c r="C570" s="47">
        <f>EOMONTH(Table2[[#This Row],[OrderDate]],-1)+1</f>
        <v>45323</v>
      </c>
      <c r="D570" s="45">
        <f>EOMONTH(_xlfn.MINIFS(B570:B1200,M570:M1200,Table2[[#This Row],[Country]]), -1) + 1</f>
        <v>44958</v>
      </c>
      <c r="E570" s="47"/>
      <c r="F570" s="32" t="str">
        <f>"Q"&amp;ROUNDUP(MONTH(B570)/3,0)&amp;"-"&amp;YEAR(B570)</f>
        <v>Q1-2024</v>
      </c>
      <c r="G570" s="32">
        <v>45342</v>
      </c>
      <c r="H570" s="32">
        <f>IF(G570&lt;B570, B570+3, G570)</f>
        <v>45342</v>
      </c>
      <c r="I570" s="33">
        <f>H570-B570</f>
        <v>0</v>
      </c>
      <c r="J570" s="33">
        <f t="shared" si="48"/>
        <v>1</v>
      </c>
      <c r="K570" s="33">
        <f t="shared" si="49"/>
        <v>1</v>
      </c>
      <c r="L570" s="34" t="s">
        <v>648</v>
      </c>
      <c r="M570" s="34" t="s">
        <v>660</v>
      </c>
      <c r="N570" s="34" t="s">
        <v>700</v>
      </c>
      <c r="O570" s="34" t="s">
        <v>706</v>
      </c>
      <c r="P570" s="34" t="s">
        <v>708</v>
      </c>
      <c r="Q570" s="34" t="s">
        <v>712</v>
      </c>
      <c r="R570" s="34" t="s">
        <v>729</v>
      </c>
      <c r="S570" s="34" t="s">
        <v>1301</v>
      </c>
      <c r="T570" s="35">
        <v>1407.05</v>
      </c>
      <c r="U570" s="35">
        <v>2858.93</v>
      </c>
      <c r="V570" s="35">
        <f t="shared" si="50"/>
        <v>0</v>
      </c>
      <c r="W570" s="35">
        <v>0</v>
      </c>
      <c r="X570" s="33">
        <f>IF(Table2[[#This Row],[DiscountPct]]&gt;0.2,1,0)</f>
        <v>0</v>
      </c>
      <c r="Y570" s="33">
        <v>12</v>
      </c>
      <c r="Z570" s="30">
        <f>Table2[[#This Row],[UnitPrice]]*Y570*(1-V570)</f>
        <v>34307.159999999996</v>
      </c>
      <c r="AA570" s="31">
        <f>T570*Y570</f>
        <v>16884.599999999999</v>
      </c>
      <c r="AB570" s="31">
        <f t="shared" si="51"/>
        <v>17422.559999999998</v>
      </c>
      <c r="AC570" s="31">
        <f t="shared" si="52"/>
        <v>0.50784034586366222</v>
      </c>
      <c r="AD570" s="31" t="e">
        <f>_xlfn.PERCENTILE.INC(S:S, 0.33)</f>
        <v>#NUM!</v>
      </c>
      <c r="AE570" s="31" t="e">
        <f>_xlfn.PERCENTILE.INC(S:S, 0.66)</f>
        <v>#NUM!</v>
      </c>
      <c r="AF570" s="30" t="e">
        <f t="shared" si="53"/>
        <v>#NUM!</v>
      </c>
    </row>
    <row r="571" spans="1:32" x14ac:dyDescent="0.3">
      <c r="A571" s="2" t="s">
        <v>584</v>
      </c>
      <c r="B571" s="4">
        <v>45760</v>
      </c>
      <c r="C571" s="46">
        <f>EOMONTH(Table2[[#This Row],[OrderDate]],-1)+1</f>
        <v>45748</v>
      </c>
      <c r="D571" s="45">
        <f>EOMONTH(_xlfn.MINIFS(B571:B1201,M571:M1201,Table2[[#This Row],[Country]]), -1) + 1</f>
        <v>45017</v>
      </c>
      <c r="E571" s="46"/>
      <c r="F571" s="4" t="str">
        <f>"Q"&amp;ROUNDUP(MONTH(B571)/3,0)&amp;"-"&amp;YEAR(B571)</f>
        <v>Q2-2025</v>
      </c>
      <c r="G571" s="4">
        <v>45761</v>
      </c>
      <c r="H571" s="4">
        <f>IF(G571&lt;B571, B571+3, G571)</f>
        <v>45761</v>
      </c>
      <c r="I571" s="10">
        <f>H571-B571</f>
        <v>1</v>
      </c>
      <c r="J571" s="10">
        <f t="shared" si="48"/>
        <v>1</v>
      </c>
      <c r="K571" s="10">
        <f t="shared" si="49"/>
        <v>1</v>
      </c>
      <c r="L571" s="6" t="s">
        <v>647</v>
      </c>
      <c r="M571" s="6" t="s">
        <v>652</v>
      </c>
      <c r="N571" s="6" t="s">
        <v>666</v>
      </c>
      <c r="O571" s="6" t="s">
        <v>706</v>
      </c>
      <c r="P571" s="6" t="s">
        <v>708</v>
      </c>
      <c r="Q571" s="6" t="s">
        <v>715</v>
      </c>
      <c r="R571" s="6" t="s">
        <v>727</v>
      </c>
      <c r="S571" s="6" t="s">
        <v>1302</v>
      </c>
      <c r="T571" s="8">
        <v>138.9</v>
      </c>
      <c r="U571" s="8">
        <v>289.92</v>
      </c>
      <c r="V571" s="8">
        <f t="shared" si="50"/>
        <v>2.9000000000000001E-2</v>
      </c>
      <c r="W571" s="8">
        <v>2.9000000000000001E-2</v>
      </c>
      <c r="X571" s="10">
        <f>IF(Table2[[#This Row],[DiscountPct]]&gt;0.2,1,0)</f>
        <v>0</v>
      </c>
      <c r="Y571" s="10">
        <v>12</v>
      </c>
      <c r="Z571" s="30">
        <f>Table2[[#This Row],[UnitPrice]]*Y571*(1-V571)</f>
        <v>3378.1478400000001</v>
      </c>
      <c r="AA571" s="2">
        <f>T571*Y571</f>
        <v>1666.8000000000002</v>
      </c>
      <c r="AB571" s="2">
        <f t="shared" si="51"/>
        <v>1711.3478399999999</v>
      </c>
      <c r="AC571" s="2">
        <f t="shared" si="52"/>
        <v>0.50659353025828491</v>
      </c>
      <c r="AD571" s="2" t="e">
        <f>_xlfn.PERCENTILE.INC(S:S, 0.33)</f>
        <v>#NUM!</v>
      </c>
      <c r="AE571" s="2" t="e">
        <f>_xlfn.PERCENTILE.INC(S:S, 0.66)</f>
        <v>#NUM!</v>
      </c>
      <c r="AF571" s="30" t="e">
        <f t="shared" si="53"/>
        <v>#NUM!</v>
      </c>
    </row>
    <row r="572" spans="1:32" x14ac:dyDescent="0.3">
      <c r="A572" s="31" t="s">
        <v>585</v>
      </c>
      <c r="B572" s="32">
        <v>45078</v>
      </c>
      <c r="C572" s="47">
        <f>EOMONTH(Table2[[#This Row],[OrderDate]],-1)+1</f>
        <v>45078</v>
      </c>
      <c r="D572" s="45">
        <f>EOMONTH(_xlfn.MINIFS(B572:B1202,M572:M1202,Table2[[#This Row],[Country]]), -1) + 1</f>
        <v>45078</v>
      </c>
      <c r="E572" s="47"/>
      <c r="F572" s="32" t="str">
        <f>"Q"&amp;ROUNDUP(MONTH(B572)/3,0)&amp;"-"&amp;YEAR(B572)</f>
        <v>Q2-2023</v>
      </c>
      <c r="G572" s="32">
        <v>45078</v>
      </c>
      <c r="H572" s="32">
        <f>IF(G572&lt;B572, B572+3, G572)</f>
        <v>45078</v>
      </c>
      <c r="I572" s="33">
        <f>H572-B572</f>
        <v>0</v>
      </c>
      <c r="J572" s="33">
        <f t="shared" si="48"/>
        <v>1</v>
      </c>
      <c r="K572" s="33">
        <f t="shared" si="49"/>
        <v>1</v>
      </c>
      <c r="L572" s="34" t="s">
        <v>647</v>
      </c>
      <c r="M572" s="34" t="s">
        <v>654</v>
      </c>
      <c r="N572" s="34" t="s">
        <v>668</v>
      </c>
      <c r="O572" s="34" t="s">
        <v>701</v>
      </c>
      <c r="P572" s="34" t="s">
        <v>707</v>
      </c>
      <c r="Q572" s="34" t="s">
        <v>718</v>
      </c>
      <c r="R572" s="34" t="s">
        <v>733</v>
      </c>
      <c r="S572" s="34" t="s">
        <v>1303</v>
      </c>
      <c r="T572" s="35">
        <v>669.37</v>
      </c>
      <c r="U572" s="35">
        <v>997.2</v>
      </c>
      <c r="V572" s="35">
        <f t="shared" si="50"/>
        <v>8.2000000000000003E-2</v>
      </c>
      <c r="W572" s="35">
        <v>8.2000000000000003E-2</v>
      </c>
      <c r="X572" s="33">
        <f>IF(Table2[[#This Row],[DiscountPct]]&gt;0.2,1,0)</f>
        <v>0</v>
      </c>
      <c r="Y572" s="33">
        <v>5</v>
      </c>
      <c r="Z572" s="30">
        <f>Table2[[#This Row],[UnitPrice]]*Y572*(1-V572)</f>
        <v>4577.1480000000001</v>
      </c>
      <c r="AA572" s="31">
        <f>T572*Y572</f>
        <v>3346.85</v>
      </c>
      <c r="AB572" s="31">
        <f t="shared" si="51"/>
        <v>1230.2980000000002</v>
      </c>
      <c r="AC572" s="31">
        <f t="shared" si="52"/>
        <v>0.26879139586484863</v>
      </c>
      <c r="AD572" s="31" t="e">
        <f>_xlfn.PERCENTILE.INC(S:S, 0.33)</f>
        <v>#NUM!</v>
      </c>
      <c r="AE572" s="31" t="e">
        <f>_xlfn.PERCENTILE.INC(S:S, 0.66)</f>
        <v>#NUM!</v>
      </c>
      <c r="AF572" s="30" t="e">
        <f t="shared" si="53"/>
        <v>#NUM!</v>
      </c>
    </row>
    <row r="573" spans="1:32" x14ac:dyDescent="0.3">
      <c r="A573" s="2" t="s">
        <v>586</v>
      </c>
      <c r="B573" s="4">
        <v>45740</v>
      </c>
      <c r="C573" s="46">
        <f>EOMONTH(Table2[[#This Row],[OrderDate]],-1)+1</f>
        <v>45717</v>
      </c>
      <c r="D573" s="45">
        <f>EOMONTH(_xlfn.MINIFS(B573:B1203,M573:M1203,Table2[[#This Row],[Country]]), -1) + 1</f>
        <v>45231</v>
      </c>
      <c r="E573" s="46"/>
      <c r="F573" s="4" t="str">
        <f>"Q"&amp;ROUNDUP(MONTH(B573)/3,0)&amp;"-"&amp;YEAR(B573)</f>
        <v>Q1-2025</v>
      </c>
      <c r="G573" s="4">
        <v>45751</v>
      </c>
      <c r="H573" s="4">
        <f>IF(G573&lt;B573, B573+3, G573)</f>
        <v>45751</v>
      </c>
      <c r="I573" s="10">
        <f>H573-B573</f>
        <v>11</v>
      </c>
      <c r="J573" s="10">
        <f t="shared" si="48"/>
        <v>0</v>
      </c>
      <c r="K573" s="10">
        <f t="shared" si="49"/>
        <v>0</v>
      </c>
      <c r="L573" s="6" t="s">
        <v>647</v>
      </c>
      <c r="M573" s="6" t="s">
        <v>654</v>
      </c>
      <c r="N573" s="6" t="s">
        <v>691</v>
      </c>
      <c r="O573" s="6" t="s">
        <v>702</v>
      </c>
      <c r="P573" s="6" t="s">
        <v>709</v>
      </c>
      <c r="Q573" s="6" t="s">
        <v>713</v>
      </c>
      <c r="R573" s="6" t="s">
        <v>730</v>
      </c>
      <c r="S573" s="6" t="s">
        <v>1304</v>
      </c>
      <c r="T573" s="8">
        <v>23.83</v>
      </c>
      <c r="U573" s="8">
        <v>47.29</v>
      </c>
      <c r="V573" s="8">
        <f t="shared" si="50"/>
        <v>6.4000000000000001E-2</v>
      </c>
      <c r="W573" s="8">
        <v>6.4000000000000001E-2</v>
      </c>
      <c r="X573" s="10">
        <f>IF(Table2[[#This Row],[DiscountPct]]&gt;0.2,1,0)</f>
        <v>0</v>
      </c>
      <c r="Y573" s="10">
        <v>19</v>
      </c>
      <c r="Z573" s="30">
        <f>Table2[[#This Row],[UnitPrice]]*Y573*(1-V573)</f>
        <v>841.00536</v>
      </c>
      <c r="AA573" s="2">
        <f>T573*Y573</f>
        <v>452.77</v>
      </c>
      <c r="AB573" s="2">
        <f t="shared" si="51"/>
        <v>388.23536000000001</v>
      </c>
      <c r="AC573" s="2">
        <f t="shared" si="52"/>
        <v>0.46163244429262618</v>
      </c>
      <c r="AD573" s="2" t="e">
        <f>_xlfn.PERCENTILE.INC(S:S, 0.33)</f>
        <v>#NUM!</v>
      </c>
      <c r="AE573" s="2" t="e">
        <f>_xlfn.PERCENTILE.INC(S:S, 0.66)</f>
        <v>#NUM!</v>
      </c>
      <c r="AF573" s="30" t="e">
        <f t="shared" si="53"/>
        <v>#NUM!</v>
      </c>
    </row>
    <row r="574" spans="1:32" x14ac:dyDescent="0.3">
      <c r="A574" s="31" t="s">
        <v>587</v>
      </c>
      <c r="B574" s="32">
        <v>45293</v>
      </c>
      <c r="C574" s="47">
        <f>EOMONTH(Table2[[#This Row],[OrderDate]],-1)+1</f>
        <v>45292</v>
      </c>
      <c r="D574" s="45">
        <f>EOMONTH(_xlfn.MINIFS(B574:B1204,M574:M1204,Table2[[#This Row],[Country]]), -1) + 1</f>
        <v>45078</v>
      </c>
      <c r="E574" s="47"/>
      <c r="F574" s="32" t="str">
        <f>"Q"&amp;ROUNDUP(MONTH(B574)/3,0)&amp;"-"&amp;YEAR(B574)</f>
        <v>Q1-2024</v>
      </c>
      <c r="G574" s="32">
        <v>45293</v>
      </c>
      <c r="H574" s="32">
        <f>IF(G574&lt;B574, B574+3, G574)</f>
        <v>45293</v>
      </c>
      <c r="I574" s="33">
        <f>H574-B574</f>
        <v>0</v>
      </c>
      <c r="J574" s="33">
        <f t="shared" si="48"/>
        <v>1</v>
      </c>
      <c r="K574" s="33">
        <f t="shared" si="49"/>
        <v>1</v>
      </c>
      <c r="L574" s="34" t="s">
        <v>648</v>
      </c>
      <c r="M574" s="34" t="s">
        <v>653</v>
      </c>
      <c r="N574" s="34" t="s">
        <v>688</v>
      </c>
      <c r="O574" s="34" t="s">
        <v>702</v>
      </c>
      <c r="P574" s="34" t="s">
        <v>711</v>
      </c>
      <c r="Q574" s="34" t="s">
        <v>720</v>
      </c>
      <c r="R574" s="34" t="s">
        <v>731</v>
      </c>
      <c r="S574" s="34" t="s">
        <v>1305</v>
      </c>
      <c r="T574" s="35">
        <v>444.41</v>
      </c>
      <c r="U574" s="35">
        <v>754.24</v>
      </c>
      <c r="V574" s="35">
        <f t="shared" si="50"/>
        <v>0.20699999999999999</v>
      </c>
      <c r="W574" s="35">
        <v>0.20699999999999999</v>
      </c>
      <c r="X574" s="33">
        <f>IF(Table2[[#This Row],[DiscountPct]]&gt;0.2,1,0)</f>
        <v>1</v>
      </c>
      <c r="Y574" s="33">
        <v>32</v>
      </c>
      <c r="Z574" s="30">
        <f>Table2[[#This Row],[UnitPrice]]*Y574*(1-V574)</f>
        <v>19139.594240000002</v>
      </c>
      <c r="AA574" s="31">
        <f>T574*Y574</f>
        <v>14221.12</v>
      </c>
      <c r="AB574" s="31">
        <f t="shared" si="51"/>
        <v>4918.4742400000014</v>
      </c>
      <c r="AC574" s="31">
        <f t="shared" si="52"/>
        <v>0.25697902360546598</v>
      </c>
      <c r="AD574" s="31" t="e">
        <f>_xlfn.PERCENTILE.INC(S:S, 0.33)</f>
        <v>#NUM!</v>
      </c>
      <c r="AE574" s="31" t="e">
        <f>_xlfn.PERCENTILE.INC(S:S, 0.66)</f>
        <v>#NUM!</v>
      </c>
      <c r="AF574" s="30" t="e">
        <f t="shared" si="53"/>
        <v>#NUM!</v>
      </c>
    </row>
    <row r="575" spans="1:32" x14ac:dyDescent="0.3">
      <c r="A575" s="2" t="s">
        <v>588</v>
      </c>
      <c r="B575" s="4">
        <v>45279</v>
      </c>
      <c r="C575" s="46">
        <f>EOMONTH(Table2[[#This Row],[OrderDate]],-1)+1</f>
        <v>45261</v>
      </c>
      <c r="D575" s="45">
        <f>EOMONTH(_xlfn.MINIFS(B575:B1205,M575:M1205,Table2[[#This Row],[Country]]), -1) + 1</f>
        <v>45078</v>
      </c>
      <c r="E575" s="46"/>
      <c r="F575" s="4" t="str">
        <f>"Q"&amp;ROUNDUP(MONTH(B575)/3,0)&amp;"-"&amp;YEAR(B575)</f>
        <v>Q4-2023</v>
      </c>
      <c r="G575" s="4">
        <v>45292</v>
      </c>
      <c r="H575" s="4">
        <f>IF(G575&lt;B575, B575+3, G575)</f>
        <v>45292</v>
      </c>
      <c r="I575" s="10">
        <f>H575-B575</f>
        <v>13</v>
      </c>
      <c r="J575" s="10">
        <f t="shared" si="48"/>
        <v>0</v>
      </c>
      <c r="K575" s="10">
        <f t="shared" si="49"/>
        <v>0</v>
      </c>
      <c r="L575" s="6" t="s">
        <v>648</v>
      </c>
      <c r="M575" s="6" t="s">
        <v>653</v>
      </c>
      <c r="N575" s="6" t="s">
        <v>667</v>
      </c>
      <c r="O575" s="6" t="s">
        <v>706</v>
      </c>
      <c r="P575" s="6" t="s">
        <v>707</v>
      </c>
      <c r="Q575" s="6" t="s">
        <v>723</v>
      </c>
      <c r="R575" s="6" t="s">
        <v>732</v>
      </c>
      <c r="S575" s="6" t="s">
        <v>1306</v>
      </c>
      <c r="T575" s="8">
        <v>856.1</v>
      </c>
      <c r="U575" s="8">
        <v>901.48</v>
      </c>
      <c r="V575" s="8">
        <f t="shared" si="50"/>
        <v>5.6000000000000001E-2</v>
      </c>
      <c r="W575" s="8">
        <v>5.6000000000000001E-2</v>
      </c>
      <c r="X575" s="10">
        <f>IF(Table2[[#This Row],[DiscountPct]]&gt;0.2,1,0)</f>
        <v>0</v>
      </c>
      <c r="Y575" s="10">
        <v>17</v>
      </c>
      <c r="Z575" s="30">
        <f>Table2[[#This Row],[UnitPrice]]*Y575*(1-V575)</f>
        <v>14466.95104</v>
      </c>
      <c r="AA575" s="2">
        <f>T575*Y575</f>
        <v>14553.7</v>
      </c>
      <c r="AB575" s="2">
        <f t="shared" si="51"/>
        <v>-86.748960000000807</v>
      </c>
      <c r="AC575" s="2">
        <f t="shared" si="52"/>
        <v>-5.9963540182134192E-3</v>
      </c>
      <c r="AD575" s="2" t="e">
        <f>_xlfn.PERCENTILE.INC(S:S, 0.33)</f>
        <v>#NUM!</v>
      </c>
      <c r="AE575" s="2" t="e">
        <f>_xlfn.PERCENTILE.INC(S:S, 0.66)</f>
        <v>#NUM!</v>
      </c>
      <c r="AF575" s="30" t="e">
        <f t="shared" si="53"/>
        <v>#NUM!</v>
      </c>
    </row>
    <row r="576" spans="1:32" x14ac:dyDescent="0.3">
      <c r="A576" s="31" t="s">
        <v>589</v>
      </c>
      <c r="B576" s="32">
        <v>45042</v>
      </c>
      <c r="C576" s="47">
        <f>EOMONTH(Table2[[#This Row],[OrderDate]],-1)+1</f>
        <v>45017</v>
      </c>
      <c r="D576" s="45">
        <f>EOMONTH(_xlfn.MINIFS(B576:B1206,M576:M1206,Table2[[#This Row],[Country]]), -1) + 1</f>
        <v>45017</v>
      </c>
      <c r="E576" s="47"/>
      <c r="F576" s="32" t="str">
        <f>"Q"&amp;ROUNDUP(MONTH(B576)/3,0)&amp;"-"&amp;YEAR(B576)</f>
        <v>Q2-2023</v>
      </c>
      <c r="G576" s="32">
        <v>45042</v>
      </c>
      <c r="H576" s="32">
        <f>IF(G576&lt;B576, B576+3, G576)</f>
        <v>45042</v>
      </c>
      <c r="I576" s="33">
        <f>H576-B576</f>
        <v>0</v>
      </c>
      <c r="J576" s="33">
        <f t="shared" si="48"/>
        <v>1</v>
      </c>
      <c r="K576" s="33">
        <f t="shared" si="49"/>
        <v>1</v>
      </c>
      <c r="L576" s="34" t="s">
        <v>649</v>
      </c>
      <c r="M576" s="34" t="s">
        <v>657</v>
      </c>
      <c r="N576" s="34" t="s">
        <v>673</v>
      </c>
      <c r="O576" s="34" t="s">
        <v>704</v>
      </c>
      <c r="P576" s="34" t="s">
        <v>711</v>
      </c>
      <c r="Q576" s="34" t="s">
        <v>724</v>
      </c>
      <c r="R576" s="34" t="s">
        <v>727</v>
      </c>
      <c r="S576" s="34" t="s">
        <v>1307</v>
      </c>
      <c r="T576" s="35">
        <v>81.489999999999995</v>
      </c>
      <c r="U576" s="35">
        <v>113.08</v>
      </c>
      <c r="V576" s="35">
        <f t="shared" si="50"/>
        <v>0.121</v>
      </c>
      <c r="W576" s="35">
        <v>0.121</v>
      </c>
      <c r="X576" s="33">
        <f>IF(Table2[[#This Row],[DiscountPct]]&gt;0.2,1,0)</f>
        <v>0</v>
      </c>
      <c r="Y576" s="33">
        <v>5</v>
      </c>
      <c r="Z576" s="30">
        <f>Table2[[#This Row],[UnitPrice]]*Y576*(1-V576)</f>
        <v>496.98660000000001</v>
      </c>
      <c r="AA576" s="31">
        <f>T576*Y576</f>
        <v>407.45</v>
      </c>
      <c r="AB576" s="31">
        <f t="shared" si="51"/>
        <v>89.536600000000021</v>
      </c>
      <c r="AC576" s="31">
        <f t="shared" si="52"/>
        <v>0.18015898215364362</v>
      </c>
      <c r="AD576" s="31" t="e">
        <f>_xlfn.PERCENTILE.INC(S:S, 0.33)</f>
        <v>#NUM!</v>
      </c>
      <c r="AE576" s="31" t="e">
        <f>_xlfn.PERCENTILE.INC(S:S, 0.66)</f>
        <v>#NUM!</v>
      </c>
      <c r="AF576" s="30" t="e">
        <f t="shared" si="53"/>
        <v>#NUM!</v>
      </c>
    </row>
    <row r="577" spans="1:32" x14ac:dyDescent="0.3">
      <c r="A577" s="2" t="s">
        <v>590</v>
      </c>
      <c r="B577" s="4">
        <v>45872</v>
      </c>
      <c r="C577" s="46">
        <f>EOMONTH(Table2[[#This Row],[OrderDate]],-1)+1</f>
        <v>45870</v>
      </c>
      <c r="D577" s="45">
        <f>EOMONTH(_xlfn.MINIFS(B577:B1207,M577:M1207,Table2[[#This Row],[Country]]), -1) + 1</f>
        <v>45078</v>
      </c>
      <c r="E577" s="46"/>
      <c r="F577" s="4" t="str">
        <f>"Q"&amp;ROUNDUP(MONTH(B577)/3,0)&amp;"-"&amp;YEAR(B577)</f>
        <v>Q3-2025</v>
      </c>
      <c r="G577" s="4">
        <v>45885</v>
      </c>
      <c r="H577" s="4">
        <f>IF(G577&lt;B577, B577+3, G577)</f>
        <v>45885</v>
      </c>
      <c r="I577" s="10">
        <f>H577-B577</f>
        <v>13</v>
      </c>
      <c r="J577" s="10">
        <f t="shared" si="48"/>
        <v>0</v>
      </c>
      <c r="K577" s="10">
        <f t="shared" si="49"/>
        <v>0</v>
      </c>
      <c r="L577" s="6" t="s">
        <v>648</v>
      </c>
      <c r="M577" s="6" t="s">
        <v>653</v>
      </c>
      <c r="N577" s="6" t="s">
        <v>681</v>
      </c>
      <c r="O577" s="6" t="s">
        <v>706</v>
      </c>
      <c r="P577" s="6" t="s">
        <v>710</v>
      </c>
      <c r="Q577" s="6" t="s">
        <v>719</v>
      </c>
      <c r="R577" s="6" t="s">
        <v>729</v>
      </c>
      <c r="S577" s="6" t="s">
        <v>1308</v>
      </c>
      <c r="T577" s="8">
        <v>698.66</v>
      </c>
      <c r="U577" s="8">
        <v>868.62</v>
      </c>
      <c r="V577" s="8">
        <f t="shared" si="50"/>
        <v>7.1999999999999995E-2</v>
      </c>
      <c r="W577" s="8">
        <v>7.1999999999999995E-2</v>
      </c>
      <c r="X577" s="10">
        <f>IF(Table2[[#This Row],[DiscountPct]]&gt;0.2,1,0)</f>
        <v>0</v>
      </c>
      <c r="Y577" s="10">
        <v>15</v>
      </c>
      <c r="Z577" s="30">
        <f>Table2[[#This Row],[UnitPrice]]*Y577*(1-V577)</f>
        <v>12091.190399999999</v>
      </c>
      <c r="AA577" s="2">
        <f>T577*Y577</f>
        <v>10479.9</v>
      </c>
      <c r="AB577" s="2">
        <f t="shared" si="51"/>
        <v>1611.2903999999999</v>
      </c>
      <c r="AC577" s="2">
        <f t="shared" si="52"/>
        <v>0.13326151906432637</v>
      </c>
      <c r="AD577" s="2" t="e">
        <f>_xlfn.PERCENTILE.INC(S:S, 0.33)</f>
        <v>#NUM!</v>
      </c>
      <c r="AE577" s="2" t="e">
        <f>_xlfn.PERCENTILE.INC(S:S, 0.66)</f>
        <v>#NUM!</v>
      </c>
      <c r="AF577" s="30" t="e">
        <f t="shared" si="53"/>
        <v>#NUM!</v>
      </c>
    </row>
    <row r="578" spans="1:32" x14ac:dyDescent="0.3">
      <c r="A578" s="31" t="s">
        <v>591</v>
      </c>
      <c r="B578" s="32">
        <v>45140</v>
      </c>
      <c r="C578" s="47">
        <f>EOMONTH(Table2[[#This Row],[OrderDate]],-1)+1</f>
        <v>45139</v>
      </c>
      <c r="D578" s="45">
        <f>EOMONTH(_xlfn.MINIFS(B578:B1208,M578:M1208,Table2[[#This Row],[Country]]), -1) + 1</f>
        <v>45078</v>
      </c>
      <c r="E578" s="47"/>
      <c r="F578" s="32" t="str">
        <f>"Q"&amp;ROUNDUP(MONTH(B578)/3,0)&amp;"-"&amp;YEAR(B578)</f>
        <v>Q3-2023</v>
      </c>
      <c r="G578" s="32">
        <v>45157</v>
      </c>
      <c r="H578" s="32">
        <f>IF(G578&lt;B578, B578+3, G578)</f>
        <v>45157</v>
      </c>
      <c r="I578" s="33">
        <f>H578-B578</f>
        <v>17</v>
      </c>
      <c r="J578" s="33">
        <f t="shared" ref="J578:J632" si="54">IF(I578 &lt;= 7, 1, 0)</f>
        <v>0</v>
      </c>
      <c r="K578" s="33">
        <f t="shared" ref="K578:K632" si="55">IF(I578&lt;=7,1,0)</f>
        <v>0</v>
      </c>
      <c r="L578" s="34" t="s">
        <v>648</v>
      </c>
      <c r="M578" s="34" t="s">
        <v>653</v>
      </c>
      <c r="N578" s="34" t="s">
        <v>688</v>
      </c>
      <c r="O578" s="34" t="s">
        <v>701</v>
      </c>
      <c r="P578" s="34" t="s">
        <v>708</v>
      </c>
      <c r="Q578" s="34" t="s">
        <v>721</v>
      </c>
      <c r="R578" s="34" t="s">
        <v>729</v>
      </c>
      <c r="S578" s="34" t="s">
        <v>1309</v>
      </c>
      <c r="T578" s="35">
        <v>175.38</v>
      </c>
      <c r="U578" s="35">
        <v>347.9</v>
      </c>
      <c r="V578" s="35">
        <f t="shared" si="50"/>
        <v>7.1999999999999995E-2</v>
      </c>
      <c r="W578" s="35">
        <v>7.1999999999999995E-2</v>
      </c>
      <c r="X578" s="33">
        <f>IF(Table2[[#This Row],[DiscountPct]]&gt;0.2,1,0)</f>
        <v>0</v>
      </c>
      <c r="Y578" s="33">
        <v>43</v>
      </c>
      <c r="Z578" s="30">
        <f>Table2[[#This Row],[UnitPrice]]*Y578*(1-V578)</f>
        <v>13882.6016</v>
      </c>
      <c r="AA578" s="31">
        <f>T578*Y578</f>
        <v>7541.34</v>
      </c>
      <c r="AB578" s="31">
        <f t="shared" si="51"/>
        <v>6341.2615999999998</v>
      </c>
      <c r="AC578" s="31">
        <f t="shared" si="52"/>
        <v>0.45677761148169804</v>
      </c>
      <c r="AD578" s="31" t="e">
        <f>_xlfn.PERCENTILE.INC(S:S, 0.33)</f>
        <v>#NUM!</v>
      </c>
      <c r="AE578" s="31" t="e">
        <f>_xlfn.PERCENTILE.INC(S:S, 0.66)</f>
        <v>#NUM!</v>
      </c>
      <c r="AF578" s="30" t="e">
        <f t="shared" si="53"/>
        <v>#NUM!</v>
      </c>
    </row>
    <row r="579" spans="1:32" x14ac:dyDescent="0.3">
      <c r="A579" s="2" t="s">
        <v>592</v>
      </c>
      <c r="B579" s="4">
        <v>45092</v>
      </c>
      <c r="C579" s="46">
        <f>EOMONTH(Table2[[#This Row],[OrderDate]],-1)+1</f>
        <v>45078</v>
      </c>
      <c r="D579" s="45">
        <f>EOMONTH(_xlfn.MINIFS(B579:B1209,M579:M1209,Table2[[#This Row],[Country]]), -1) + 1</f>
        <v>45017</v>
      </c>
      <c r="E579" s="46"/>
      <c r="F579" s="4" t="str">
        <f>"Q"&amp;ROUNDUP(MONTH(B579)/3,0)&amp;"-"&amp;YEAR(B579)</f>
        <v>Q2-2023</v>
      </c>
      <c r="G579" s="4">
        <v>45119</v>
      </c>
      <c r="H579" s="4">
        <f>IF(G579&lt;B579, B579+3, G579)</f>
        <v>45119</v>
      </c>
      <c r="I579" s="10">
        <f>H579-B579</f>
        <v>27</v>
      </c>
      <c r="J579" s="10">
        <f t="shared" si="54"/>
        <v>0</v>
      </c>
      <c r="K579" s="10">
        <f t="shared" si="55"/>
        <v>0</v>
      </c>
      <c r="L579" s="6" t="s">
        <v>649</v>
      </c>
      <c r="M579" s="6" t="s">
        <v>658</v>
      </c>
      <c r="N579" s="6" t="s">
        <v>693</v>
      </c>
      <c r="O579" s="6" t="s">
        <v>704</v>
      </c>
      <c r="P579" s="6" t="s">
        <v>711</v>
      </c>
      <c r="Q579" s="6" t="s">
        <v>714</v>
      </c>
      <c r="R579" s="6" t="s">
        <v>733</v>
      </c>
      <c r="S579" s="6" t="s">
        <v>1310</v>
      </c>
      <c r="T579" s="8">
        <v>751.28</v>
      </c>
      <c r="U579" s="8">
        <v>1111.8800000000001</v>
      </c>
      <c r="V579" s="8">
        <f t="shared" ref="V579:V632" si="56">IF(W579&gt;0.3,0.3,W579)</f>
        <v>0.13500000000000001</v>
      </c>
      <c r="W579" s="8">
        <v>0.13500000000000001</v>
      </c>
      <c r="X579" s="10">
        <f>IF(Table2[[#This Row],[DiscountPct]]&gt;0.2,1,0)</f>
        <v>0</v>
      </c>
      <c r="Y579" s="10">
        <v>7</v>
      </c>
      <c r="Z579" s="30">
        <f>Table2[[#This Row],[UnitPrice]]*Y579*(1-V579)</f>
        <v>6732.4334000000008</v>
      </c>
      <c r="AA579" s="2">
        <f>T579*Y579</f>
        <v>5258.96</v>
      </c>
      <c r="AB579" s="2">
        <f t="shared" ref="AB579:AB632" si="57">Z579-AA579</f>
        <v>1473.4734000000008</v>
      </c>
      <c r="AC579" s="2">
        <f t="shared" ref="AC579:AC632" si="58">IF(Z579=0,0,AB579/Z579)</f>
        <v>0.21886193482433863</v>
      </c>
      <c r="AD579" s="2" t="e">
        <f>_xlfn.PERCENTILE.INC(S:S, 0.33)</f>
        <v>#NUM!</v>
      </c>
      <c r="AE579" s="2" t="e">
        <f>_xlfn.PERCENTILE.INC(S:S, 0.66)</f>
        <v>#NUM!</v>
      </c>
      <c r="AF579" s="30" t="e">
        <f t="shared" ref="AF579:AF632" si="59">IF(Z579="","",
   IF(Z579&lt;=AD579,"Low",
      IF(Z579&lt;=AE579,"Medium","High")
   )
)</f>
        <v>#NUM!</v>
      </c>
    </row>
    <row r="580" spans="1:32" x14ac:dyDescent="0.3">
      <c r="A580" s="31" t="s">
        <v>593</v>
      </c>
      <c r="B580" s="32">
        <v>45607</v>
      </c>
      <c r="C580" s="47">
        <f>EOMONTH(Table2[[#This Row],[OrderDate]],-1)+1</f>
        <v>45597</v>
      </c>
      <c r="D580" s="45">
        <f>EOMONTH(_xlfn.MINIFS(B580:B1210,M580:M1210,Table2[[#This Row],[Country]]), -1) + 1</f>
        <v>45017</v>
      </c>
      <c r="E580" s="47"/>
      <c r="F580" s="32" t="str">
        <f>"Q"&amp;ROUNDUP(MONTH(B580)/3,0)&amp;"-"&amp;YEAR(B580)</f>
        <v>Q4-2024</v>
      </c>
      <c r="G580" s="32">
        <v>45620</v>
      </c>
      <c r="H580" s="32">
        <f>IF(G580&lt;B580, B580+3, G580)</f>
        <v>45620</v>
      </c>
      <c r="I580" s="33">
        <f>H580-B580</f>
        <v>13</v>
      </c>
      <c r="J580" s="33">
        <f t="shared" si="54"/>
        <v>0</v>
      </c>
      <c r="K580" s="33">
        <f t="shared" si="55"/>
        <v>0</v>
      </c>
      <c r="L580" s="34" t="s">
        <v>649</v>
      </c>
      <c r="M580" s="34" t="s">
        <v>658</v>
      </c>
      <c r="N580" s="34" t="s">
        <v>683</v>
      </c>
      <c r="O580" s="34" t="s">
        <v>701</v>
      </c>
      <c r="P580" s="34" t="s">
        <v>707</v>
      </c>
      <c r="Q580" s="34" t="s">
        <v>718</v>
      </c>
      <c r="R580" s="34" t="s">
        <v>729</v>
      </c>
      <c r="S580" s="34" t="s">
        <v>1311</v>
      </c>
      <c r="T580" s="35">
        <v>164.53</v>
      </c>
      <c r="U580" s="35">
        <v>327.72</v>
      </c>
      <c r="V580" s="35">
        <f t="shared" si="56"/>
        <v>6.7000000000000004E-2</v>
      </c>
      <c r="W580" s="35">
        <v>6.7000000000000004E-2</v>
      </c>
      <c r="X580" s="33">
        <f>IF(Table2[[#This Row],[DiscountPct]]&gt;0.2,1,0)</f>
        <v>0</v>
      </c>
      <c r="Y580" s="33">
        <v>14</v>
      </c>
      <c r="Z580" s="30">
        <f>Table2[[#This Row],[UnitPrice]]*Y580*(1-V580)</f>
        <v>4280.6786400000001</v>
      </c>
      <c r="AA580" s="31">
        <f>T580*Y580</f>
        <v>2303.42</v>
      </c>
      <c r="AB580" s="31">
        <f t="shared" si="57"/>
        <v>1977.25864</v>
      </c>
      <c r="AC580" s="31">
        <f t="shared" si="58"/>
        <v>0.46190307805960412</v>
      </c>
      <c r="AD580" s="31" t="e">
        <f>_xlfn.PERCENTILE.INC(S:S, 0.33)</f>
        <v>#NUM!</v>
      </c>
      <c r="AE580" s="31" t="e">
        <f>_xlfn.PERCENTILE.INC(S:S, 0.66)</f>
        <v>#NUM!</v>
      </c>
      <c r="AF580" s="30" t="e">
        <f t="shared" si="59"/>
        <v>#NUM!</v>
      </c>
    </row>
    <row r="581" spans="1:32" x14ac:dyDescent="0.3">
      <c r="A581" s="2" t="s">
        <v>594</v>
      </c>
      <c r="B581" s="4">
        <v>45849</v>
      </c>
      <c r="C581" s="46">
        <f>EOMONTH(Table2[[#This Row],[OrderDate]],-1)+1</f>
        <v>45839</v>
      </c>
      <c r="D581" s="45">
        <f>EOMONTH(_xlfn.MINIFS(B581:B1211,M581:M1211,Table2[[#This Row],[Country]]), -1) + 1</f>
        <v>45170</v>
      </c>
      <c r="E581" s="46"/>
      <c r="F581" s="4" t="str">
        <f>"Q"&amp;ROUNDUP(MONTH(B581)/3,0)&amp;"-"&amp;YEAR(B581)</f>
        <v>Q3-2025</v>
      </c>
      <c r="G581" s="4">
        <v>45872</v>
      </c>
      <c r="H581" s="4">
        <f>IF(G581&lt;B581, B581+3, G581)</f>
        <v>45872</v>
      </c>
      <c r="I581" s="10">
        <f>H581-B581</f>
        <v>23</v>
      </c>
      <c r="J581" s="10">
        <f t="shared" si="54"/>
        <v>0</v>
      </c>
      <c r="K581" s="10">
        <f t="shared" si="55"/>
        <v>0</v>
      </c>
      <c r="L581" s="6" t="s">
        <v>646</v>
      </c>
      <c r="M581" s="6" t="s">
        <v>650</v>
      </c>
      <c r="N581" s="6" t="s">
        <v>678</v>
      </c>
      <c r="O581" s="6" t="s">
        <v>705</v>
      </c>
      <c r="P581" s="6" t="s">
        <v>707</v>
      </c>
      <c r="Q581" s="6" t="s">
        <v>712</v>
      </c>
      <c r="R581" s="6" t="s">
        <v>730</v>
      </c>
      <c r="S581" s="6" t="s">
        <v>1312</v>
      </c>
      <c r="T581" s="8">
        <v>389.93</v>
      </c>
      <c r="U581" s="8">
        <v>486.13</v>
      </c>
      <c r="V581" s="8">
        <f t="shared" si="56"/>
        <v>0.13200000000000001</v>
      </c>
      <c r="W581" s="8">
        <v>0.13200000000000001</v>
      </c>
      <c r="X581" s="10">
        <f>IF(Table2[[#This Row],[DiscountPct]]&gt;0.2,1,0)</f>
        <v>0</v>
      </c>
      <c r="Y581" s="10">
        <v>17</v>
      </c>
      <c r="Z581" s="30">
        <f>Table2[[#This Row],[UnitPrice]]*Y581*(1-V581)</f>
        <v>7173.3342799999991</v>
      </c>
      <c r="AA581" s="2">
        <f>T581*Y581</f>
        <v>6628.81</v>
      </c>
      <c r="AB581" s="2">
        <f t="shared" si="57"/>
        <v>544.52427999999873</v>
      </c>
      <c r="AC581" s="2">
        <f t="shared" si="58"/>
        <v>7.5909508569562828E-2</v>
      </c>
      <c r="AD581" s="2" t="e">
        <f>_xlfn.PERCENTILE.INC(S:S, 0.33)</f>
        <v>#NUM!</v>
      </c>
      <c r="AE581" s="2" t="e">
        <f>_xlfn.PERCENTILE.INC(S:S, 0.66)</f>
        <v>#NUM!</v>
      </c>
      <c r="AF581" s="30" t="e">
        <f t="shared" si="59"/>
        <v>#NUM!</v>
      </c>
    </row>
    <row r="582" spans="1:32" x14ac:dyDescent="0.3">
      <c r="A582" s="31" t="s">
        <v>595</v>
      </c>
      <c r="B582" s="32">
        <v>45080</v>
      </c>
      <c r="C582" s="47">
        <f>EOMONTH(Table2[[#This Row],[OrderDate]],-1)+1</f>
        <v>45078</v>
      </c>
      <c r="D582" s="45">
        <f>EOMONTH(_xlfn.MINIFS(B582:B1212,M582:M1212,Table2[[#This Row],[Country]]), -1) + 1</f>
        <v>44927</v>
      </c>
      <c r="E582" s="47"/>
      <c r="F582" s="32" t="str">
        <f>"Q"&amp;ROUNDUP(MONTH(B582)/3,0)&amp;"-"&amp;YEAR(B582)</f>
        <v>Q2-2023</v>
      </c>
      <c r="G582" s="32">
        <v>45108</v>
      </c>
      <c r="H582" s="32">
        <f>IF(G582&lt;B582, B582+3, G582)</f>
        <v>45108</v>
      </c>
      <c r="I582" s="33">
        <f>H582-B582</f>
        <v>28</v>
      </c>
      <c r="J582" s="33">
        <f t="shared" si="54"/>
        <v>0</v>
      </c>
      <c r="K582" s="33">
        <f t="shared" si="55"/>
        <v>0</v>
      </c>
      <c r="L582" s="34" t="s">
        <v>648</v>
      </c>
      <c r="M582" s="34" t="s">
        <v>655</v>
      </c>
      <c r="N582" s="34" t="s">
        <v>672</v>
      </c>
      <c r="O582" s="34" t="s">
        <v>705</v>
      </c>
      <c r="P582" s="34" t="s">
        <v>709</v>
      </c>
      <c r="Q582" s="34" t="s">
        <v>720</v>
      </c>
      <c r="R582" s="34" t="s">
        <v>727</v>
      </c>
      <c r="S582" s="34" t="s">
        <v>1313</v>
      </c>
      <c r="T582" s="35">
        <v>860.4</v>
      </c>
      <c r="U582" s="35">
        <v>2066.6</v>
      </c>
      <c r="V582" s="35">
        <f t="shared" si="56"/>
        <v>0.01</v>
      </c>
      <c r="W582" s="35">
        <v>0.01</v>
      </c>
      <c r="X582" s="33">
        <f>IF(Table2[[#This Row],[DiscountPct]]&gt;0.2,1,0)</f>
        <v>0</v>
      </c>
      <c r="Y582" s="33">
        <v>3</v>
      </c>
      <c r="Z582" s="30">
        <f>Table2[[#This Row],[UnitPrice]]*Y582*(1-V582)</f>
        <v>6137.8019999999988</v>
      </c>
      <c r="AA582" s="31">
        <f>T582*Y582</f>
        <v>2581.1999999999998</v>
      </c>
      <c r="AB582" s="31">
        <f t="shared" si="57"/>
        <v>3556.601999999999</v>
      </c>
      <c r="AC582" s="31">
        <f t="shared" si="58"/>
        <v>0.57945857491004105</v>
      </c>
      <c r="AD582" s="31" t="e">
        <f>_xlfn.PERCENTILE.INC(S:S, 0.33)</f>
        <v>#NUM!</v>
      </c>
      <c r="AE582" s="31" t="e">
        <f>_xlfn.PERCENTILE.INC(S:S, 0.66)</f>
        <v>#NUM!</v>
      </c>
      <c r="AF582" s="30" t="e">
        <f t="shared" si="59"/>
        <v>#NUM!</v>
      </c>
    </row>
    <row r="583" spans="1:32" x14ac:dyDescent="0.3">
      <c r="A583" s="2" t="s">
        <v>596</v>
      </c>
      <c r="B583" s="4">
        <v>44955</v>
      </c>
      <c r="C583" s="46">
        <f>EOMONTH(Table2[[#This Row],[OrderDate]],-1)+1</f>
        <v>44927</v>
      </c>
      <c r="D583" s="45">
        <f>EOMONTH(_xlfn.MINIFS(B583:B1213,M583:M1213,Table2[[#This Row],[Country]]), -1) + 1</f>
        <v>44927</v>
      </c>
      <c r="E583" s="46"/>
      <c r="F583" s="4" t="str">
        <f>"Q"&amp;ROUNDUP(MONTH(B583)/3,0)&amp;"-"&amp;YEAR(B583)</f>
        <v>Q1-2023</v>
      </c>
      <c r="G583" s="4">
        <v>44963</v>
      </c>
      <c r="H583" s="4">
        <f>IF(G583&lt;B583, B583+3, G583)</f>
        <v>44963</v>
      </c>
      <c r="I583" s="10">
        <f>H583-B583</f>
        <v>8</v>
      </c>
      <c r="J583" s="10">
        <f t="shared" si="54"/>
        <v>0</v>
      </c>
      <c r="K583" s="10">
        <f t="shared" si="55"/>
        <v>0</v>
      </c>
      <c r="L583" s="6" t="s">
        <v>648</v>
      </c>
      <c r="M583" s="6" t="s">
        <v>655</v>
      </c>
      <c r="N583" s="6" t="s">
        <v>672</v>
      </c>
      <c r="O583" s="6" t="s">
        <v>701</v>
      </c>
      <c r="P583" s="6" t="s">
        <v>709</v>
      </c>
      <c r="Q583" s="6" t="s">
        <v>726</v>
      </c>
      <c r="R583" s="6" t="s">
        <v>732</v>
      </c>
      <c r="S583" s="6" t="s">
        <v>1314</v>
      </c>
      <c r="T583" s="8">
        <v>41.84</v>
      </c>
      <c r="U583" s="8">
        <v>86.2</v>
      </c>
      <c r="V583" s="8">
        <f t="shared" si="56"/>
        <v>0.22600000000000001</v>
      </c>
      <c r="W583" s="8">
        <v>0.22600000000000001</v>
      </c>
      <c r="X583" s="10">
        <f>IF(Table2[[#This Row],[DiscountPct]]&gt;0.2,1,0)</f>
        <v>1</v>
      </c>
      <c r="Y583" s="10">
        <v>27</v>
      </c>
      <c r="Z583" s="30">
        <f>Table2[[#This Row],[UnitPrice]]*Y583*(1-V583)</f>
        <v>1801.4076000000002</v>
      </c>
      <c r="AA583" s="2">
        <f>T583*Y583</f>
        <v>1129.68</v>
      </c>
      <c r="AB583" s="2">
        <f t="shared" si="57"/>
        <v>671.72760000000017</v>
      </c>
      <c r="AC583" s="2">
        <f t="shared" si="58"/>
        <v>0.37289039970742882</v>
      </c>
      <c r="AD583" s="2" t="e">
        <f>_xlfn.PERCENTILE.INC(S:S, 0.33)</f>
        <v>#NUM!</v>
      </c>
      <c r="AE583" s="2" t="e">
        <f>_xlfn.PERCENTILE.INC(S:S, 0.66)</f>
        <v>#NUM!</v>
      </c>
      <c r="AF583" s="30" t="e">
        <f t="shared" si="59"/>
        <v>#NUM!</v>
      </c>
    </row>
    <row r="584" spans="1:32" x14ac:dyDescent="0.3">
      <c r="A584" s="31" t="s">
        <v>597</v>
      </c>
      <c r="B584" s="32">
        <v>45541</v>
      </c>
      <c r="C584" s="47">
        <f>EOMONTH(Table2[[#This Row],[OrderDate]],-1)+1</f>
        <v>45536</v>
      </c>
      <c r="D584" s="45">
        <f>EOMONTH(_xlfn.MINIFS(B584:B1214,M584:M1214,Table2[[#This Row],[Country]]), -1) + 1</f>
        <v>45017</v>
      </c>
      <c r="E584" s="47"/>
      <c r="F584" s="32" t="str">
        <f>"Q"&amp;ROUNDUP(MONTH(B584)/3,0)&amp;"-"&amp;YEAR(B584)</f>
        <v>Q3-2024</v>
      </c>
      <c r="G584" s="32">
        <v>45539</v>
      </c>
      <c r="H584" s="32">
        <f>IF(G584&lt;B584, B584+3, G584)</f>
        <v>45544</v>
      </c>
      <c r="I584" s="33">
        <f>H584-B584</f>
        <v>3</v>
      </c>
      <c r="J584" s="33">
        <f t="shared" si="54"/>
        <v>1</v>
      </c>
      <c r="K584" s="33">
        <f t="shared" si="55"/>
        <v>1</v>
      </c>
      <c r="L584" s="34" t="s">
        <v>647</v>
      </c>
      <c r="M584" s="34" t="s">
        <v>652</v>
      </c>
      <c r="N584" s="34" t="s">
        <v>666</v>
      </c>
      <c r="O584" s="34" t="s">
        <v>701</v>
      </c>
      <c r="P584" s="34" t="s">
        <v>711</v>
      </c>
      <c r="Q584" s="34" t="s">
        <v>720</v>
      </c>
      <c r="R584" s="34" t="s">
        <v>731</v>
      </c>
      <c r="S584" s="34" t="s">
        <v>1315</v>
      </c>
      <c r="T584" s="35">
        <v>1368.17</v>
      </c>
      <c r="U584" s="35">
        <v>2307.75</v>
      </c>
      <c r="V584" s="35">
        <f t="shared" si="56"/>
        <v>0.16300000000000001</v>
      </c>
      <c r="W584" s="35">
        <v>0.16300000000000001</v>
      </c>
      <c r="X584" s="33">
        <f>IF(Table2[[#This Row],[DiscountPct]]&gt;0.2,1,0)</f>
        <v>0</v>
      </c>
      <c r="Y584" s="33">
        <v>21</v>
      </c>
      <c r="Z584" s="30">
        <f>Table2[[#This Row],[UnitPrice]]*Y584*(1-V584)</f>
        <v>40563.321749999996</v>
      </c>
      <c r="AA584" s="31">
        <f>T584*Y584</f>
        <v>28731.57</v>
      </c>
      <c r="AB584" s="31">
        <f t="shared" si="57"/>
        <v>11831.751749999996</v>
      </c>
      <c r="AC584" s="31">
        <f t="shared" si="58"/>
        <v>0.29168596750831921</v>
      </c>
      <c r="AD584" s="31" t="e">
        <f>_xlfn.PERCENTILE.INC(S:S, 0.33)</f>
        <v>#NUM!</v>
      </c>
      <c r="AE584" s="31" t="e">
        <f>_xlfn.PERCENTILE.INC(S:S, 0.66)</f>
        <v>#NUM!</v>
      </c>
      <c r="AF584" s="30" t="e">
        <f t="shared" si="59"/>
        <v>#NUM!</v>
      </c>
    </row>
    <row r="585" spans="1:32" x14ac:dyDescent="0.3">
      <c r="A585" s="2" t="s">
        <v>598</v>
      </c>
      <c r="B585" s="4">
        <v>45507</v>
      </c>
      <c r="C585" s="46">
        <f>EOMONTH(Table2[[#This Row],[OrderDate]],-1)+1</f>
        <v>45505</v>
      </c>
      <c r="D585" s="45">
        <f>EOMONTH(_xlfn.MINIFS(B585:B1215,M585:M1215,Table2[[#This Row],[Country]]), -1) + 1</f>
        <v>45170</v>
      </c>
      <c r="E585" s="46"/>
      <c r="F585" s="4" t="str">
        <f>"Q"&amp;ROUNDUP(MONTH(B585)/3,0)&amp;"-"&amp;YEAR(B585)</f>
        <v>Q3-2024</v>
      </c>
      <c r="G585" s="4">
        <v>45513</v>
      </c>
      <c r="H585" s="4">
        <f>IF(G585&lt;B585, B585+3, G585)</f>
        <v>45513</v>
      </c>
      <c r="I585" s="10">
        <f>H585-B585</f>
        <v>6</v>
      </c>
      <c r="J585" s="10">
        <f t="shared" si="54"/>
        <v>1</v>
      </c>
      <c r="K585" s="10">
        <f t="shared" si="55"/>
        <v>1</v>
      </c>
      <c r="L585" s="6" t="s">
        <v>646</v>
      </c>
      <c r="M585" s="6" t="s">
        <v>650</v>
      </c>
      <c r="N585" s="6" t="s">
        <v>675</v>
      </c>
      <c r="O585" s="6" t="s">
        <v>704</v>
      </c>
      <c r="P585" s="6" t="s">
        <v>709</v>
      </c>
      <c r="Q585" s="6" t="s">
        <v>722</v>
      </c>
      <c r="R585" s="6" t="s">
        <v>731</v>
      </c>
      <c r="S585" s="6" t="s">
        <v>1316</v>
      </c>
      <c r="T585" s="8">
        <v>643.21</v>
      </c>
      <c r="U585" s="8">
        <v>1112.81</v>
      </c>
      <c r="V585" s="8">
        <f t="shared" si="56"/>
        <v>0.14099999999999999</v>
      </c>
      <c r="W585" s="8">
        <v>0.14099999999999999</v>
      </c>
      <c r="X585" s="10">
        <f>IF(Table2[[#This Row],[DiscountPct]]&gt;0.2,1,0)</f>
        <v>0</v>
      </c>
      <c r="Y585" s="10">
        <v>4</v>
      </c>
      <c r="Z585" s="30">
        <f>Table2[[#This Row],[UnitPrice]]*Y585*(1-V585)</f>
        <v>3823.6151599999998</v>
      </c>
      <c r="AA585" s="2">
        <f>T585*Y585</f>
        <v>2572.84</v>
      </c>
      <c r="AB585" s="2">
        <f t="shared" si="57"/>
        <v>1250.7751599999997</v>
      </c>
      <c r="AC585" s="2">
        <f t="shared" si="58"/>
        <v>0.32711847496702562</v>
      </c>
      <c r="AD585" s="2" t="e">
        <f>_xlfn.PERCENTILE.INC(S:S, 0.33)</f>
        <v>#NUM!</v>
      </c>
      <c r="AE585" s="2" t="e">
        <f>_xlfn.PERCENTILE.INC(S:S, 0.66)</f>
        <v>#NUM!</v>
      </c>
      <c r="AF585" s="30" t="e">
        <f t="shared" si="59"/>
        <v>#NUM!</v>
      </c>
    </row>
    <row r="586" spans="1:32" x14ac:dyDescent="0.3">
      <c r="A586" s="31" t="s">
        <v>599</v>
      </c>
      <c r="B586" s="32">
        <v>45764</v>
      </c>
      <c r="C586" s="47">
        <f>EOMONTH(Table2[[#This Row],[OrderDate]],-1)+1</f>
        <v>45748</v>
      </c>
      <c r="D586" s="45">
        <f>EOMONTH(_xlfn.MINIFS(B586:B1216,M586:M1216,Table2[[#This Row],[Country]]), -1) + 1</f>
        <v>45170</v>
      </c>
      <c r="E586" s="47"/>
      <c r="F586" s="32" t="str">
        <f>"Q"&amp;ROUNDUP(MONTH(B586)/3,0)&amp;"-"&amp;YEAR(B586)</f>
        <v>Q2-2025</v>
      </c>
      <c r="G586" s="32">
        <v>45764</v>
      </c>
      <c r="H586" s="32">
        <f>IF(G586&lt;B586, B586+3, G586)</f>
        <v>45764</v>
      </c>
      <c r="I586" s="33">
        <f>H586-B586</f>
        <v>0</v>
      </c>
      <c r="J586" s="33">
        <f t="shared" si="54"/>
        <v>1</v>
      </c>
      <c r="K586" s="33">
        <f t="shared" si="55"/>
        <v>1</v>
      </c>
      <c r="L586" s="34" t="s">
        <v>648</v>
      </c>
      <c r="M586" s="34" t="s">
        <v>655</v>
      </c>
      <c r="N586" s="34" t="s">
        <v>670</v>
      </c>
      <c r="O586" s="34" t="s">
        <v>701</v>
      </c>
      <c r="P586" s="34" t="s">
        <v>710</v>
      </c>
      <c r="Q586" s="34" t="s">
        <v>716</v>
      </c>
      <c r="R586" s="34" t="s">
        <v>730</v>
      </c>
      <c r="S586" s="34" t="s">
        <v>1317</v>
      </c>
      <c r="T586" s="35">
        <v>719.41</v>
      </c>
      <c r="U586" s="35">
        <v>1125.99</v>
      </c>
      <c r="V586" s="35">
        <f t="shared" si="56"/>
        <v>4.1000000000000002E-2</v>
      </c>
      <c r="W586" s="35">
        <v>4.1000000000000002E-2</v>
      </c>
      <c r="X586" s="33">
        <f>IF(Table2[[#This Row],[DiscountPct]]&gt;0.2,1,0)</f>
        <v>0</v>
      </c>
      <c r="Y586" s="33">
        <v>21</v>
      </c>
      <c r="Z586" s="30">
        <f>Table2[[#This Row],[UnitPrice]]*Y586*(1-V586)</f>
        <v>22676.312610000001</v>
      </c>
      <c r="AA586" s="31">
        <f>T586*Y586</f>
        <v>15107.609999999999</v>
      </c>
      <c r="AB586" s="31">
        <f t="shared" si="57"/>
        <v>7568.7026100000021</v>
      </c>
      <c r="AC586" s="31">
        <f t="shared" si="58"/>
        <v>0.33377131194876403</v>
      </c>
      <c r="AD586" s="31" t="e">
        <f>_xlfn.PERCENTILE.INC(S:S, 0.33)</f>
        <v>#NUM!</v>
      </c>
      <c r="AE586" s="31" t="e">
        <f>_xlfn.PERCENTILE.INC(S:S, 0.66)</f>
        <v>#NUM!</v>
      </c>
      <c r="AF586" s="30" t="e">
        <f t="shared" si="59"/>
        <v>#NUM!</v>
      </c>
    </row>
    <row r="587" spans="1:32" x14ac:dyDescent="0.3">
      <c r="A587" s="2" t="s">
        <v>600</v>
      </c>
      <c r="B587" s="4">
        <v>45049</v>
      </c>
      <c r="C587" s="46">
        <f>EOMONTH(Table2[[#This Row],[OrderDate]],-1)+1</f>
        <v>45047</v>
      </c>
      <c r="D587" s="45">
        <f>EOMONTH(_xlfn.MINIFS(B587:B1217,M587:M1217,Table2[[#This Row],[Country]]), -1) + 1</f>
        <v>44958</v>
      </c>
      <c r="E587" s="46"/>
      <c r="F587" s="4" t="str">
        <f>"Q"&amp;ROUNDUP(MONTH(B587)/3,0)&amp;"-"&amp;YEAR(B587)</f>
        <v>Q2-2023</v>
      </c>
      <c r="G587" s="4">
        <v>45062</v>
      </c>
      <c r="H587" s="4">
        <f>IF(G587&lt;B587, B587+3, G587)</f>
        <v>45062</v>
      </c>
      <c r="I587" s="10">
        <f>H587-B587</f>
        <v>13</v>
      </c>
      <c r="J587" s="10">
        <f t="shared" si="54"/>
        <v>0</v>
      </c>
      <c r="K587" s="10">
        <f t="shared" si="55"/>
        <v>0</v>
      </c>
      <c r="L587" s="6" t="s">
        <v>648</v>
      </c>
      <c r="M587" s="6" t="s">
        <v>660</v>
      </c>
      <c r="N587" s="6" t="s">
        <v>700</v>
      </c>
      <c r="O587" s="6" t="s">
        <v>701</v>
      </c>
      <c r="P587" s="6" t="s">
        <v>709</v>
      </c>
      <c r="Q587" s="6" t="s">
        <v>716</v>
      </c>
      <c r="R587" s="6" t="s">
        <v>730</v>
      </c>
      <c r="S587" s="6" t="s">
        <v>1318</v>
      </c>
      <c r="T587" s="8">
        <v>64.5</v>
      </c>
      <c r="U587" s="8">
        <v>123.62</v>
      </c>
      <c r="V587" s="8">
        <f t="shared" si="56"/>
        <v>0</v>
      </c>
      <c r="W587" s="8">
        <v>0</v>
      </c>
      <c r="X587" s="10">
        <f>IF(Table2[[#This Row],[DiscountPct]]&gt;0.2,1,0)</f>
        <v>0</v>
      </c>
      <c r="Y587" s="10">
        <v>3</v>
      </c>
      <c r="Z587" s="30">
        <f>Table2[[#This Row],[UnitPrice]]*Y587*(1-V587)</f>
        <v>370.86</v>
      </c>
      <c r="AA587" s="2">
        <f>T587*Y587</f>
        <v>193.5</v>
      </c>
      <c r="AB587" s="2">
        <f t="shared" si="57"/>
        <v>177.36</v>
      </c>
      <c r="AC587" s="2">
        <f t="shared" si="58"/>
        <v>0.47823976702798904</v>
      </c>
      <c r="AD587" s="2" t="e">
        <f>_xlfn.PERCENTILE.INC(S:S, 0.33)</f>
        <v>#NUM!</v>
      </c>
      <c r="AE587" s="2" t="e">
        <f>_xlfn.PERCENTILE.INC(S:S, 0.66)</f>
        <v>#NUM!</v>
      </c>
      <c r="AF587" s="30" t="e">
        <f t="shared" si="59"/>
        <v>#NUM!</v>
      </c>
    </row>
    <row r="588" spans="1:32" x14ac:dyDescent="0.3">
      <c r="A588" s="31" t="s">
        <v>601</v>
      </c>
      <c r="B588" s="32">
        <v>45364</v>
      </c>
      <c r="C588" s="47">
        <f>EOMONTH(Table2[[#This Row],[OrderDate]],-1)+1</f>
        <v>45352</v>
      </c>
      <c r="D588" s="45">
        <f>EOMONTH(_xlfn.MINIFS(B588:B1218,M588:M1218,Table2[[#This Row],[Country]]), -1) + 1</f>
        <v>45200</v>
      </c>
      <c r="E588" s="47"/>
      <c r="F588" s="32" t="str">
        <f>"Q"&amp;ROUNDUP(MONTH(B588)/3,0)&amp;"-"&amp;YEAR(B588)</f>
        <v>Q1-2024</v>
      </c>
      <c r="G588" s="32">
        <v>45388</v>
      </c>
      <c r="H588" s="32">
        <f>IF(G588&lt;B588, B588+3, G588)</f>
        <v>45388</v>
      </c>
      <c r="I588" s="33">
        <f>H588-B588</f>
        <v>24</v>
      </c>
      <c r="J588" s="33">
        <f t="shared" si="54"/>
        <v>0</v>
      </c>
      <c r="K588" s="33">
        <f t="shared" si="55"/>
        <v>0</v>
      </c>
      <c r="L588" s="34" t="s">
        <v>646</v>
      </c>
      <c r="M588" s="34" t="s">
        <v>651</v>
      </c>
      <c r="N588" s="34" t="s">
        <v>669</v>
      </c>
      <c r="O588" s="34" t="s">
        <v>704</v>
      </c>
      <c r="P588" s="34" t="s">
        <v>710</v>
      </c>
      <c r="Q588" s="34" t="s">
        <v>716</v>
      </c>
      <c r="R588" s="34" t="s">
        <v>727</v>
      </c>
      <c r="S588" s="34" t="s">
        <v>1319</v>
      </c>
      <c r="T588" s="35">
        <v>1232.78</v>
      </c>
      <c r="U588" s="35">
        <v>1731.75</v>
      </c>
      <c r="V588" s="35">
        <f t="shared" si="56"/>
        <v>9.2999999999999999E-2</v>
      </c>
      <c r="W588" s="35">
        <v>9.2999999999999999E-2</v>
      </c>
      <c r="X588" s="33">
        <f>IF(Table2[[#This Row],[DiscountPct]]&gt;0.2,1,0)</f>
        <v>0</v>
      </c>
      <c r="Y588" s="33">
        <v>16</v>
      </c>
      <c r="Z588" s="30">
        <f>Table2[[#This Row],[UnitPrice]]*Y588*(1-V588)</f>
        <v>25131.155999999999</v>
      </c>
      <c r="AA588" s="31">
        <f>T588*Y588</f>
        <v>19724.48</v>
      </c>
      <c r="AB588" s="31">
        <f t="shared" si="57"/>
        <v>5406.6759999999995</v>
      </c>
      <c r="AC588" s="31">
        <f t="shared" si="58"/>
        <v>0.21513837246484005</v>
      </c>
      <c r="AD588" s="31" t="e">
        <f>_xlfn.PERCENTILE.INC(S:S, 0.33)</f>
        <v>#NUM!</v>
      </c>
      <c r="AE588" s="31" t="e">
        <f>_xlfn.PERCENTILE.INC(S:S, 0.66)</f>
        <v>#NUM!</v>
      </c>
      <c r="AF588" s="30" t="e">
        <f t="shared" si="59"/>
        <v>#NUM!</v>
      </c>
    </row>
    <row r="589" spans="1:32" x14ac:dyDescent="0.3">
      <c r="A589" s="2" t="s">
        <v>602</v>
      </c>
      <c r="B589" s="4">
        <v>45459</v>
      </c>
      <c r="C589" s="46">
        <f>EOMONTH(Table2[[#This Row],[OrderDate]],-1)+1</f>
        <v>45444</v>
      </c>
      <c r="D589" s="45">
        <f>EOMONTH(_xlfn.MINIFS(B589:B1219,M589:M1219,Table2[[#This Row],[Country]]), -1) + 1</f>
        <v>45017</v>
      </c>
      <c r="E589" s="46"/>
      <c r="F589" s="4" t="str">
        <f>"Q"&amp;ROUNDUP(MONTH(B589)/3,0)&amp;"-"&amp;YEAR(B589)</f>
        <v>Q2-2024</v>
      </c>
      <c r="G589" s="4">
        <v>45464</v>
      </c>
      <c r="H589" s="4">
        <f>IF(G589&lt;B589, B589+3, G589)</f>
        <v>45464</v>
      </c>
      <c r="I589" s="10">
        <f>H589-B589</f>
        <v>5</v>
      </c>
      <c r="J589" s="10">
        <f t="shared" si="54"/>
        <v>1</v>
      </c>
      <c r="K589" s="10">
        <f t="shared" si="55"/>
        <v>1</v>
      </c>
      <c r="L589" s="6" t="s">
        <v>647</v>
      </c>
      <c r="M589" s="6" t="s">
        <v>652</v>
      </c>
      <c r="N589" s="6" t="s">
        <v>689</v>
      </c>
      <c r="O589" s="6" t="s">
        <v>705</v>
      </c>
      <c r="P589" s="6" t="s">
        <v>710</v>
      </c>
      <c r="Q589" s="6" t="s">
        <v>721</v>
      </c>
      <c r="R589" s="6" t="s">
        <v>730</v>
      </c>
      <c r="S589" s="6" t="s">
        <v>1320</v>
      </c>
      <c r="T589" s="8">
        <v>1367.13</v>
      </c>
      <c r="U589" s="8">
        <v>3062.01</v>
      </c>
      <c r="V589" s="8">
        <f t="shared" si="56"/>
        <v>0.10299999999999999</v>
      </c>
      <c r="W589" s="8">
        <v>0.10299999999999999</v>
      </c>
      <c r="X589" s="10">
        <f>IF(Table2[[#This Row],[DiscountPct]]&gt;0.2,1,0)</f>
        <v>0</v>
      </c>
      <c r="Y589" s="10">
        <v>25</v>
      </c>
      <c r="Z589" s="30">
        <f>Table2[[#This Row],[UnitPrice]]*Y589*(1-V589)</f>
        <v>68665.574250000005</v>
      </c>
      <c r="AA589" s="2">
        <f>T589*Y589</f>
        <v>34178.25</v>
      </c>
      <c r="AB589" s="2">
        <f t="shared" si="57"/>
        <v>34487.324250000005</v>
      </c>
      <c r="AC589" s="2">
        <f t="shared" si="58"/>
        <v>0.50225057645971705</v>
      </c>
      <c r="AD589" s="2" t="e">
        <f>_xlfn.PERCENTILE.INC(S:S, 0.33)</f>
        <v>#NUM!</v>
      </c>
      <c r="AE589" s="2" t="e">
        <f>_xlfn.PERCENTILE.INC(S:S, 0.66)</f>
        <v>#NUM!</v>
      </c>
      <c r="AF589" s="30" t="e">
        <f t="shared" si="59"/>
        <v>#NUM!</v>
      </c>
    </row>
    <row r="590" spans="1:32" x14ac:dyDescent="0.3">
      <c r="A590" s="31" t="s">
        <v>603</v>
      </c>
      <c r="B590" s="32">
        <v>45703</v>
      </c>
      <c r="C590" s="47">
        <f>EOMONTH(Table2[[#This Row],[OrderDate]],-1)+1</f>
        <v>45689</v>
      </c>
      <c r="D590" s="45">
        <f>EOMONTH(_xlfn.MINIFS(B590:B1220,M590:M1220,Table2[[#This Row],[Country]]), -1) + 1</f>
        <v>45017</v>
      </c>
      <c r="E590" s="47"/>
      <c r="F590" s="32" t="str">
        <f>"Q"&amp;ROUNDUP(MONTH(B590)/3,0)&amp;"-"&amp;YEAR(B590)</f>
        <v>Q1-2025</v>
      </c>
      <c r="G590" s="32">
        <v>45715</v>
      </c>
      <c r="H590" s="32">
        <f>IF(G590&lt;B590, B590+3, G590)</f>
        <v>45715</v>
      </c>
      <c r="I590" s="33">
        <f>H590-B590</f>
        <v>12</v>
      </c>
      <c r="J590" s="33">
        <f t="shared" si="54"/>
        <v>0</v>
      </c>
      <c r="K590" s="33">
        <f t="shared" si="55"/>
        <v>0</v>
      </c>
      <c r="L590" s="34" t="s">
        <v>649</v>
      </c>
      <c r="M590" s="34" t="s">
        <v>657</v>
      </c>
      <c r="N590" s="34" t="s">
        <v>679</v>
      </c>
      <c r="O590" s="34" t="s">
        <v>703</v>
      </c>
      <c r="P590" s="34" t="s">
        <v>711</v>
      </c>
      <c r="Q590" s="34" t="s">
        <v>723</v>
      </c>
      <c r="R590" s="34" t="s">
        <v>733</v>
      </c>
      <c r="S590" s="34" t="s">
        <v>1321</v>
      </c>
      <c r="T590" s="35">
        <v>1027.26</v>
      </c>
      <c r="U590" s="35">
        <v>2200.41</v>
      </c>
      <c r="V590" s="35">
        <f t="shared" si="56"/>
        <v>8.7999999999999995E-2</v>
      </c>
      <c r="W590" s="35">
        <v>8.7999999999999995E-2</v>
      </c>
      <c r="X590" s="33">
        <f>IF(Table2[[#This Row],[DiscountPct]]&gt;0.2,1,0)</f>
        <v>0</v>
      </c>
      <c r="Y590" s="33">
        <v>6</v>
      </c>
      <c r="Z590" s="30">
        <f>Table2[[#This Row],[UnitPrice]]*Y590*(1-V590)</f>
        <v>12040.64352</v>
      </c>
      <c r="AA590" s="31">
        <f>T590*Y590</f>
        <v>6163.5599999999995</v>
      </c>
      <c r="AB590" s="31">
        <f t="shared" si="57"/>
        <v>5877.0835200000001</v>
      </c>
      <c r="AC590" s="31">
        <f t="shared" si="58"/>
        <v>0.48810377204822358</v>
      </c>
      <c r="AD590" s="31" t="e">
        <f>_xlfn.PERCENTILE.INC(S:S, 0.33)</f>
        <v>#NUM!</v>
      </c>
      <c r="AE590" s="31" t="e">
        <f>_xlfn.PERCENTILE.INC(S:S, 0.66)</f>
        <v>#NUM!</v>
      </c>
      <c r="AF590" s="30" t="e">
        <f t="shared" si="59"/>
        <v>#NUM!</v>
      </c>
    </row>
    <row r="591" spans="1:32" x14ac:dyDescent="0.3">
      <c r="A591" s="2" t="s">
        <v>604</v>
      </c>
      <c r="B591" s="4">
        <v>45019</v>
      </c>
      <c r="C591" s="46">
        <f>EOMONTH(Table2[[#This Row],[OrderDate]],-1)+1</f>
        <v>45017</v>
      </c>
      <c r="D591" s="45">
        <f>EOMONTH(_xlfn.MINIFS(B591:B1221,M591:M1221,Table2[[#This Row],[Country]]), -1) + 1</f>
        <v>45017</v>
      </c>
      <c r="E591" s="46"/>
      <c r="F591" s="4" t="str">
        <f>"Q"&amp;ROUNDUP(MONTH(B591)/3,0)&amp;"-"&amp;YEAR(B591)</f>
        <v>Q2-2023</v>
      </c>
      <c r="G591" s="4">
        <v>45032</v>
      </c>
      <c r="H591" s="4">
        <f>IF(G591&lt;B591, B591+3, G591)</f>
        <v>45032</v>
      </c>
      <c r="I591" s="10">
        <f>H591-B591</f>
        <v>13</v>
      </c>
      <c r="J591" s="10">
        <f t="shared" si="54"/>
        <v>0</v>
      </c>
      <c r="K591" s="10">
        <f t="shared" si="55"/>
        <v>0</v>
      </c>
      <c r="L591" s="6" t="s">
        <v>649</v>
      </c>
      <c r="M591" s="6" t="s">
        <v>657</v>
      </c>
      <c r="N591" s="6" t="s">
        <v>673</v>
      </c>
      <c r="O591" s="6" t="s">
        <v>703</v>
      </c>
      <c r="P591" s="6" t="s">
        <v>709</v>
      </c>
      <c r="Q591" s="6" t="s">
        <v>724</v>
      </c>
      <c r="R591" s="6" t="s">
        <v>733</v>
      </c>
      <c r="S591" s="6" t="s">
        <v>1322</v>
      </c>
      <c r="T591" s="8">
        <v>790.54</v>
      </c>
      <c r="U591" s="8">
        <v>601.49</v>
      </c>
      <c r="V591" s="8">
        <f t="shared" si="56"/>
        <v>0</v>
      </c>
      <c r="W591" s="8">
        <v>0</v>
      </c>
      <c r="X591" s="10">
        <f>IF(Table2[[#This Row],[DiscountPct]]&gt;0.2,1,0)</f>
        <v>0</v>
      </c>
      <c r="Y591" s="10">
        <v>15</v>
      </c>
      <c r="Z591" s="30">
        <f>Table2[[#This Row],[UnitPrice]]*Y591*(1-V591)</f>
        <v>9022.35</v>
      </c>
      <c r="AA591" s="2">
        <f>T591*Y591</f>
        <v>11858.099999999999</v>
      </c>
      <c r="AB591" s="2">
        <f t="shared" si="57"/>
        <v>-2835.7499999999982</v>
      </c>
      <c r="AC591" s="2">
        <f t="shared" si="58"/>
        <v>-0.31430281467688553</v>
      </c>
      <c r="AD591" s="2" t="e">
        <f>_xlfn.PERCENTILE.INC(S:S, 0.33)</f>
        <v>#NUM!</v>
      </c>
      <c r="AE591" s="2" t="e">
        <f>_xlfn.PERCENTILE.INC(S:S, 0.66)</f>
        <v>#NUM!</v>
      </c>
      <c r="AF591" s="30" t="e">
        <f t="shared" si="59"/>
        <v>#NUM!</v>
      </c>
    </row>
    <row r="592" spans="1:32" x14ac:dyDescent="0.3">
      <c r="A592" s="31" t="s">
        <v>605</v>
      </c>
      <c r="B592" s="32">
        <v>45899</v>
      </c>
      <c r="C592" s="47">
        <f>EOMONTH(Table2[[#This Row],[OrderDate]],-1)+1</f>
        <v>45870</v>
      </c>
      <c r="D592" s="45">
        <f>EOMONTH(_xlfn.MINIFS(B592:B1222,M592:M1222,Table2[[#This Row],[Country]]), -1) + 1</f>
        <v>45108</v>
      </c>
      <c r="E592" s="47"/>
      <c r="F592" s="32" t="str">
        <f>"Q"&amp;ROUNDUP(MONTH(B592)/3,0)&amp;"-"&amp;YEAR(B592)</f>
        <v>Q3-2025</v>
      </c>
      <c r="G592" s="32">
        <v>45922</v>
      </c>
      <c r="H592" s="32">
        <f>IF(G592&lt;B592, B592+3, G592)</f>
        <v>45922</v>
      </c>
      <c r="I592" s="33">
        <f>H592-B592</f>
        <v>23</v>
      </c>
      <c r="J592" s="33">
        <f t="shared" si="54"/>
        <v>0</v>
      </c>
      <c r="K592" s="33">
        <f t="shared" si="55"/>
        <v>0</v>
      </c>
      <c r="L592" s="34" t="s">
        <v>649</v>
      </c>
      <c r="M592" s="34" t="s">
        <v>657</v>
      </c>
      <c r="N592" s="34" t="s">
        <v>673</v>
      </c>
      <c r="O592" s="34" t="s">
        <v>701</v>
      </c>
      <c r="P592" s="34" t="s">
        <v>711</v>
      </c>
      <c r="Q592" s="34" t="s">
        <v>718</v>
      </c>
      <c r="R592" s="34" t="s">
        <v>727</v>
      </c>
      <c r="S592" s="34" t="s">
        <v>1323</v>
      </c>
      <c r="T592" s="35">
        <v>663.9</v>
      </c>
      <c r="U592" s="35">
        <v>947.77</v>
      </c>
      <c r="V592" s="35">
        <f t="shared" si="56"/>
        <v>0.17399999999999999</v>
      </c>
      <c r="W592" s="35">
        <v>0.17399999999999999</v>
      </c>
      <c r="X592" s="33">
        <f>IF(Table2[[#This Row],[DiscountPct]]&gt;0.2,1,0)</f>
        <v>0</v>
      </c>
      <c r="Y592" s="33">
        <v>15</v>
      </c>
      <c r="Z592" s="30">
        <f>Table2[[#This Row],[UnitPrice]]*Y592*(1-V592)</f>
        <v>11742.8703</v>
      </c>
      <c r="AA592" s="31">
        <f>T592*Y592</f>
        <v>9958.5</v>
      </c>
      <c r="AB592" s="31">
        <f t="shared" si="57"/>
        <v>1784.3703000000005</v>
      </c>
      <c r="AC592" s="31">
        <f t="shared" si="58"/>
        <v>0.1519535049280073</v>
      </c>
      <c r="AD592" s="31" t="e">
        <f>_xlfn.PERCENTILE.INC(S:S, 0.33)</f>
        <v>#NUM!</v>
      </c>
      <c r="AE592" s="31" t="e">
        <f>_xlfn.PERCENTILE.INC(S:S, 0.66)</f>
        <v>#NUM!</v>
      </c>
      <c r="AF592" s="30" t="e">
        <f t="shared" si="59"/>
        <v>#NUM!</v>
      </c>
    </row>
    <row r="593" spans="1:32" x14ac:dyDescent="0.3">
      <c r="A593" s="2" t="s">
        <v>606</v>
      </c>
      <c r="B593" s="4">
        <v>44984</v>
      </c>
      <c r="C593" s="46">
        <f>EOMONTH(Table2[[#This Row],[OrderDate]],-1)+1</f>
        <v>44958</v>
      </c>
      <c r="D593" s="45">
        <f>EOMONTH(_xlfn.MINIFS(B593:B1223,M593:M1223,Table2[[#This Row],[Country]]), -1) + 1</f>
        <v>44958</v>
      </c>
      <c r="E593" s="46"/>
      <c r="F593" s="4" t="str">
        <f>"Q"&amp;ROUNDUP(MONTH(B593)/3,0)&amp;"-"&amp;YEAR(B593)</f>
        <v>Q1-2023</v>
      </c>
      <c r="G593" s="4">
        <v>44983</v>
      </c>
      <c r="H593" s="4">
        <f>IF(G593&lt;B593, B593+3, G593)</f>
        <v>44987</v>
      </c>
      <c r="I593" s="10">
        <f>H593-B593</f>
        <v>3</v>
      </c>
      <c r="J593" s="10">
        <f t="shared" si="54"/>
        <v>1</v>
      </c>
      <c r="K593" s="10">
        <f t="shared" si="55"/>
        <v>1</v>
      </c>
      <c r="L593" s="6" t="s">
        <v>648</v>
      </c>
      <c r="M593" s="6" t="s">
        <v>660</v>
      </c>
      <c r="N593" s="6" t="s">
        <v>686</v>
      </c>
      <c r="O593" s="6" t="s">
        <v>703</v>
      </c>
      <c r="P593" s="6" t="s">
        <v>708</v>
      </c>
      <c r="Q593" s="6" t="s">
        <v>716</v>
      </c>
      <c r="R593" s="6" t="s">
        <v>729</v>
      </c>
      <c r="S593" s="6" t="s">
        <v>1324</v>
      </c>
      <c r="T593" s="8">
        <v>1015.91</v>
      </c>
      <c r="U593" s="8">
        <v>2331.48</v>
      </c>
      <c r="V593" s="8">
        <f t="shared" si="56"/>
        <v>0.14599999999999999</v>
      </c>
      <c r="W593" s="8">
        <v>0.14599999999999999</v>
      </c>
      <c r="X593" s="10">
        <f>IF(Table2[[#This Row],[DiscountPct]]&gt;0.2,1,0)</f>
        <v>0</v>
      </c>
      <c r="Y593" s="10">
        <v>26</v>
      </c>
      <c r="Z593" s="30">
        <f>Table2[[#This Row],[UnitPrice]]*Y593*(1-V593)</f>
        <v>51768.181920000003</v>
      </c>
      <c r="AA593" s="2">
        <f>T593*Y593</f>
        <v>26413.66</v>
      </c>
      <c r="AB593" s="2">
        <f t="shared" si="57"/>
        <v>25354.521920000003</v>
      </c>
      <c r="AC593" s="2">
        <f t="shared" si="58"/>
        <v>0.48977037592669626</v>
      </c>
      <c r="AD593" s="2" t="e">
        <f>_xlfn.PERCENTILE.INC(S:S, 0.33)</f>
        <v>#NUM!</v>
      </c>
      <c r="AE593" s="2" t="e">
        <f>_xlfn.PERCENTILE.INC(S:S, 0.66)</f>
        <v>#NUM!</v>
      </c>
      <c r="AF593" s="30" t="e">
        <f t="shared" si="59"/>
        <v>#NUM!</v>
      </c>
    </row>
    <row r="594" spans="1:32" x14ac:dyDescent="0.3">
      <c r="A594" s="31" t="s">
        <v>607</v>
      </c>
      <c r="B594" s="32">
        <v>45504</v>
      </c>
      <c r="C594" s="47">
        <f>EOMONTH(Table2[[#This Row],[OrderDate]],-1)+1</f>
        <v>45474</v>
      </c>
      <c r="D594" s="45">
        <f>EOMONTH(_xlfn.MINIFS(B594:B1224,M594:M1224,Table2[[#This Row],[Country]]), -1) + 1</f>
        <v>45017</v>
      </c>
      <c r="E594" s="47"/>
      <c r="F594" s="32" t="str">
        <f>"Q"&amp;ROUNDUP(MONTH(B594)/3,0)&amp;"-"&amp;YEAR(B594)</f>
        <v>Q3-2024</v>
      </c>
      <c r="G594" s="32">
        <v>45519</v>
      </c>
      <c r="H594" s="32">
        <f>IF(G594&lt;B594, B594+3, G594)</f>
        <v>45519</v>
      </c>
      <c r="I594" s="33">
        <f>H594-B594</f>
        <v>15</v>
      </c>
      <c r="J594" s="33">
        <f t="shared" si="54"/>
        <v>0</v>
      </c>
      <c r="K594" s="33">
        <f t="shared" si="55"/>
        <v>0</v>
      </c>
      <c r="L594" s="34" t="s">
        <v>647</v>
      </c>
      <c r="M594" s="34" t="s">
        <v>652</v>
      </c>
      <c r="N594" s="34" t="s">
        <v>689</v>
      </c>
      <c r="O594" s="34" t="s">
        <v>701</v>
      </c>
      <c r="P594" s="34" t="s">
        <v>709</v>
      </c>
      <c r="Q594" s="34" t="s">
        <v>721</v>
      </c>
      <c r="R594" s="34" t="s">
        <v>732</v>
      </c>
      <c r="S594" s="34" t="s">
        <v>1325</v>
      </c>
      <c r="T594" s="35">
        <v>1252.52</v>
      </c>
      <c r="U594" s="35">
        <v>1417.24</v>
      </c>
      <c r="V594" s="35">
        <f t="shared" si="56"/>
        <v>0.192</v>
      </c>
      <c r="W594" s="35">
        <v>0.192</v>
      </c>
      <c r="X594" s="33">
        <f>IF(Table2[[#This Row],[DiscountPct]]&gt;0.2,1,0)</f>
        <v>0</v>
      </c>
      <c r="Y594" s="33">
        <v>5</v>
      </c>
      <c r="Z594" s="30">
        <f>Table2[[#This Row],[UnitPrice]]*Y594*(1-V594)</f>
        <v>5725.6496000000006</v>
      </c>
      <c r="AA594" s="31">
        <f>T594*Y594</f>
        <v>6262.6</v>
      </c>
      <c r="AB594" s="31">
        <f t="shared" si="57"/>
        <v>-536.95039999999972</v>
      </c>
      <c r="AC594" s="31">
        <f t="shared" si="58"/>
        <v>-9.3779821943696953E-2</v>
      </c>
      <c r="AD594" s="31" t="e">
        <f>_xlfn.PERCENTILE.INC(S:S, 0.33)</f>
        <v>#NUM!</v>
      </c>
      <c r="AE594" s="31" t="e">
        <f>_xlfn.PERCENTILE.INC(S:S, 0.66)</f>
        <v>#NUM!</v>
      </c>
      <c r="AF594" s="30" t="e">
        <f t="shared" si="59"/>
        <v>#NUM!</v>
      </c>
    </row>
    <row r="595" spans="1:32" x14ac:dyDescent="0.3">
      <c r="A595" s="2" t="s">
        <v>608</v>
      </c>
      <c r="B595" s="4">
        <v>45823</v>
      </c>
      <c r="C595" s="46">
        <f>EOMONTH(Table2[[#This Row],[OrderDate]],-1)+1</f>
        <v>45809</v>
      </c>
      <c r="D595" s="45">
        <f>EOMONTH(_xlfn.MINIFS(B595:B1225,M595:M1225,Table2[[#This Row],[Country]]), -1) + 1</f>
        <v>45108</v>
      </c>
      <c r="E595" s="46"/>
      <c r="F595" s="4" t="str">
        <f>"Q"&amp;ROUNDUP(MONTH(B595)/3,0)&amp;"-"&amp;YEAR(B595)</f>
        <v>Q2-2025</v>
      </c>
      <c r="G595" s="4">
        <v>45850</v>
      </c>
      <c r="H595" s="4">
        <f>IF(G595&lt;B595, B595+3, G595)</f>
        <v>45850</v>
      </c>
      <c r="I595" s="10">
        <f>H595-B595</f>
        <v>27</v>
      </c>
      <c r="J595" s="10">
        <f t="shared" si="54"/>
        <v>0</v>
      </c>
      <c r="K595" s="10">
        <f t="shared" si="55"/>
        <v>0</v>
      </c>
      <c r="L595" s="6" t="s">
        <v>649</v>
      </c>
      <c r="M595" s="6" t="s">
        <v>657</v>
      </c>
      <c r="N595" s="6" t="s">
        <v>673</v>
      </c>
      <c r="O595" s="6" t="s">
        <v>704</v>
      </c>
      <c r="P595" s="6" t="s">
        <v>711</v>
      </c>
      <c r="Q595" s="6" t="s">
        <v>712</v>
      </c>
      <c r="R595" s="6" t="s">
        <v>733</v>
      </c>
      <c r="S595" s="6" t="s">
        <v>1326</v>
      </c>
      <c r="T595" s="8">
        <v>318.83</v>
      </c>
      <c r="U595" s="8">
        <v>699.5</v>
      </c>
      <c r="V595" s="8">
        <f t="shared" si="56"/>
        <v>0.08</v>
      </c>
      <c r="W595" s="8">
        <v>0.08</v>
      </c>
      <c r="X595" s="10">
        <f>IF(Table2[[#This Row],[DiscountPct]]&gt;0.2,1,0)</f>
        <v>0</v>
      </c>
      <c r="Y595" s="10">
        <v>13</v>
      </c>
      <c r="Z595" s="30">
        <f>Table2[[#This Row],[UnitPrice]]*Y595*(1-V595)</f>
        <v>8366.02</v>
      </c>
      <c r="AA595" s="2">
        <f>T595*Y595</f>
        <v>4144.79</v>
      </c>
      <c r="AB595" s="2">
        <f t="shared" si="57"/>
        <v>4221.2300000000005</v>
      </c>
      <c r="AC595" s="2">
        <f t="shared" si="58"/>
        <v>0.50456848059172699</v>
      </c>
      <c r="AD595" s="2" t="e">
        <f>_xlfn.PERCENTILE.INC(S:S, 0.33)</f>
        <v>#NUM!</v>
      </c>
      <c r="AE595" s="2" t="e">
        <f>_xlfn.PERCENTILE.INC(S:S, 0.66)</f>
        <v>#NUM!</v>
      </c>
      <c r="AF595" s="30" t="e">
        <f t="shared" si="59"/>
        <v>#NUM!</v>
      </c>
    </row>
    <row r="596" spans="1:32" x14ac:dyDescent="0.3">
      <c r="A596" s="31" t="s">
        <v>609</v>
      </c>
      <c r="B596" s="32">
        <v>45473</v>
      </c>
      <c r="C596" s="47">
        <f>EOMONTH(Table2[[#This Row],[OrderDate]],-1)+1</f>
        <v>45444</v>
      </c>
      <c r="D596" s="45">
        <f>EOMONTH(_xlfn.MINIFS(B596:B1226,M596:M1226,Table2[[#This Row],[Country]]), -1) + 1</f>
        <v>45170</v>
      </c>
      <c r="E596" s="47"/>
      <c r="F596" s="32" t="str">
        <f>"Q"&amp;ROUNDUP(MONTH(B596)/3,0)&amp;"-"&amp;YEAR(B596)</f>
        <v>Q2-2024</v>
      </c>
      <c r="G596" s="32">
        <v>45494</v>
      </c>
      <c r="H596" s="32">
        <f>IF(G596&lt;B596, B596+3, G596)</f>
        <v>45494</v>
      </c>
      <c r="I596" s="33">
        <f>H596-B596</f>
        <v>21</v>
      </c>
      <c r="J596" s="33">
        <f t="shared" si="54"/>
        <v>0</v>
      </c>
      <c r="K596" s="33">
        <f t="shared" si="55"/>
        <v>0</v>
      </c>
      <c r="L596" s="34" t="s">
        <v>646</v>
      </c>
      <c r="M596" s="34" t="s">
        <v>650</v>
      </c>
      <c r="N596" s="34" t="s">
        <v>662</v>
      </c>
      <c r="O596" s="34" t="s">
        <v>705</v>
      </c>
      <c r="P596" s="34" t="s">
        <v>707</v>
      </c>
      <c r="Q596" s="34" t="s">
        <v>723</v>
      </c>
      <c r="R596" s="34" t="s">
        <v>731</v>
      </c>
      <c r="S596" s="34" t="s">
        <v>1327</v>
      </c>
      <c r="T596" s="35">
        <v>753.43</v>
      </c>
      <c r="U596" s="35">
        <v>1787.2</v>
      </c>
      <c r="V596" s="35">
        <f t="shared" si="56"/>
        <v>7.2999999999999995E-2</v>
      </c>
      <c r="W596" s="35">
        <v>7.2999999999999995E-2</v>
      </c>
      <c r="X596" s="33">
        <f>IF(Table2[[#This Row],[DiscountPct]]&gt;0.2,1,0)</f>
        <v>0</v>
      </c>
      <c r="Y596" s="33">
        <v>9</v>
      </c>
      <c r="Z596" s="30">
        <f>Table2[[#This Row],[UnitPrice]]*Y596*(1-V596)</f>
        <v>14910.609600000002</v>
      </c>
      <c r="AA596" s="31">
        <f>T596*Y596</f>
        <v>6780.87</v>
      </c>
      <c r="AB596" s="31">
        <f t="shared" si="57"/>
        <v>8129.7396000000017</v>
      </c>
      <c r="AC596" s="31">
        <f t="shared" si="58"/>
        <v>0.54523187301476939</v>
      </c>
      <c r="AD596" s="31" t="e">
        <f>_xlfn.PERCENTILE.INC(S:S, 0.33)</f>
        <v>#NUM!</v>
      </c>
      <c r="AE596" s="31" t="e">
        <f>_xlfn.PERCENTILE.INC(S:S, 0.66)</f>
        <v>#NUM!</v>
      </c>
      <c r="AF596" s="30" t="e">
        <f t="shared" si="59"/>
        <v>#NUM!</v>
      </c>
    </row>
    <row r="597" spans="1:32" x14ac:dyDescent="0.3">
      <c r="A597" s="2" t="s">
        <v>610</v>
      </c>
      <c r="B597" s="4">
        <v>45705</v>
      </c>
      <c r="C597" s="46">
        <f>EOMONTH(Table2[[#This Row],[OrderDate]],-1)+1</f>
        <v>45689</v>
      </c>
      <c r="D597" s="45">
        <f>EOMONTH(_xlfn.MINIFS(B597:B1227,M597:M1227,Table2[[#This Row],[Country]]), -1) + 1</f>
        <v>45078</v>
      </c>
      <c r="E597" s="46"/>
      <c r="F597" s="4" t="str">
        <f>"Q"&amp;ROUNDUP(MONTH(B597)/3,0)&amp;"-"&amp;YEAR(B597)</f>
        <v>Q1-2025</v>
      </c>
      <c r="G597" s="4">
        <v>45703</v>
      </c>
      <c r="H597" s="4">
        <f>IF(G597&lt;B597, B597+3, G597)</f>
        <v>45708</v>
      </c>
      <c r="I597" s="10">
        <f>H597-B597</f>
        <v>3</v>
      </c>
      <c r="J597" s="10">
        <f t="shared" si="54"/>
        <v>1</v>
      </c>
      <c r="K597" s="10">
        <f t="shared" si="55"/>
        <v>1</v>
      </c>
      <c r="L597" s="6" t="s">
        <v>648</v>
      </c>
      <c r="M597" s="6" t="s">
        <v>653</v>
      </c>
      <c r="N597" s="6" t="s">
        <v>667</v>
      </c>
      <c r="O597" s="6" t="s">
        <v>705</v>
      </c>
      <c r="P597" s="6" t="s">
        <v>707</v>
      </c>
      <c r="Q597" s="6" t="s">
        <v>726</v>
      </c>
      <c r="R597" s="6" t="s">
        <v>727</v>
      </c>
      <c r="S597" s="6" t="s">
        <v>1328</v>
      </c>
      <c r="T597" s="8">
        <v>1133.47</v>
      </c>
      <c r="U597" s="8">
        <v>1698.75</v>
      </c>
      <c r="V597" s="8">
        <f t="shared" si="56"/>
        <v>4.2999999999999997E-2</v>
      </c>
      <c r="W597" s="8">
        <v>4.2999999999999997E-2</v>
      </c>
      <c r="X597" s="10">
        <f>IF(Table2[[#This Row],[DiscountPct]]&gt;0.2,1,0)</f>
        <v>0</v>
      </c>
      <c r="Y597" s="10">
        <v>5</v>
      </c>
      <c r="Z597" s="30">
        <f>Table2[[#This Row],[UnitPrice]]*Y597*(1-V597)</f>
        <v>8128.5187499999993</v>
      </c>
      <c r="AA597" s="2">
        <f>T597*Y597</f>
        <v>5667.35</v>
      </c>
      <c r="AB597" s="2">
        <f t="shared" si="57"/>
        <v>2461.1687499999989</v>
      </c>
      <c r="AC597" s="2">
        <f t="shared" si="58"/>
        <v>0.30278194904821976</v>
      </c>
      <c r="AD597" s="2" t="e">
        <f>_xlfn.PERCENTILE.INC(S:S, 0.33)</f>
        <v>#NUM!</v>
      </c>
      <c r="AE597" s="2" t="e">
        <f>_xlfn.PERCENTILE.INC(S:S, 0.66)</f>
        <v>#NUM!</v>
      </c>
      <c r="AF597" s="30" t="e">
        <f t="shared" si="59"/>
        <v>#NUM!</v>
      </c>
    </row>
    <row r="598" spans="1:32" x14ac:dyDescent="0.3">
      <c r="A598" s="31" t="s">
        <v>611</v>
      </c>
      <c r="B598" s="32">
        <v>44933</v>
      </c>
      <c r="C598" s="47">
        <f>EOMONTH(Table2[[#This Row],[OrderDate]],-1)+1</f>
        <v>44927</v>
      </c>
      <c r="D598" s="45">
        <f>EOMONTH(_xlfn.MINIFS(B598:B1228,M598:M1228,Table2[[#This Row],[Country]]), -1) + 1</f>
        <v>44927</v>
      </c>
      <c r="E598" s="47"/>
      <c r="F598" s="32" t="str">
        <f>"Q"&amp;ROUNDUP(MONTH(B598)/3,0)&amp;"-"&amp;YEAR(B598)</f>
        <v>Q1-2023</v>
      </c>
      <c r="G598" s="32">
        <v>44956</v>
      </c>
      <c r="H598" s="32">
        <f>IF(G598&lt;B598, B598+3, G598)</f>
        <v>44956</v>
      </c>
      <c r="I598" s="33">
        <f>H598-B598</f>
        <v>23</v>
      </c>
      <c r="J598" s="33">
        <f t="shared" si="54"/>
        <v>0</v>
      </c>
      <c r="K598" s="33">
        <f t="shared" si="55"/>
        <v>0</v>
      </c>
      <c r="L598" s="34" t="s">
        <v>646</v>
      </c>
      <c r="M598" s="34" t="s">
        <v>661</v>
      </c>
      <c r="N598" s="34" t="s">
        <v>695</v>
      </c>
      <c r="O598" s="34" t="s">
        <v>704</v>
      </c>
      <c r="P598" s="34" t="s">
        <v>708</v>
      </c>
      <c r="Q598" s="34" t="s">
        <v>720</v>
      </c>
      <c r="R598" s="34" t="s">
        <v>728</v>
      </c>
      <c r="S598" s="34" t="s">
        <v>1329</v>
      </c>
      <c r="T598" s="35">
        <v>299.02</v>
      </c>
      <c r="U598" s="35">
        <v>724.7</v>
      </c>
      <c r="V598" s="35">
        <f t="shared" si="56"/>
        <v>0.14000000000000001</v>
      </c>
      <c r="W598" s="35">
        <v>0.14000000000000001</v>
      </c>
      <c r="X598" s="33">
        <f>IF(Table2[[#This Row],[DiscountPct]]&gt;0.2,1,0)</f>
        <v>0</v>
      </c>
      <c r="Y598" s="33">
        <v>5</v>
      </c>
      <c r="Z598" s="30">
        <f>Table2[[#This Row],[UnitPrice]]*Y598*(1-V598)</f>
        <v>3116.21</v>
      </c>
      <c r="AA598" s="31">
        <f>T598*Y598</f>
        <v>1495.1</v>
      </c>
      <c r="AB598" s="31">
        <f t="shared" si="57"/>
        <v>1621.1100000000001</v>
      </c>
      <c r="AC598" s="31">
        <f t="shared" si="58"/>
        <v>0.52021847051386139</v>
      </c>
      <c r="AD598" s="31" t="e">
        <f>_xlfn.PERCENTILE.INC(S:S, 0.33)</f>
        <v>#NUM!</v>
      </c>
      <c r="AE598" s="31" t="e">
        <f>_xlfn.PERCENTILE.INC(S:S, 0.66)</f>
        <v>#NUM!</v>
      </c>
      <c r="AF598" s="30" t="e">
        <f t="shared" si="59"/>
        <v>#NUM!</v>
      </c>
    </row>
    <row r="599" spans="1:32" x14ac:dyDescent="0.3">
      <c r="A599" s="2" t="s">
        <v>612</v>
      </c>
      <c r="B599" s="4">
        <v>45726</v>
      </c>
      <c r="C599" s="46">
        <f>EOMONTH(Table2[[#This Row],[OrderDate]],-1)+1</f>
        <v>45717</v>
      </c>
      <c r="D599" s="45">
        <f>EOMONTH(_xlfn.MINIFS(B599:B1229,M599:M1229,Table2[[#This Row],[Country]]), -1) + 1</f>
        <v>45017</v>
      </c>
      <c r="E599" s="46"/>
      <c r="F599" s="4" t="str">
        <f>"Q"&amp;ROUNDUP(MONTH(B599)/3,0)&amp;"-"&amp;YEAR(B599)</f>
        <v>Q1-2025</v>
      </c>
      <c r="G599" s="4">
        <v>45751</v>
      </c>
      <c r="H599" s="4">
        <f>IF(G599&lt;B599, B599+3, G599)</f>
        <v>45751</v>
      </c>
      <c r="I599" s="10">
        <f>H599-B599</f>
        <v>25</v>
      </c>
      <c r="J599" s="10">
        <f t="shared" si="54"/>
        <v>0</v>
      </c>
      <c r="K599" s="10">
        <f t="shared" si="55"/>
        <v>0</v>
      </c>
      <c r="L599" s="6" t="s">
        <v>647</v>
      </c>
      <c r="M599" s="6" t="s">
        <v>652</v>
      </c>
      <c r="N599" s="6" t="s">
        <v>666</v>
      </c>
      <c r="O599" s="6" t="s">
        <v>701</v>
      </c>
      <c r="P599" s="6" t="s">
        <v>711</v>
      </c>
      <c r="Q599" s="6" t="s">
        <v>722</v>
      </c>
      <c r="R599" s="6" t="s">
        <v>728</v>
      </c>
      <c r="S599" s="6" t="s">
        <v>1330</v>
      </c>
      <c r="T599" s="8">
        <v>783.72</v>
      </c>
      <c r="U599" s="8">
        <v>1355.94</v>
      </c>
      <c r="V599" s="8">
        <f t="shared" si="56"/>
        <v>0.187</v>
      </c>
      <c r="W599" s="8">
        <v>0.187</v>
      </c>
      <c r="X599" s="10">
        <f>IF(Table2[[#This Row],[DiscountPct]]&gt;0.2,1,0)</f>
        <v>0</v>
      </c>
      <c r="Y599" s="10">
        <v>4</v>
      </c>
      <c r="Z599" s="30">
        <f>Table2[[#This Row],[UnitPrice]]*Y599*(1-V599)</f>
        <v>4409.5168800000001</v>
      </c>
      <c r="AA599" s="2">
        <f>T599*Y599</f>
        <v>3134.88</v>
      </c>
      <c r="AB599" s="2">
        <f t="shared" si="57"/>
        <v>1274.63688</v>
      </c>
      <c r="AC599" s="2">
        <f t="shared" si="58"/>
        <v>0.28906497348525856</v>
      </c>
      <c r="AD599" s="2" t="e">
        <f>_xlfn.PERCENTILE.INC(S:S, 0.33)</f>
        <v>#NUM!</v>
      </c>
      <c r="AE599" s="2" t="e">
        <f>_xlfn.PERCENTILE.INC(S:S, 0.66)</f>
        <v>#NUM!</v>
      </c>
      <c r="AF599" s="30" t="e">
        <f t="shared" si="59"/>
        <v>#NUM!</v>
      </c>
    </row>
    <row r="600" spans="1:32" x14ac:dyDescent="0.3">
      <c r="A600" s="31" t="s">
        <v>613</v>
      </c>
      <c r="B600" s="32">
        <v>45521</v>
      </c>
      <c r="C600" s="47">
        <f>EOMONTH(Table2[[#This Row],[OrderDate]],-1)+1</f>
        <v>45505</v>
      </c>
      <c r="D600" s="45">
        <f>EOMONTH(_xlfn.MINIFS(B600:B1230,M600:M1230,Table2[[#This Row],[Country]]), -1) + 1</f>
        <v>45170</v>
      </c>
      <c r="E600" s="47"/>
      <c r="F600" s="32" t="str">
        <f>"Q"&amp;ROUNDUP(MONTH(B600)/3,0)&amp;"-"&amp;YEAR(B600)</f>
        <v>Q3-2024</v>
      </c>
      <c r="G600" s="32">
        <v>45519</v>
      </c>
      <c r="H600" s="32">
        <f>IF(G600&lt;B600, B600+3, G600)</f>
        <v>45524</v>
      </c>
      <c r="I600" s="33">
        <f>H600-B600</f>
        <v>3</v>
      </c>
      <c r="J600" s="33">
        <f t="shared" si="54"/>
        <v>1</v>
      </c>
      <c r="K600" s="33">
        <f t="shared" si="55"/>
        <v>1</v>
      </c>
      <c r="L600" s="34" t="s">
        <v>648</v>
      </c>
      <c r="M600" s="34" t="s">
        <v>655</v>
      </c>
      <c r="N600" s="34" t="s">
        <v>692</v>
      </c>
      <c r="O600" s="34" t="s">
        <v>704</v>
      </c>
      <c r="P600" s="34" t="s">
        <v>711</v>
      </c>
      <c r="Q600" s="34" t="s">
        <v>724</v>
      </c>
      <c r="R600" s="34" t="s">
        <v>732</v>
      </c>
      <c r="S600" s="34" t="s">
        <v>1331</v>
      </c>
      <c r="T600" s="35">
        <v>165.3</v>
      </c>
      <c r="U600" s="35">
        <v>275.07</v>
      </c>
      <c r="V600" s="35">
        <f t="shared" si="56"/>
        <v>0.13300000000000001</v>
      </c>
      <c r="W600" s="35">
        <v>0.13300000000000001</v>
      </c>
      <c r="X600" s="33">
        <f>IF(Table2[[#This Row],[DiscountPct]]&gt;0.2,1,0)</f>
        <v>0</v>
      </c>
      <c r="Y600" s="33">
        <v>25</v>
      </c>
      <c r="Z600" s="30">
        <f>Table2[[#This Row],[UnitPrice]]*Y600*(1-V600)</f>
        <v>5962.1422499999999</v>
      </c>
      <c r="AA600" s="31">
        <f>T600*Y600</f>
        <v>4132.5</v>
      </c>
      <c r="AB600" s="31">
        <f t="shared" si="57"/>
        <v>1829.6422499999999</v>
      </c>
      <c r="AC600" s="31">
        <f t="shared" si="58"/>
        <v>0.30687665159280625</v>
      </c>
      <c r="AD600" s="31" t="e">
        <f>_xlfn.PERCENTILE.INC(S:S, 0.33)</f>
        <v>#NUM!</v>
      </c>
      <c r="AE600" s="31" t="e">
        <f>_xlfn.PERCENTILE.INC(S:S, 0.66)</f>
        <v>#NUM!</v>
      </c>
      <c r="AF600" s="30" t="e">
        <f t="shared" si="59"/>
        <v>#NUM!</v>
      </c>
    </row>
    <row r="601" spans="1:32" x14ac:dyDescent="0.3">
      <c r="A601" s="2" t="s">
        <v>614</v>
      </c>
      <c r="B601" s="4">
        <v>45360</v>
      </c>
      <c r="C601" s="46">
        <f>EOMONTH(Table2[[#This Row],[OrderDate]],-1)+1</f>
        <v>45352</v>
      </c>
      <c r="D601" s="45">
        <f>EOMONTH(_xlfn.MINIFS(B601:B1231,M601:M1231,Table2[[#This Row],[Country]]), -1) + 1</f>
        <v>45017</v>
      </c>
      <c r="E601" s="46"/>
      <c r="F601" s="4" t="str">
        <f>"Q"&amp;ROUNDUP(MONTH(B601)/3,0)&amp;"-"&amp;YEAR(B601)</f>
        <v>Q1-2024</v>
      </c>
      <c r="G601" s="4">
        <v>45373</v>
      </c>
      <c r="H601" s="4">
        <f>IF(G601&lt;B601, B601+3, G601)</f>
        <v>45373</v>
      </c>
      <c r="I601" s="10">
        <f>H601-B601</f>
        <v>13</v>
      </c>
      <c r="J601" s="10">
        <f t="shared" si="54"/>
        <v>0</v>
      </c>
      <c r="K601" s="10">
        <f t="shared" si="55"/>
        <v>0</v>
      </c>
      <c r="L601" s="6" t="s">
        <v>649</v>
      </c>
      <c r="M601" s="6" t="s">
        <v>658</v>
      </c>
      <c r="N601" s="6" t="s">
        <v>693</v>
      </c>
      <c r="O601" s="6" t="s">
        <v>704</v>
      </c>
      <c r="P601" s="6" t="s">
        <v>708</v>
      </c>
      <c r="Q601" s="6" t="s">
        <v>718</v>
      </c>
      <c r="R601" s="6" t="s">
        <v>731</v>
      </c>
      <c r="S601" s="6" t="s">
        <v>1332</v>
      </c>
      <c r="T601" s="8">
        <v>985.45</v>
      </c>
      <c r="U601" s="8">
        <v>1802.44</v>
      </c>
      <c r="V601" s="8">
        <f t="shared" si="56"/>
        <v>8.9999999999999993E-3</v>
      </c>
      <c r="W601" s="8">
        <v>8.9999999999999993E-3</v>
      </c>
      <c r="X601" s="10">
        <f>IF(Table2[[#This Row],[DiscountPct]]&gt;0.2,1,0)</f>
        <v>0</v>
      </c>
      <c r="Y601" s="10">
        <v>19</v>
      </c>
      <c r="Z601" s="30">
        <f>Table2[[#This Row],[UnitPrice]]*Y601*(1-V601)</f>
        <v>33938.142760000002</v>
      </c>
      <c r="AA601" s="2">
        <f>T601*Y601</f>
        <v>18723.55</v>
      </c>
      <c r="AB601" s="2">
        <f t="shared" si="57"/>
        <v>15214.592760000003</v>
      </c>
      <c r="AC601" s="2">
        <f t="shared" si="58"/>
        <v>0.44830363486867486</v>
      </c>
      <c r="AD601" s="2" t="e">
        <f>_xlfn.PERCENTILE.INC(S:S, 0.33)</f>
        <v>#NUM!</v>
      </c>
      <c r="AE601" s="2" t="e">
        <f>_xlfn.PERCENTILE.INC(S:S, 0.66)</f>
        <v>#NUM!</v>
      </c>
      <c r="AF601" s="30" t="e">
        <f t="shared" si="59"/>
        <v>#NUM!</v>
      </c>
    </row>
    <row r="602" spans="1:32" x14ac:dyDescent="0.3">
      <c r="A602" s="31" t="s">
        <v>615</v>
      </c>
      <c r="B602" s="32">
        <v>45523</v>
      </c>
      <c r="C602" s="47">
        <f>EOMONTH(Table2[[#This Row],[OrderDate]],-1)+1</f>
        <v>45505</v>
      </c>
      <c r="D602" s="45">
        <f>EOMONTH(_xlfn.MINIFS(B602:B1232,M602:M1232,Table2[[#This Row],[Country]]), -1) + 1</f>
        <v>45078</v>
      </c>
      <c r="E602" s="47"/>
      <c r="F602" s="32" t="str">
        <f>"Q"&amp;ROUNDUP(MONTH(B602)/3,0)&amp;"-"&amp;YEAR(B602)</f>
        <v>Q3-2024</v>
      </c>
      <c r="G602" s="32">
        <v>45537</v>
      </c>
      <c r="H602" s="32">
        <f>IF(G602&lt;B602, B602+3, G602)</f>
        <v>45537</v>
      </c>
      <c r="I602" s="33">
        <f>H602-B602</f>
        <v>14</v>
      </c>
      <c r="J602" s="33">
        <f t="shared" si="54"/>
        <v>0</v>
      </c>
      <c r="K602" s="33">
        <f t="shared" si="55"/>
        <v>0</v>
      </c>
      <c r="L602" s="34" t="s">
        <v>648</v>
      </c>
      <c r="M602" s="34" t="s">
        <v>653</v>
      </c>
      <c r="N602" s="34" t="s">
        <v>667</v>
      </c>
      <c r="O602" s="34" t="s">
        <v>704</v>
      </c>
      <c r="P602" s="34" t="s">
        <v>710</v>
      </c>
      <c r="Q602" s="34" t="s">
        <v>712</v>
      </c>
      <c r="R602" s="34" t="s">
        <v>728</v>
      </c>
      <c r="S602" s="34" t="s">
        <v>1333</v>
      </c>
      <c r="T602" s="35">
        <v>1337.01</v>
      </c>
      <c r="U602" s="35">
        <v>1269.78</v>
      </c>
      <c r="V602" s="35">
        <f t="shared" si="56"/>
        <v>0.16</v>
      </c>
      <c r="W602" s="35">
        <v>0.16</v>
      </c>
      <c r="X602" s="33">
        <f>IF(Table2[[#This Row],[DiscountPct]]&gt;0.2,1,0)</f>
        <v>0</v>
      </c>
      <c r="Y602" s="33">
        <v>7</v>
      </c>
      <c r="Z602" s="30">
        <f>Table2[[#This Row],[UnitPrice]]*Y602*(1-V602)</f>
        <v>7466.3063999999986</v>
      </c>
      <c r="AA602" s="31">
        <f>T602*Y602</f>
        <v>9359.07</v>
      </c>
      <c r="AB602" s="31">
        <f t="shared" si="57"/>
        <v>-1892.7636000000011</v>
      </c>
      <c r="AC602" s="31">
        <f t="shared" si="58"/>
        <v>-0.25350735672996244</v>
      </c>
      <c r="AD602" s="31" t="e">
        <f>_xlfn.PERCENTILE.INC(S:S, 0.33)</f>
        <v>#NUM!</v>
      </c>
      <c r="AE602" s="31" t="e">
        <f>_xlfn.PERCENTILE.INC(S:S, 0.66)</f>
        <v>#NUM!</v>
      </c>
      <c r="AF602" s="30" t="e">
        <f t="shared" si="59"/>
        <v>#NUM!</v>
      </c>
    </row>
    <row r="603" spans="1:32" x14ac:dyDescent="0.3">
      <c r="A603" s="2" t="s">
        <v>616</v>
      </c>
      <c r="B603" s="4">
        <v>45880</v>
      </c>
      <c r="C603" s="46">
        <f>EOMONTH(Table2[[#This Row],[OrderDate]],-1)+1</f>
        <v>45870</v>
      </c>
      <c r="D603" s="45">
        <f>EOMONTH(_xlfn.MINIFS(B603:B1233,M603:M1233,Table2[[#This Row],[Country]]), -1) + 1</f>
        <v>45108</v>
      </c>
      <c r="E603" s="46"/>
      <c r="F603" s="4" t="str">
        <f>"Q"&amp;ROUNDUP(MONTH(B603)/3,0)&amp;"-"&amp;YEAR(B603)</f>
        <v>Q3-2025</v>
      </c>
      <c r="G603" s="4">
        <v>45897</v>
      </c>
      <c r="H603" s="4">
        <f>IF(G603&lt;B603, B603+3, G603)</f>
        <v>45897</v>
      </c>
      <c r="I603" s="10">
        <f>H603-B603</f>
        <v>17</v>
      </c>
      <c r="J603" s="10">
        <f t="shared" si="54"/>
        <v>0</v>
      </c>
      <c r="K603" s="10">
        <f t="shared" si="55"/>
        <v>0</v>
      </c>
      <c r="L603" s="6" t="s">
        <v>649</v>
      </c>
      <c r="M603" s="6" t="s">
        <v>657</v>
      </c>
      <c r="N603" s="6" t="s">
        <v>690</v>
      </c>
      <c r="O603" s="6" t="s">
        <v>702</v>
      </c>
      <c r="P603" s="6" t="s">
        <v>708</v>
      </c>
      <c r="Q603" s="6" t="s">
        <v>721</v>
      </c>
      <c r="R603" s="6" t="s">
        <v>729</v>
      </c>
      <c r="S603" s="6" t="s">
        <v>1334</v>
      </c>
      <c r="T603" s="8">
        <v>416.16</v>
      </c>
      <c r="U603" s="8">
        <v>571.9</v>
      </c>
      <c r="V603" s="8">
        <f t="shared" si="56"/>
        <v>7.0999999999999994E-2</v>
      </c>
      <c r="W603" s="8">
        <v>7.0999999999999994E-2</v>
      </c>
      <c r="X603" s="10">
        <f>IF(Table2[[#This Row],[DiscountPct]]&gt;0.2,1,0)</f>
        <v>0</v>
      </c>
      <c r="Y603" s="10">
        <v>2</v>
      </c>
      <c r="Z603" s="30">
        <f>Table2[[#This Row],[UnitPrice]]*Y603*(1-V603)</f>
        <v>1062.5902000000001</v>
      </c>
      <c r="AA603" s="2">
        <f>T603*Y603</f>
        <v>832.32</v>
      </c>
      <c r="AB603" s="2">
        <f t="shared" si="57"/>
        <v>230.27020000000005</v>
      </c>
      <c r="AC603" s="2">
        <f t="shared" si="58"/>
        <v>0.21670649701079497</v>
      </c>
      <c r="AD603" s="2" t="e">
        <f>_xlfn.PERCENTILE.INC(S:S, 0.33)</f>
        <v>#NUM!</v>
      </c>
      <c r="AE603" s="2" t="e">
        <f>_xlfn.PERCENTILE.INC(S:S, 0.66)</f>
        <v>#NUM!</v>
      </c>
      <c r="AF603" s="30" t="e">
        <f t="shared" si="59"/>
        <v>#NUM!</v>
      </c>
    </row>
    <row r="604" spans="1:32" x14ac:dyDescent="0.3">
      <c r="A604" s="31" t="s">
        <v>617</v>
      </c>
      <c r="B604" s="32">
        <v>45793</v>
      </c>
      <c r="C604" s="47">
        <f>EOMONTH(Table2[[#This Row],[OrderDate]],-1)+1</f>
        <v>45778</v>
      </c>
      <c r="D604" s="45">
        <f>EOMONTH(_xlfn.MINIFS(B604:B1234,M604:M1234,Table2[[#This Row],[Country]]), -1) + 1</f>
        <v>45017</v>
      </c>
      <c r="E604" s="47"/>
      <c r="F604" s="32" t="str">
        <f>"Q"&amp;ROUNDUP(MONTH(B604)/3,0)&amp;"-"&amp;YEAR(B604)</f>
        <v>Q2-2025</v>
      </c>
      <c r="G604" s="32">
        <v>45795</v>
      </c>
      <c r="H604" s="32">
        <f>IF(G604&lt;B604, B604+3, G604)</f>
        <v>45795</v>
      </c>
      <c r="I604" s="33">
        <f>H604-B604</f>
        <v>2</v>
      </c>
      <c r="J604" s="33">
        <f t="shared" si="54"/>
        <v>1</v>
      </c>
      <c r="K604" s="33">
        <f t="shared" si="55"/>
        <v>1</v>
      </c>
      <c r="L604" s="34" t="s">
        <v>647</v>
      </c>
      <c r="M604" s="34" t="s">
        <v>652</v>
      </c>
      <c r="N604" s="34" t="s">
        <v>689</v>
      </c>
      <c r="O604" s="34" t="s">
        <v>706</v>
      </c>
      <c r="P604" s="34" t="s">
        <v>707</v>
      </c>
      <c r="Q604" s="34" t="s">
        <v>713</v>
      </c>
      <c r="R604" s="34" t="s">
        <v>728</v>
      </c>
      <c r="S604" s="34" t="s">
        <v>1335</v>
      </c>
      <c r="T604" s="35">
        <v>1144.3800000000001</v>
      </c>
      <c r="U604" s="35">
        <v>2755.04</v>
      </c>
      <c r="V604" s="35">
        <f t="shared" si="56"/>
        <v>0.15</v>
      </c>
      <c r="W604" s="35">
        <v>0.15</v>
      </c>
      <c r="X604" s="33">
        <f>IF(Table2[[#This Row],[DiscountPct]]&gt;0.2,1,0)</f>
        <v>0</v>
      </c>
      <c r="Y604" s="33">
        <v>17</v>
      </c>
      <c r="Z604" s="30">
        <f>Table2[[#This Row],[UnitPrice]]*Y604*(1-V604)</f>
        <v>39810.328000000001</v>
      </c>
      <c r="AA604" s="31">
        <f>T604*Y604</f>
        <v>19454.460000000003</v>
      </c>
      <c r="AB604" s="31">
        <f t="shared" si="57"/>
        <v>20355.867999999999</v>
      </c>
      <c r="AC604" s="31">
        <f t="shared" si="58"/>
        <v>0.51132128326096682</v>
      </c>
      <c r="AD604" s="31" t="e">
        <f>_xlfn.PERCENTILE.INC(S:S, 0.33)</f>
        <v>#NUM!</v>
      </c>
      <c r="AE604" s="31" t="e">
        <f>_xlfn.PERCENTILE.INC(S:S, 0.66)</f>
        <v>#NUM!</v>
      </c>
      <c r="AF604" s="30" t="e">
        <f t="shared" si="59"/>
        <v>#NUM!</v>
      </c>
    </row>
    <row r="605" spans="1:32" x14ac:dyDescent="0.3">
      <c r="A605" s="2" t="s">
        <v>618</v>
      </c>
      <c r="B605" s="4">
        <v>45026</v>
      </c>
      <c r="C605" s="46">
        <f>EOMONTH(Table2[[#This Row],[OrderDate]],-1)+1</f>
        <v>45017</v>
      </c>
      <c r="D605" s="45">
        <f>EOMONTH(_xlfn.MINIFS(B605:B1235,M605:M1235,Table2[[#This Row],[Country]]), -1) + 1</f>
        <v>45017</v>
      </c>
      <c r="E605" s="46"/>
      <c r="F605" s="4" t="str">
        <f>"Q"&amp;ROUNDUP(MONTH(B605)/3,0)&amp;"-"&amp;YEAR(B605)</f>
        <v>Q2-2023</v>
      </c>
      <c r="G605" s="4">
        <v>45041</v>
      </c>
      <c r="H605" s="4">
        <f>IF(G605&lt;B605, B605+3, G605)</f>
        <v>45041</v>
      </c>
      <c r="I605" s="10">
        <f>H605-B605</f>
        <v>15</v>
      </c>
      <c r="J605" s="10">
        <f t="shared" si="54"/>
        <v>0</v>
      </c>
      <c r="K605" s="10">
        <f t="shared" si="55"/>
        <v>0</v>
      </c>
      <c r="L605" s="6" t="s">
        <v>649</v>
      </c>
      <c r="M605" s="6" t="s">
        <v>658</v>
      </c>
      <c r="N605" s="6" t="s">
        <v>683</v>
      </c>
      <c r="O605" s="6" t="s">
        <v>705</v>
      </c>
      <c r="P605" s="6" t="s">
        <v>707</v>
      </c>
      <c r="Q605" s="6" t="s">
        <v>726</v>
      </c>
      <c r="R605" s="6" t="s">
        <v>728</v>
      </c>
      <c r="S605" s="6" t="s">
        <v>1336</v>
      </c>
      <c r="T605" s="8">
        <v>405.66</v>
      </c>
      <c r="U605" s="8">
        <v>962.51</v>
      </c>
      <c r="V605" s="8">
        <f t="shared" si="56"/>
        <v>0.19</v>
      </c>
      <c r="W605" s="8">
        <v>0.19</v>
      </c>
      <c r="X605" s="10">
        <f>IF(Table2[[#This Row],[DiscountPct]]&gt;0.2,1,0)</f>
        <v>0</v>
      </c>
      <c r="Y605" s="10">
        <v>7</v>
      </c>
      <c r="Z605" s="30">
        <f>Table2[[#This Row],[UnitPrice]]*Y605*(1-V605)</f>
        <v>5457.4317000000001</v>
      </c>
      <c r="AA605" s="2">
        <f>T605*Y605</f>
        <v>2839.6200000000003</v>
      </c>
      <c r="AB605" s="2">
        <f t="shared" si="57"/>
        <v>2617.8116999999997</v>
      </c>
      <c r="AC605" s="2">
        <f t="shared" si="58"/>
        <v>0.47967832561239376</v>
      </c>
      <c r="AD605" s="2" t="e">
        <f>_xlfn.PERCENTILE.INC(S:S, 0.33)</f>
        <v>#NUM!</v>
      </c>
      <c r="AE605" s="2" t="e">
        <f>_xlfn.PERCENTILE.INC(S:S, 0.66)</f>
        <v>#NUM!</v>
      </c>
      <c r="AF605" s="30" t="e">
        <f t="shared" si="59"/>
        <v>#NUM!</v>
      </c>
    </row>
    <row r="606" spans="1:32" x14ac:dyDescent="0.3">
      <c r="A606" s="31" t="s">
        <v>619</v>
      </c>
      <c r="B606" s="32">
        <v>45186</v>
      </c>
      <c r="C606" s="47">
        <f>EOMONTH(Table2[[#This Row],[OrderDate]],-1)+1</f>
        <v>45170</v>
      </c>
      <c r="D606" s="45">
        <f>EOMONTH(_xlfn.MINIFS(B606:B1236,M606:M1236,Table2[[#This Row],[Country]]), -1) + 1</f>
        <v>45170</v>
      </c>
      <c r="E606" s="47"/>
      <c r="F606" s="32" t="str">
        <f>"Q"&amp;ROUNDUP(MONTH(B606)/3,0)&amp;"-"&amp;YEAR(B606)</f>
        <v>Q3-2023</v>
      </c>
      <c r="G606" s="32">
        <v>45201</v>
      </c>
      <c r="H606" s="32">
        <f>IF(G606&lt;B606, B606+3, G606)</f>
        <v>45201</v>
      </c>
      <c r="I606" s="33">
        <f>H606-B606</f>
        <v>15</v>
      </c>
      <c r="J606" s="33">
        <f t="shared" si="54"/>
        <v>0</v>
      </c>
      <c r="K606" s="33">
        <f t="shared" si="55"/>
        <v>0</v>
      </c>
      <c r="L606" s="34" t="s">
        <v>648</v>
      </c>
      <c r="M606" s="34" t="s">
        <v>655</v>
      </c>
      <c r="N606" s="34" t="s">
        <v>692</v>
      </c>
      <c r="O606" s="34" t="s">
        <v>705</v>
      </c>
      <c r="P606" s="34" t="s">
        <v>707</v>
      </c>
      <c r="Q606" s="34" t="s">
        <v>717</v>
      </c>
      <c r="R606" s="34" t="s">
        <v>731</v>
      </c>
      <c r="S606" s="34" t="s">
        <v>1337</v>
      </c>
      <c r="T606" s="35">
        <v>689.33</v>
      </c>
      <c r="U606" s="35">
        <v>668.27</v>
      </c>
      <c r="V606" s="35">
        <f t="shared" si="56"/>
        <v>0.186</v>
      </c>
      <c r="W606" s="35">
        <v>0.186</v>
      </c>
      <c r="X606" s="33">
        <f>IF(Table2[[#This Row],[DiscountPct]]&gt;0.2,1,0)</f>
        <v>0</v>
      </c>
      <c r="Y606" s="33">
        <v>13</v>
      </c>
      <c r="Z606" s="30">
        <f>Table2[[#This Row],[UnitPrice]]*Y606*(1-V606)</f>
        <v>7071.6331400000008</v>
      </c>
      <c r="AA606" s="31">
        <f>T606*Y606</f>
        <v>8961.2900000000009</v>
      </c>
      <c r="AB606" s="31">
        <f t="shared" si="57"/>
        <v>-1889.6568600000001</v>
      </c>
      <c r="AC606" s="31">
        <f t="shared" si="58"/>
        <v>-0.26721647214861033</v>
      </c>
      <c r="AD606" s="31" t="e">
        <f>_xlfn.PERCENTILE.INC(S:S, 0.33)</f>
        <v>#NUM!</v>
      </c>
      <c r="AE606" s="31" t="e">
        <f>_xlfn.PERCENTILE.INC(S:S, 0.66)</f>
        <v>#NUM!</v>
      </c>
      <c r="AF606" s="30" t="e">
        <f t="shared" si="59"/>
        <v>#NUM!</v>
      </c>
    </row>
    <row r="607" spans="1:32" x14ac:dyDescent="0.3">
      <c r="A607" s="2" t="s">
        <v>620</v>
      </c>
      <c r="B607" s="4">
        <v>45038</v>
      </c>
      <c r="C607" s="46">
        <f>EOMONTH(Table2[[#This Row],[OrderDate]],-1)+1</f>
        <v>45017</v>
      </c>
      <c r="D607" s="45">
        <f>EOMONTH(_xlfn.MINIFS(B607:B1237,M607:M1237,Table2[[#This Row],[Country]]), -1) + 1</f>
        <v>45017</v>
      </c>
      <c r="E607" s="46"/>
      <c r="F607" s="4" t="str">
        <f>"Q"&amp;ROUNDUP(MONTH(B607)/3,0)&amp;"-"&amp;YEAR(B607)</f>
        <v>Q2-2023</v>
      </c>
      <c r="G607" s="4">
        <v>45060</v>
      </c>
      <c r="H607" s="4">
        <f>IF(G607&lt;B607, B607+3, G607)</f>
        <v>45060</v>
      </c>
      <c r="I607" s="10">
        <f>H607-B607</f>
        <v>22</v>
      </c>
      <c r="J607" s="10">
        <f t="shared" si="54"/>
        <v>0</v>
      </c>
      <c r="K607" s="10">
        <f t="shared" si="55"/>
        <v>0</v>
      </c>
      <c r="L607" s="6" t="s">
        <v>647</v>
      </c>
      <c r="M607" s="6" t="s">
        <v>652</v>
      </c>
      <c r="N607" s="6" t="s">
        <v>694</v>
      </c>
      <c r="O607" s="6" t="s">
        <v>706</v>
      </c>
      <c r="P607" s="6" t="s">
        <v>707</v>
      </c>
      <c r="Q607" s="6" t="s">
        <v>720</v>
      </c>
      <c r="R607" s="6" t="s">
        <v>733</v>
      </c>
      <c r="S607" s="6" t="s">
        <v>1338</v>
      </c>
      <c r="T607" s="8">
        <v>1209.22</v>
      </c>
      <c r="U607" s="8">
        <v>1404.33</v>
      </c>
      <c r="V607" s="8">
        <f t="shared" si="56"/>
        <v>0.10299999999999999</v>
      </c>
      <c r="W607" s="8">
        <v>0.10299999999999999</v>
      </c>
      <c r="X607" s="10">
        <f>IF(Table2[[#This Row],[DiscountPct]]&gt;0.2,1,0)</f>
        <v>0</v>
      </c>
      <c r="Y607" s="10">
        <v>11</v>
      </c>
      <c r="Z607" s="30">
        <f>Table2[[#This Row],[UnitPrice]]*Y607*(1-V607)</f>
        <v>13856.52411</v>
      </c>
      <c r="AA607" s="2">
        <f>T607*Y607</f>
        <v>13301.42</v>
      </c>
      <c r="AB607" s="2">
        <f t="shared" si="57"/>
        <v>555.10411000000022</v>
      </c>
      <c r="AC607" s="2">
        <f t="shared" si="58"/>
        <v>4.0060848275751328E-2</v>
      </c>
      <c r="AD607" s="2" t="e">
        <f>_xlfn.PERCENTILE.INC(S:S, 0.33)</f>
        <v>#NUM!</v>
      </c>
      <c r="AE607" s="2" t="e">
        <f>_xlfn.PERCENTILE.INC(S:S, 0.66)</f>
        <v>#NUM!</v>
      </c>
      <c r="AF607" s="30" t="e">
        <f t="shared" si="59"/>
        <v>#NUM!</v>
      </c>
    </row>
    <row r="608" spans="1:32" x14ac:dyDescent="0.3">
      <c r="A608" s="31" t="s">
        <v>621</v>
      </c>
      <c r="B608" s="32">
        <v>45827</v>
      </c>
      <c r="C608" s="47">
        <f>EOMONTH(Table2[[#This Row],[OrderDate]],-1)+1</f>
        <v>45809</v>
      </c>
      <c r="D608" s="45">
        <f>EOMONTH(_xlfn.MINIFS(B608:B1238,M608:M1238,Table2[[#This Row],[Country]]), -1) + 1</f>
        <v>45292</v>
      </c>
      <c r="E608" s="47"/>
      <c r="F608" s="32" t="str">
        <f>"Q"&amp;ROUNDUP(MONTH(B608)/3,0)&amp;"-"&amp;YEAR(B608)</f>
        <v>Q2-2025</v>
      </c>
      <c r="G608" s="32">
        <v>45829</v>
      </c>
      <c r="H608" s="32">
        <f>IF(G608&lt;B608, B608+3, G608)</f>
        <v>45829</v>
      </c>
      <c r="I608" s="33">
        <f>H608-B608</f>
        <v>2</v>
      </c>
      <c r="J608" s="33">
        <f t="shared" si="54"/>
        <v>1</v>
      </c>
      <c r="K608" s="33">
        <f t="shared" si="55"/>
        <v>1</v>
      </c>
      <c r="L608" s="34" t="s">
        <v>646</v>
      </c>
      <c r="M608" s="34" t="s">
        <v>661</v>
      </c>
      <c r="N608" s="34" t="s">
        <v>682</v>
      </c>
      <c r="O608" s="34" t="s">
        <v>705</v>
      </c>
      <c r="P608" s="34" t="s">
        <v>1440</v>
      </c>
      <c r="Q608" s="34" t="s">
        <v>722</v>
      </c>
      <c r="R608" s="34" t="s">
        <v>730</v>
      </c>
      <c r="S608" s="34" t="s">
        <v>1339</v>
      </c>
      <c r="T608" s="35">
        <v>1466.27</v>
      </c>
      <c r="U608" s="35">
        <v>3589.89</v>
      </c>
      <c r="V608" s="35">
        <f t="shared" si="56"/>
        <v>9.7000000000000003E-2</v>
      </c>
      <c r="W608" s="35">
        <v>9.7000000000000003E-2</v>
      </c>
      <c r="X608" s="33">
        <f>IF(Table2[[#This Row],[DiscountPct]]&gt;0.2,1,0)</f>
        <v>0</v>
      </c>
      <c r="Y608" s="33">
        <v>9</v>
      </c>
      <c r="Z608" s="30">
        <f>Table2[[#This Row],[UnitPrice]]*Y608*(1-V608)</f>
        <v>29175.036029999999</v>
      </c>
      <c r="AA608" s="31">
        <f>T608*Y608</f>
        <v>13196.43</v>
      </c>
      <c r="AB608" s="31">
        <f t="shared" si="57"/>
        <v>15978.606029999999</v>
      </c>
      <c r="AC608" s="31">
        <f t="shared" si="58"/>
        <v>0.54768076425234147</v>
      </c>
      <c r="AD608" s="31" t="e">
        <f>_xlfn.PERCENTILE.INC(S:S, 0.33)</f>
        <v>#NUM!</v>
      </c>
      <c r="AE608" s="31" t="e">
        <f>_xlfn.PERCENTILE.INC(S:S, 0.66)</f>
        <v>#NUM!</v>
      </c>
      <c r="AF608" s="30" t="e">
        <f t="shared" si="59"/>
        <v>#NUM!</v>
      </c>
    </row>
    <row r="609" spans="1:32" x14ac:dyDescent="0.3">
      <c r="A609" s="2" t="s">
        <v>622</v>
      </c>
      <c r="B609" s="4">
        <v>45623</v>
      </c>
      <c r="C609" s="46">
        <f>EOMONTH(Table2[[#This Row],[OrderDate]],-1)+1</f>
        <v>45597</v>
      </c>
      <c r="D609" s="45">
        <f>EOMONTH(_xlfn.MINIFS(B609:B1239,M609:M1239,Table2[[#This Row],[Country]]), -1) + 1</f>
        <v>45170</v>
      </c>
      <c r="E609" s="46"/>
      <c r="F609" s="4" t="str">
        <f>"Q"&amp;ROUNDUP(MONTH(B609)/3,0)&amp;"-"&amp;YEAR(B609)</f>
        <v>Q4-2024</v>
      </c>
      <c r="G609" s="4">
        <v>45650</v>
      </c>
      <c r="H609" s="4">
        <f>IF(G609&lt;B609, B609+3, G609)</f>
        <v>45650</v>
      </c>
      <c r="I609" s="10">
        <f>H609-B609</f>
        <v>27</v>
      </c>
      <c r="J609" s="10">
        <f t="shared" si="54"/>
        <v>0</v>
      </c>
      <c r="K609" s="10">
        <f t="shared" si="55"/>
        <v>0</v>
      </c>
      <c r="L609" s="6" t="s">
        <v>646</v>
      </c>
      <c r="M609" s="6" t="s">
        <v>650</v>
      </c>
      <c r="N609" s="6" t="s">
        <v>675</v>
      </c>
      <c r="O609" s="6" t="s">
        <v>701</v>
      </c>
      <c r="P609" s="6" t="s">
        <v>710</v>
      </c>
      <c r="Q609" s="6" t="s">
        <v>717</v>
      </c>
      <c r="R609" s="6" t="s">
        <v>728</v>
      </c>
      <c r="S609" s="6" t="s">
        <v>1340</v>
      </c>
      <c r="T609" s="8">
        <v>143.33000000000001</v>
      </c>
      <c r="U609" s="8">
        <v>233.51</v>
      </c>
      <c r="V609" s="8">
        <f t="shared" si="56"/>
        <v>0.16300000000000001</v>
      </c>
      <c r="W609" s="8">
        <v>0.16300000000000001</v>
      </c>
      <c r="X609" s="10">
        <f>IF(Table2[[#This Row],[DiscountPct]]&gt;0.2,1,0)</f>
        <v>0</v>
      </c>
      <c r="Y609" s="10">
        <v>14</v>
      </c>
      <c r="Z609" s="30">
        <f>Table2[[#This Row],[UnitPrice]]*Y609*(1-V609)</f>
        <v>2736.27018</v>
      </c>
      <c r="AA609" s="2">
        <f>T609*Y609</f>
        <v>2006.6200000000001</v>
      </c>
      <c r="AB609" s="2">
        <f t="shared" si="57"/>
        <v>729.65017999999986</v>
      </c>
      <c r="AC609" s="2">
        <f t="shared" si="58"/>
        <v>0.26665867476580835</v>
      </c>
      <c r="AD609" s="2" t="e">
        <f>_xlfn.PERCENTILE.INC(S:S, 0.33)</f>
        <v>#NUM!</v>
      </c>
      <c r="AE609" s="2" t="e">
        <f>_xlfn.PERCENTILE.INC(S:S, 0.66)</f>
        <v>#NUM!</v>
      </c>
      <c r="AF609" s="30" t="e">
        <f t="shared" si="59"/>
        <v>#NUM!</v>
      </c>
    </row>
    <row r="610" spans="1:32" x14ac:dyDescent="0.3">
      <c r="A610" s="31" t="s">
        <v>623</v>
      </c>
      <c r="B610" s="32">
        <v>45319</v>
      </c>
      <c r="C610" s="47">
        <f>EOMONTH(Table2[[#This Row],[OrderDate]],-1)+1</f>
        <v>45292</v>
      </c>
      <c r="D610" s="45">
        <f>EOMONTH(_xlfn.MINIFS(B610:B1240,M610:M1240,Table2[[#This Row],[Country]]), -1) + 1</f>
        <v>45292</v>
      </c>
      <c r="E610" s="47"/>
      <c r="F610" s="32" t="str">
        <f>"Q"&amp;ROUNDUP(MONTH(B610)/3,0)&amp;"-"&amp;YEAR(B610)</f>
        <v>Q1-2024</v>
      </c>
      <c r="G610" s="32">
        <v>45318</v>
      </c>
      <c r="H610" s="32">
        <f>IF(G610&lt;B610, B610+3, G610)</f>
        <v>45322</v>
      </c>
      <c r="I610" s="33">
        <f>H610-B610</f>
        <v>3</v>
      </c>
      <c r="J610" s="33">
        <f t="shared" si="54"/>
        <v>1</v>
      </c>
      <c r="K610" s="33">
        <f t="shared" si="55"/>
        <v>1</v>
      </c>
      <c r="L610" s="34" t="s">
        <v>646</v>
      </c>
      <c r="M610" s="34" t="s">
        <v>661</v>
      </c>
      <c r="N610" s="34" t="s">
        <v>695</v>
      </c>
      <c r="O610" s="34" t="s">
        <v>706</v>
      </c>
      <c r="P610" s="34" t="s">
        <v>711</v>
      </c>
      <c r="Q610" s="34" t="s">
        <v>719</v>
      </c>
      <c r="R610" s="34" t="s">
        <v>727</v>
      </c>
      <c r="S610" s="34" t="s">
        <v>1341</v>
      </c>
      <c r="T610" s="35">
        <v>109.75</v>
      </c>
      <c r="U610" s="35">
        <v>124.25</v>
      </c>
      <c r="V610" s="35">
        <f t="shared" si="56"/>
        <v>0.12</v>
      </c>
      <c r="W610" s="35">
        <v>0.12</v>
      </c>
      <c r="X610" s="33">
        <f>IF(Table2[[#This Row],[DiscountPct]]&gt;0.2,1,0)</f>
        <v>0</v>
      </c>
      <c r="Y610" s="33">
        <v>19</v>
      </c>
      <c r="Z610" s="30">
        <f>Table2[[#This Row],[UnitPrice]]*Y610*(1-V610)</f>
        <v>2077.46</v>
      </c>
      <c r="AA610" s="31">
        <f>T610*Y610</f>
        <v>2085.25</v>
      </c>
      <c r="AB610" s="31">
        <f t="shared" si="57"/>
        <v>-7.7899999999999636</v>
      </c>
      <c r="AC610" s="31">
        <f t="shared" si="58"/>
        <v>-3.7497713554051405E-3</v>
      </c>
      <c r="AD610" s="31" t="e">
        <f>_xlfn.PERCENTILE.INC(S:S, 0.33)</f>
        <v>#NUM!</v>
      </c>
      <c r="AE610" s="31" t="e">
        <f>_xlfn.PERCENTILE.INC(S:S, 0.66)</f>
        <v>#NUM!</v>
      </c>
      <c r="AF610" s="30" t="e">
        <f t="shared" si="59"/>
        <v>#NUM!</v>
      </c>
    </row>
    <row r="611" spans="1:32" x14ac:dyDescent="0.3">
      <c r="A611" s="2" t="s">
        <v>624</v>
      </c>
      <c r="B611" s="4">
        <v>45032</v>
      </c>
      <c r="C611" s="46">
        <f>EOMONTH(Table2[[#This Row],[OrderDate]],-1)+1</f>
        <v>45017</v>
      </c>
      <c r="D611" s="45">
        <f>EOMONTH(_xlfn.MINIFS(B611:B1241,M611:M1241,Table2[[#This Row],[Country]]), -1) + 1</f>
        <v>45017</v>
      </c>
      <c r="E611" s="46"/>
      <c r="F611" s="4" t="str">
        <f>"Q"&amp;ROUNDUP(MONTH(B611)/3,0)&amp;"-"&amp;YEAR(B611)</f>
        <v>Q2-2023</v>
      </c>
      <c r="G611" s="4">
        <v>45039</v>
      </c>
      <c r="H611" s="4">
        <f>IF(G611&lt;B611, B611+3, G611)</f>
        <v>45039</v>
      </c>
      <c r="I611" s="10">
        <f>H611-B611</f>
        <v>7</v>
      </c>
      <c r="J611" s="10">
        <f t="shared" si="54"/>
        <v>1</v>
      </c>
      <c r="K611" s="10">
        <f t="shared" si="55"/>
        <v>1</v>
      </c>
      <c r="L611" s="6" t="s">
        <v>648</v>
      </c>
      <c r="M611" s="6" t="s">
        <v>660</v>
      </c>
      <c r="N611" s="6" t="s">
        <v>697</v>
      </c>
      <c r="O611" s="6" t="s">
        <v>701</v>
      </c>
      <c r="P611" s="6" t="s">
        <v>710</v>
      </c>
      <c r="Q611" s="6" t="s">
        <v>719</v>
      </c>
      <c r="R611" s="6" t="s">
        <v>728</v>
      </c>
      <c r="S611" s="6" t="s">
        <v>1342</v>
      </c>
      <c r="T611" s="8">
        <v>1099.1500000000001</v>
      </c>
      <c r="U611" s="8">
        <v>1431.37</v>
      </c>
      <c r="V611" s="8">
        <f t="shared" si="56"/>
        <v>0.104</v>
      </c>
      <c r="W611" s="8">
        <v>0.104</v>
      </c>
      <c r="X611" s="10">
        <f>IF(Table2[[#This Row],[DiscountPct]]&gt;0.2,1,0)</f>
        <v>0</v>
      </c>
      <c r="Y611" s="10">
        <v>8</v>
      </c>
      <c r="Z611" s="30">
        <f>Table2[[#This Row],[UnitPrice]]*Y611*(1-V611)</f>
        <v>10260.060159999999</v>
      </c>
      <c r="AA611" s="2">
        <f>T611*Y611</f>
        <v>8793.2000000000007</v>
      </c>
      <c r="AB611" s="2">
        <f t="shared" si="57"/>
        <v>1466.8601599999984</v>
      </c>
      <c r="AC611" s="2">
        <f t="shared" si="58"/>
        <v>0.14296798821109433</v>
      </c>
      <c r="AD611" s="2" t="e">
        <f>_xlfn.PERCENTILE.INC(S:S, 0.33)</f>
        <v>#NUM!</v>
      </c>
      <c r="AE611" s="2" t="e">
        <f>_xlfn.PERCENTILE.INC(S:S, 0.66)</f>
        <v>#NUM!</v>
      </c>
      <c r="AF611" s="30" t="e">
        <f t="shared" si="59"/>
        <v>#NUM!</v>
      </c>
    </row>
    <row r="612" spans="1:32" x14ac:dyDescent="0.3">
      <c r="A612" s="31" t="s">
        <v>625</v>
      </c>
      <c r="B612" s="32">
        <v>45323</v>
      </c>
      <c r="C612" s="47">
        <f>EOMONTH(Table2[[#This Row],[OrderDate]],-1)+1</f>
        <v>45323</v>
      </c>
      <c r="D612" s="45">
        <f>EOMONTH(_xlfn.MINIFS(B612:B1242,M612:M1242,Table2[[#This Row],[Country]]), -1) + 1</f>
        <v>45323</v>
      </c>
      <c r="E612" s="47"/>
      <c r="F612" s="32" t="str">
        <f>"Q"&amp;ROUNDUP(MONTH(B612)/3,0)&amp;"-"&amp;YEAR(B612)</f>
        <v>Q1-2024</v>
      </c>
      <c r="G612" s="32">
        <v>45323</v>
      </c>
      <c r="H612" s="32">
        <f>IF(G612&lt;B612, B612+3, G612)</f>
        <v>45323</v>
      </c>
      <c r="I612" s="33">
        <f>H612-B612</f>
        <v>0</v>
      </c>
      <c r="J612" s="33">
        <f t="shared" si="54"/>
        <v>1</v>
      </c>
      <c r="K612" s="33">
        <f t="shared" si="55"/>
        <v>1</v>
      </c>
      <c r="L612" s="34" t="s">
        <v>648</v>
      </c>
      <c r="M612" s="34" t="s">
        <v>660</v>
      </c>
      <c r="N612" s="34" t="s">
        <v>697</v>
      </c>
      <c r="O612" s="34" t="s">
        <v>704</v>
      </c>
      <c r="P612" s="34" t="s">
        <v>710</v>
      </c>
      <c r="Q612" s="34" t="s">
        <v>722</v>
      </c>
      <c r="R612" s="34" t="s">
        <v>728</v>
      </c>
      <c r="S612" s="34" t="s">
        <v>1343</v>
      </c>
      <c r="T612" s="35">
        <v>714.43</v>
      </c>
      <c r="U612" s="35">
        <v>1595.52</v>
      </c>
      <c r="V612" s="35">
        <f t="shared" si="56"/>
        <v>0.19400000000000001</v>
      </c>
      <c r="W612" s="35">
        <v>0.19400000000000001</v>
      </c>
      <c r="X612" s="33">
        <f>IF(Table2[[#This Row],[DiscountPct]]&gt;0.2,1,0)</f>
        <v>0</v>
      </c>
      <c r="Y612" s="33">
        <v>14</v>
      </c>
      <c r="Z612" s="30">
        <f>Table2[[#This Row],[UnitPrice]]*Y612*(1-V612)</f>
        <v>18003.847679999999</v>
      </c>
      <c r="AA612" s="31">
        <f>T612*Y612</f>
        <v>10002.019999999999</v>
      </c>
      <c r="AB612" s="31">
        <f t="shared" si="57"/>
        <v>8001.8276800000003</v>
      </c>
      <c r="AC612" s="31">
        <f t="shared" si="58"/>
        <v>0.44445097638151093</v>
      </c>
      <c r="AD612" s="31" t="e">
        <f>_xlfn.PERCENTILE.INC(S:S, 0.33)</f>
        <v>#NUM!</v>
      </c>
      <c r="AE612" s="31" t="e">
        <f>_xlfn.PERCENTILE.INC(S:S, 0.66)</f>
        <v>#NUM!</v>
      </c>
      <c r="AF612" s="30" t="e">
        <f t="shared" si="59"/>
        <v>#NUM!</v>
      </c>
    </row>
    <row r="613" spans="1:32" x14ac:dyDescent="0.3">
      <c r="A613" s="2" t="s">
        <v>626</v>
      </c>
      <c r="B613" s="4">
        <v>45584</v>
      </c>
      <c r="C613" s="46">
        <f>EOMONTH(Table2[[#This Row],[OrderDate]],-1)+1</f>
        <v>45566</v>
      </c>
      <c r="D613" s="45">
        <f>EOMONTH(_xlfn.MINIFS(B613:B1243,M613:M1243,Table2[[#This Row],[Country]]), -1) + 1</f>
        <v>45566</v>
      </c>
      <c r="E613" s="46"/>
      <c r="F613" s="4" t="str">
        <f>"Q"&amp;ROUNDUP(MONTH(B613)/3,0)&amp;"-"&amp;YEAR(B613)</f>
        <v>Q4-2024</v>
      </c>
      <c r="G613" s="4">
        <v>45602</v>
      </c>
      <c r="H613" s="4">
        <f>IF(G613&lt;B613, B613+3, G613)</f>
        <v>45602</v>
      </c>
      <c r="I613" s="10">
        <f>H613-B613</f>
        <v>18</v>
      </c>
      <c r="J613" s="10">
        <f t="shared" si="54"/>
        <v>0</v>
      </c>
      <c r="K613" s="10">
        <f t="shared" si="55"/>
        <v>0</v>
      </c>
      <c r="L613" s="6" t="s">
        <v>648</v>
      </c>
      <c r="M613" s="6" t="s">
        <v>660</v>
      </c>
      <c r="N613" s="6" t="s">
        <v>677</v>
      </c>
      <c r="O613" s="6" t="s">
        <v>702</v>
      </c>
      <c r="P613" s="6" t="s">
        <v>1440</v>
      </c>
      <c r="Q613" s="6" t="s">
        <v>712</v>
      </c>
      <c r="R613" s="6" t="s">
        <v>732</v>
      </c>
      <c r="S613" s="6" t="s">
        <v>1344</v>
      </c>
      <c r="T613" s="8">
        <v>942.02</v>
      </c>
      <c r="U613" s="8">
        <v>1028.46</v>
      </c>
      <c r="V613" s="8">
        <f t="shared" si="56"/>
        <v>0</v>
      </c>
      <c r="W613" s="8">
        <v>0</v>
      </c>
      <c r="X613" s="10">
        <f>IF(Table2[[#This Row],[DiscountPct]]&gt;0.2,1,0)</f>
        <v>0</v>
      </c>
      <c r="Y613" s="10">
        <v>9</v>
      </c>
      <c r="Z613" s="30">
        <f>Table2[[#This Row],[UnitPrice]]*Y613*(1-V613)</f>
        <v>9256.14</v>
      </c>
      <c r="AA613" s="2">
        <f>T613*Y613</f>
        <v>8478.18</v>
      </c>
      <c r="AB613" s="2">
        <f t="shared" si="57"/>
        <v>777.95999999999913</v>
      </c>
      <c r="AC613" s="2">
        <f t="shared" si="58"/>
        <v>8.4047994088248354E-2</v>
      </c>
      <c r="AD613" s="2" t="e">
        <f>_xlfn.PERCENTILE.INC(S:S, 0.33)</f>
        <v>#NUM!</v>
      </c>
      <c r="AE613" s="2" t="e">
        <f>_xlfn.PERCENTILE.INC(S:S, 0.66)</f>
        <v>#NUM!</v>
      </c>
      <c r="AF613" s="30" t="e">
        <f t="shared" si="59"/>
        <v>#NUM!</v>
      </c>
    </row>
    <row r="614" spans="1:32" x14ac:dyDescent="0.3">
      <c r="A614" s="31" t="s">
        <v>627</v>
      </c>
      <c r="B614" s="32">
        <v>45468</v>
      </c>
      <c r="C614" s="47">
        <f>EOMONTH(Table2[[#This Row],[OrderDate]],-1)+1</f>
        <v>45444</v>
      </c>
      <c r="D614" s="45">
        <f>EOMONTH(_xlfn.MINIFS(B614:B1244,M614:M1244,Table2[[#This Row],[Country]]), -1) + 1</f>
        <v>45170</v>
      </c>
      <c r="E614" s="47"/>
      <c r="F614" s="32" t="str">
        <f>"Q"&amp;ROUNDUP(MONTH(B614)/3,0)&amp;"-"&amp;YEAR(B614)</f>
        <v>Q2-2024</v>
      </c>
      <c r="G614" s="32">
        <v>45473</v>
      </c>
      <c r="H614" s="32">
        <f>IF(G614&lt;B614, B614+3, G614)</f>
        <v>45473</v>
      </c>
      <c r="I614" s="33">
        <f>H614-B614</f>
        <v>5</v>
      </c>
      <c r="J614" s="33">
        <f t="shared" si="54"/>
        <v>1</v>
      </c>
      <c r="K614" s="33">
        <f t="shared" si="55"/>
        <v>1</v>
      </c>
      <c r="L614" s="34" t="s">
        <v>646</v>
      </c>
      <c r="M614" s="34" t="s">
        <v>650</v>
      </c>
      <c r="N614" s="34" t="s">
        <v>662</v>
      </c>
      <c r="O614" s="34" t="s">
        <v>702</v>
      </c>
      <c r="P614" s="34" t="s">
        <v>711</v>
      </c>
      <c r="Q614" s="34" t="s">
        <v>724</v>
      </c>
      <c r="R614" s="34" t="s">
        <v>729</v>
      </c>
      <c r="S614" s="34" t="s">
        <v>1345</v>
      </c>
      <c r="T614" s="35">
        <v>1323.55</v>
      </c>
      <c r="U614" s="35">
        <v>3230.35</v>
      </c>
      <c r="V614" s="35">
        <f t="shared" si="56"/>
        <v>2.1999999999999999E-2</v>
      </c>
      <c r="W614" s="35">
        <v>2.1999999999999999E-2</v>
      </c>
      <c r="X614" s="33">
        <f>IF(Table2[[#This Row],[DiscountPct]]&gt;0.2,1,0)</f>
        <v>0</v>
      </c>
      <c r="Y614" s="33">
        <v>26</v>
      </c>
      <c r="Z614" s="30">
        <f>Table2[[#This Row],[UnitPrice]]*Y614*(1-V614)</f>
        <v>82141.339799999987</v>
      </c>
      <c r="AA614" s="31">
        <f>T614*Y614</f>
        <v>34412.299999999996</v>
      </c>
      <c r="AB614" s="31">
        <f t="shared" si="57"/>
        <v>47729.039799999991</v>
      </c>
      <c r="AC614" s="31">
        <f t="shared" si="58"/>
        <v>0.58105991351263542</v>
      </c>
      <c r="AD614" s="31" t="e">
        <f>_xlfn.PERCENTILE.INC(S:S, 0.33)</f>
        <v>#NUM!</v>
      </c>
      <c r="AE614" s="31" t="e">
        <f>_xlfn.PERCENTILE.INC(S:S, 0.66)</f>
        <v>#NUM!</v>
      </c>
      <c r="AF614" s="30" t="e">
        <f t="shared" si="59"/>
        <v>#NUM!</v>
      </c>
    </row>
    <row r="615" spans="1:32" x14ac:dyDescent="0.3">
      <c r="A615" s="2" t="s">
        <v>628</v>
      </c>
      <c r="B615" s="4">
        <v>45137</v>
      </c>
      <c r="C615" s="46">
        <f>EOMONTH(Table2[[#This Row],[OrderDate]],-1)+1</f>
        <v>45108</v>
      </c>
      <c r="D615" s="45">
        <f>EOMONTH(_xlfn.MINIFS(B615:B1245,M615:M1245,Table2[[#This Row],[Country]]), -1) + 1</f>
        <v>45108</v>
      </c>
      <c r="E615" s="46"/>
      <c r="F615" s="4" t="str">
        <f>"Q"&amp;ROUNDUP(MONTH(B615)/3,0)&amp;"-"&amp;YEAR(B615)</f>
        <v>Q3-2023</v>
      </c>
      <c r="G615" s="4">
        <v>45157</v>
      </c>
      <c r="H615" s="4">
        <f>IF(G615&lt;B615, B615+3, G615)</f>
        <v>45157</v>
      </c>
      <c r="I615" s="10">
        <f>H615-B615</f>
        <v>20</v>
      </c>
      <c r="J615" s="10">
        <f t="shared" si="54"/>
        <v>0</v>
      </c>
      <c r="K615" s="10">
        <f t="shared" si="55"/>
        <v>0</v>
      </c>
      <c r="L615" s="6" t="s">
        <v>649</v>
      </c>
      <c r="M615" s="6" t="s">
        <v>657</v>
      </c>
      <c r="N615" s="6" t="s">
        <v>690</v>
      </c>
      <c r="O615" s="6" t="s">
        <v>706</v>
      </c>
      <c r="P615" s="6" t="s">
        <v>709</v>
      </c>
      <c r="Q615" s="6" t="s">
        <v>715</v>
      </c>
      <c r="R615" s="6" t="s">
        <v>729</v>
      </c>
      <c r="S615" s="6" t="s">
        <v>1346</v>
      </c>
      <c r="T615" s="8">
        <v>1418.51</v>
      </c>
      <c r="U615" s="8">
        <v>2789.61</v>
      </c>
      <c r="V615" s="8">
        <f t="shared" si="56"/>
        <v>0.17100000000000001</v>
      </c>
      <c r="W615" s="8">
        <v>0.17100000000000001</v>
      </c>
      <c r="X615" s="10">
        <f>IF(Table2[[#This Row],[DiscountPct]]&gt;0.2,1,0)</f>
        <v>0</v>
      </c>
      <c r="Y615" s="10">
        <v>8</v>
      </c>
      <c r="Z615" s="30">
        <f>Table2[[#This Row],[UnitPrice]]*Y615*(1-V615)</f>
        <v>18500.693520000001</v>
      </c>
      <c r="AA615" s="2">
        <f>T615*Y615</f>
        <v>11348.08</v>
      </c>
      <c r="AB615" s="2">
        <f t="shared" si="57"/>
        <v>7152.6135200000008</v>
      </c>
      <c r="AC615" s="2">
        <f t="shared" si="58"/>
        <v>0.38661326464695689</v>
      </c>
      <c r="AD615" s="2" t="e">
        <f>_xlfn.PERCENTILE.INC(S:S, 0.33)</f>
        <v>#NUM!</v>
      </c>
      <c r="AE615" s="2" t="e">
        <f>_xlfn.PERCENTILE.INC(S:S, 0.66)</f>
        <v>#NUM!</v>
      </c>
      <c r="AF615" s="30" t="e">
        <f t="shared" si="59"/>
        <v>#NUM!</v>
      </c>
    </row>
    <row r="616" spans="1:32" x14ac:dyDescent="0.3">
      <c r="A616" s="31" t="s">
        <v>629</v>
      </c>
      <c r="B616" s="32">
        <v>45727</v>
      </c>
      <c r="C616" s="47">
        <f>EOMONTH(Table2[[#This Row],[OrderDate]],-1)+1</f>
        <v>45717</v>
      </c>
      <c r="D616" s="45">
        <f>EOMONTH(_xlfn.MINIFS(B616:B1246,M616:M1246,Table2[[#This Row],[Country]]), -1) + 1</f>
        <v>45231</v>
      </c>
      <c r="E616" s="47"/>
      <c r="F616" s="32" t="str">
        <f>"Q"&amp;ROUNDUP(MONTH(B616)/3,0)&amp;"-"&amp;YEAR(B616)</f>
        <v>Q1-2025</v>
      </c>
      <c r="G616" s="32">
        <v>45743</v>
      </c>
      <c r="H616" s="32">
        <f>IF(G616&lt;B616, B616+3, G616)</f>
        <v>45743</v>
      </c>
      <c r="I616" s="33">
        <f>H616-B616</f>
        <v>16</v>
      </c>
      <c r="J616" s="33">
        <f t="shared" si="54"/>
        <v>0</v>
      </c>
      <c r="K616" s="33">
        <f t="shared" si="55"/>
        <v>0</v>
      </c>
      <c r="L616" s="34" t="s">
        <v>647</v>
      </c>
      <c r="M616" s="34" t="s">
        <v>652</v>
      </c>
      <c r="N616" s="34" t="s">
        <v>689</v>
      </c>
      <c r="O616" s="34" t="s">
        <v>706</v>
      </c>
      <c r="P616" s="34" t="s">
        <v>710</v>
      </c>
      <c r="Q616" s="34" t="s">
        <v>717</v>
      </c>
      <c r="R616" s="34" t="s">
        <v>728</v>
      </c>
      <c r="S616" s="34" t="s">
        <v>1347</v>
      </c>
      <c r="T616" s="35">
        <v>1317.58</v>
      </c>
      <c r="U616" s="35">
        <v>1897.74</v>
      </c>
      <c r="V616" s="35">
        <f t="shared" si="56"/>
        <v>8.1000000000000003E-2</v>
      </c>
      <c r="W616" s="35">
        <v>8.1000000000000003E-2</v>
      </c>
      <c r="X616" s="33">
        <f>IF(Table2[[#This Row],[DiscountPct]]&gt;0.2,1,0)</f>
        <v>0</v>
      </c>
      <c r="Y616" s="33">
        <v>6</v>
      </c>
      <c r="Z616" s="30">
        <f>Table2[[#This Row],[UnitPrice]]*Y616*(1-V616)</f>
        <v>10464.138360000001</v>
      </c>
      <c r="AA616" s="31">
        <f>T616*Y616</f>
        <v>7905.48</v>
      </c>
      <c r="AB616" s="31">
        <f t="shared" si="57"/>
        <v>2558.6583600000013</v>
      </c>
      <c r="AC616" s="31">
        <f t="shared" si="58"/>
        <v>0.24451687009230266</v>
      </c>
      <c r="AD616" s="31" t="e">
        <f>_xlfn.PERCENTILE.INC(S:S, 0.33)</f>
        <v>#NUM!</v>
      </c>
      <c r="AE616" s="31" t="e">
        <f>_xlfn.PERCENTILE.INC(S:S, 0.66)</f>
        <v>#NUM!</v>
      </c>
      <c r="AF616" s="30" t="e">
        <f t="shared" si="59"/>
        <v>#NUM!</v>
      </c>
    </row>
    <row r="617" spans="1:32" x14ac:dyDescent="0.3">
      <c r="A617" s="2" t="s">
        <v>630</v>
      </c>
      <c r="B617" s="4">
        <v>45208</v>
      </c>
      <c r="C617" s="46">
        <f>EOMONTH(Table2[[#This Row],[OrderDate]],-1)+1</f>
        <v>45200</v>
      </c>
      <c r="D617" s="45">
        <f>EOMONTH(_xlfn.MINIFS(B617:B1247,M617:M1247,Table2[[#This Row],[Country]]), -1) + 1</f>
        <v>45200</v>
      </c>
      <c r="E617" s="46"/>
      <c r="F617" s="4" t="str">
        <f>"Q"&amp;ROUNDUP(MONTH(B617)/3,0)&amp;"-"&amp;YEAR(B617)</f>
        <v>Q4-2023</v>
      </c>
      <c r="G617" s="4">
        <v>45210</v>
      </c>
      <c r="H617" s="4">
        <f>IF(G617&lt;B617, B617+3, G617)</f>
        <v>45210</v>
      </c>
      <c r="I617" s="10">
        <f>H617-B617</f>
        <v>2</v>
      </c>
      <c r="J617" s="10">
        <f t="shared" si="54"/>
        <v>1</v>
      </c>
      <c r="K617" s="10">
        <f t="shared" si="55"/>
        <v>1</v>
      </c>
      <c r="L617" s="6" t="s">
        <v>646</v>
      </c>
      <c r="M617" s="6" t="s">
        <v>651</v>
      </c>
      <c r="N617" s="6" t="s">
        <v>663</v>
      </c>
      <c r="O617" s="6" t="s">
        <v>702</v>
      </c>
      <c r="P617" s="6" t="s">
        <v>709</v>
      </c>
      <c r="Q617" s="6" t="s">
        <v>723</v>
      </c>
      <c r="R617" s="6" t="s">
        <v>729</v>
      </c>
      <c r="S617" s="6" t="s">
        <v>1348</v>
      </c>
      <c r="T617" s="8">
        <v>391.16</v>
      </c>
      <c r="U617" s="8">
        <v>902.47</v>
      </c>
      <c r="V617" s="8">
        <f t="shared" si="56"/>
        <v>4.0000000000000001E-3</v>
      </c>
      <c r="W617" s="8">
        <v>4.0000000000000001E-3</v>
      </c>
      <c r="X617" s="10">
        <f>IF(Table2[[#This Row],[DiscountPct]]&gt;0.2,1,0)</f>
        <v>0</v>
      </c>
      <c r="Y617" s="10">
        <v>12</v>
      </c>
      <c r="Z617" s="30">
        <f>Table2[[#This Row],[UnitPrice]]*Y617*(1-V617)</f>
        <v>10786.32144</v>
      </c>
      <c r="AA617" s="2">
        <f>T617*Y617</f>
        <v>4693.92</v>
      </c>
      <c r="AB617" s="2">
        <f t="shared" si="57"/>
        <v>6092.4014399999996</v>
      </c>
      <c r="AC617" s="2">
        <f t="shared" si="58"/>
        <v>0.56482661618139207</v>
      </c>
      <c r="AD617" s="2" t="e">
        <f>_xlfn.PERCENTILE.INC(S:S, 0.33)</f>
        <v>#NUM!</v>
      </c>
      <c r="AE617" s="2" t="e">
        <f>_xlfn.PERCENTILE.INC(S:S, 0.66)</f>
        <v>#NUM!</v>
      </c>
      <c r="AF617" s="30" t="e">
        <f t="shared" si="59"/>
        <v>#NUM!</v>
      </c>
    </row>
    <row r="618" spans="1:32" x14ac:dyDescent="0.3">
      <c r="A618" s="31" t="s">
        <v>631</v>
      </c>
      <c r="B618" s="32">
        <v>45643</v>
      </c>
      <c r="C618" s="47">
        <f>EOMONTH(Table2[[#This Row],[OrderDate]],-1)+1</f>
        <v>45627</v>
      </c>
      <c r="D618" s="45">
        <f>EOMONTH(_xlfn.MINIFS(B618:B1248,M618:M1248,Table2[[#This Row],[Country]]), -1) + 1</f>
        <v>45627</v>
      </c>
      <c r="E618" s="47"/>
      <c r="F618" s="32" t="str">
        <f>"Q"&amp;ROUNDUP(MONTH(B618)/3,0)&amp;"-"&amp;YEAR(B618)</f>
        <v>Q4-2024</v>
      </c>
      <c r="G618" s="32">
        <v>45673</v>
      </c>
      <c r="H618" s="32">
        <f>IF(G618&lt;B618, B618+3, G618)</f>
        <v>45673</v>
      </c>
      <c r="I618" s="33">
        <f>H618-B618</f>
        <v>30</v>
      </c>
      <c r="J618" s="33">
        <f t="shared" si="54"/>
        <v>0</v>
      </c>
      <c r="K618" s="33">
        <f t="shared" si="55"/>
        <v>0</v>
      </c>
      <c r="L618" s="34" t="s">
        <v>649</v>
      </c>
      <c r="M618" s="34" t="s">
        <v>658</v>
      </c>
      <c r="N618" s="34" t="s">
        <v>693</v>
      </c>
      <c r="O618" s="34" t="s">
        <v>701</v>
      </c>
      <c r="P618" s="34" t="s">
        <v>707</v>
      </c>
      <c r="Q618" s="34" t="s">
        <v>726</v>
      </c>
      <c r="R618" s="34" t="s">
        <v>732</v>
      </c>
      <c r="S618" s="34" t="s">
        <v>1349</v>
      </c>
      <c r="T618" s="35">
        <v>722.87</v>
      </c>
      <c r="U618" s="35">
        <v>33.659999999999997</v>
      </c>
      <c r="V618" s="35">
        <f t="shared" si="56"/>
        <v>0.10199999999999999</v>
      </c>
      <c r="W618" s="35">
        <v>0.10199999999999999</v>
      </c>
      <c r="X618" s="33">
        <f>IF(Table2[[#This Row],[DiscountPct]]&gt;0.2,1,0)</f>
        <v>0</v>
      </c>
      <c r="Y618" s="33">
        <v>28</v>
      </c>
      <c r="Z618" s="30">
        <f>Table2[[#This Row],[UnitPrice]]*Y618*(1-V618)</f>
        <v>846.34703999999988</v>
      </c>
      <c r="AA618" s="31">
        <f>T618*Y618</f>
        <v>20240.36</v>
      </c>
      <c r="AB618" s="31">
        <f t="shared" si="57"/>
        <v>-19394.01296</v>
      </c>
      <c r="AC618" s="31">
        <f t="shared" si="58"/>
        <v>-22.914965189693348</v>
      </c>
      <c r="AD618" s="31" t="e">
        <f>_xlfn.PERCENTILE.INC(S:S, 0.33)</f>
        <v>#NUM!</v>
      </c>
      <c r="AE618" s="31" t="e">
        <f>_xlfn.PERCENTILE.INC(S:S, 0.66)</f>
        <v>#NUM!</v>
      </c>
      <c r="AF618" s="30" t="e">
        <f t="shared" si="59"/>
        <v>#NUM!</v>
      </c>
    </row>
    <row r="619" spans="1:32" x14ac:dyDescent="0.3">
      <c r="A619" s="2" t="s">
        <v>632</v>
      </c>
      <c r="B619" s="4">
        <v>45849</v>
      </c>
      <c r="C619" s="46">
        <f>EOMONTH(Table2[[#This Row],[OrderDate]],-1)+1</f>
        <v>45839</v>
      </c>
      <c r="D619" s="45">
        <f>EOMONTH(_xlfn.MINIFS(B619:B1249,M619:M1249,Table2[[#This Row],[Country]]), -1) + 1</f>
        <v>45839</v>
      </c>
      <c r="E619" s="46"/>
      <c r="F619" s="4" t="str">
        <f>"Q"&amp;ROUNDUP(MONTH(B619)/3,0)&amp;"-"&amp;YEAR(B619)</f>
        <v>Q3-2025</v>
      </c>
      <c r="G619" s="4">
        <v>45854</v>
      </c>
      <c r="H619" s="4">
        <f>IF(G619&lt;B619, B619+3, G619)</f>
        <v>45854</v>
      </c>
      <c r="I619" s="10">
        <f>H619-B619</f>
        <v>5</v>
      </c>
      <c r="J619" s="10">
        <f t="shared" si="54"/>
        <v>1</v>
      </c>
      <c r="K619" s="10">
        <f t="shared" si="55"/>
        <v>1</v>
      </c>
      <c r="L619" s="6" t="s">
        <v>649</v>
      </c>
      <c r="M619" s="6" t="s">
        <v>658</v>
      </c>
      <c r="N619" s="6" t="s">
        <v>683</v>
      </c>
      <c r="O619" s="6" t="s">
        <v>706</v>
      </c>
      <c r="P619" s="6" t="s">
        <v>708</v>
      </c>
      <c r="Q619" s="6" t="s">
        <v>723</v>
      </c>
      <c r="R619" s="6" t="s">
        <v>728</v>
      </c>
      <c r="S619" s="6" t="s">
        <v>1350</v>
      </c>
      <c r="T619" s="8">
        <v>930.03</v>
      </c>
      <c r="U619" s="8">
        <v>1086.68</v>
      </c>
      <c r="V619" s="8">
        <f t="shared" si="56"/>
        <v>0.109</v>
      </c>
      <c r="W619" s="8">
        <v>0.109</v>
      </c>
      <c r="X619" s="10">
        <f>IF(Table2[[#This Row],[DiscountPct]]&gt;0.2,1,0)</f>
        <v>0</v>
      </c>
      <c r="Y619" s="10">
        <v>26</v>
      </c>
      <c r="Z619" s="30">
        <f>Table2[[#This Row],[UnitPrice]]*Y619*(1-V619)</f>
        <v>25174.028880000002</v>
      </c>
      <c r="AA619" s="2">
        <f>T619*Y619</f>
        <v>24180.78</v>
      </c>
      <c r="AB619" s="2">
        <f t="shared" si="57"/>
        <v>993.24888000000283</v>
      </c>
      <c r="AC619" s="2">
        <f t="shared" si="58"/>
        <v>3.9455300728168656E-2</v>
      </c>
      <c r="AD619" s="2" t="e">
        <f>_xlfn.PERCENTILE.INC(S:S, 0.33)</f>
        <v>#NUM!</v>
      </c>
      <c r="AE619" s="2" t="e">
        <f>_xlfn.PERCENTILE.INC(S:S, 0.66)</f>
        <v>#NUM!</v>
      </c>
      <c r="AF619" s="30" t="e">
        <f t="shared" si="59"/>
        <v>#NUM!</v>
      </c>
    </row>
    <row r="620" spans="1:32" x14ac:dyDescent="0.3">
      <c r="A620" s="31" t="s">
        <v>633</v>
      </c>
      <c r="B620" s="32">
        <v>45578</v>
      </c>
      <c r="C620" s="47">
        <f>EOMONTH(Table2[[#This Row],[OrderDate]],-1)+1</f>
        <v>45566</v>
      </c>
      <c r="D620" s="45">
        <f>EOMONTH(_xlfn.MINIFS(B620:B1250,M620:M1250,Table2[[#This Row],[Country]]), -1) + 1</f>
        <v>45566</v>
      </c>
      <c r="E620" s="47"/>
      <c r="F620" s="32" t="str">
        <f>"Q"&amp;ROUNDUP(MONTH(B620)/3,0)&amp;"-"&amp;YEAR(B620)</f>
        <v>Q4-2024</v>
      </c>
      <c r="G620" s="32">
        <v>45589</v>
      </c>
      <c r="H620" s="32">
        <f>IF(G620&lt;B620, B620+3, G620)</f>
        <v>45589</v>
      </c>
      <c r="I620" s="33">
        <f>H620-B620</f>
        <v>11</v>
      </c>
      <c r="J620" s="33">
        <f t="shared" si="54"/>
        <v>0</v>
      </c>
      <c r="K620" s="33">
        <f t="shared" si="55"/>
        <v>0</v>
      </c>
      <c r="L620" s="34" t="s">
        <v>649</v>
      </c>
      <c r="M620" s="34" t="s">
        <v>657</v>
      </c>
      <c r="N620" s="34" t="s">
        <v>690</v>
      </c>
      <c r="O620" s="34" t="s">
        <v>702</v>
      </c>
      <c r="P620" s="34" t="s">
        <v>710</v>
      </c>
      <c r="Q620" s="34" t="s">
        <v>721</v>
      </c>
      <c r="R620" s="34" t="s">
        <v>727</v>
      </c>
      <c r="S620" s="34" t="s">
        <v>1351</v>
      </c>
      <c r="T620" s="35">
        <v>816.7</v>
      </c>
      <c r="U620" s="35">
        <v>1010.75</v>
      </c>
      <c r="V620" s="35">
        <f t="shared" si="56"/>
        <v>4.7E-2</v>
      </c>
      <c r="W620" s="35">
        <v>4.7E-2</v>
      </c>
      <c r="X620" s="33">
        <f>IF(Table2[[#This Row],[DiscountPct]]&gt;0.2,1,0)</f>
        <v>0</v>
      </c>
      <c r="Y620" s="33">
        <v>43</v>
      </c>
      <c r="Z620" s="30">
        <f>Table2[[#This Row],[UnitPrice]]*Y620*(1-V620)</f>
        <v>41419.524249999995</v>
      </c>
      <c r="AA620" s="31">
        <f>T620*Y620</f>
        <v>35118.1</v>
      </c>
      <c r="AB620" s="31">
        <f t="shared" si="57"/>
        <v>6301.4242499999964</v>
      </c>
      <c r="AC620" s="31">
        <f t="shared" si="58"/>
        <v>0.15213656757537472</v>
      </c>
      <c r="AD620" s="31" t="e">
        <f>_xlfn.PERCENTILE.INC(S:S, 0.33)</f>
        <v>#NUM!</v>
      </c>
      <c r="AE620" s="31" t="e">
        <f>_xlfn.PERCENTILE.INC(S:S, 0.66)</f>
        <v>#NUM!</v>
      </c>
      <c r="AF620" s="30" t="e">
        <f t="shared" si="59"/>
        <v>#NUM!</v>
      </c>
    </row>
    <row r="621" spans="1:32" x14ac:dyDescent="0.3">
      <c r="A621" s="2" t="s">
        <v>634</v>
      </c>
      <c r="B621" s="4">
        <v>45177</v>
      </c>
      <c r="C621" s="46">
        <f>EOMONTH(Table2[[#This Row],[OrderDate]],-1)+1</f>
        <v>45170</v>
      </c>
      <c r="D621" s="45">
        <f>EOMONTH(_xlfn.MINIFS(B621:B1251,M621:M1251,Table2[[#This Row],[Country]]), -1) + 1</f>
        <v>45170</v>
      </c>
      <c r="E621" s="46"/>
      <c r="F621" s="4" t="str">
        <f>"Q"&amp;ROUNDUP(MONTH(B621)/3,0)&amp;"-"&amp;YEAR(B621)</f>
        <v>Q3-2023</v>
      </c>
      <c r="G621" s="4">
        <v>45183</v>
      </c>
      <c r="H621" s="4">
        <f>IF(G621&lt;B621, B621+3, G621)</f>
        <v>45183</v>
      </c>
      <c r="I621" s="10">
        <f>H621-B621</f>
        <v>6</v>
      </c>
      <c r="J621" s="10">
        <f t="shared" si="54"/>
        <v>1</v>
      </c>
      <c r="K621" s="10">
        <f t="shared" si="55"/>
        <v>1</v>
      </c>
      <c r="L621" s="6" t="s">
        <v>646</v>
      </c>
      <c r="M621" s="6" t="s">
        <v>650</v>
      </c>
      <c r="N621" s="6" t="s">
        <v>678</v>
      </c>
      <c r="O621" s="6" t="s">
        <v>702</v>
      </c>
      <c r="P621" s="6" t="s">
        <v>711</v>
      </c>
      <c r="Q621" s="6" t="s">
        <v>714</v>
      </c>
      <c r="R621" s="6" t="s">
        <v>733</v>
      </c>
      <c r="S621" s="6" t="s">
        <v>1352</v>
      </c>
      <c r="T621" s="8">
        <v>251.03</v>
      </c>
      <c r="U621" s="8">
        <v>411.48</v>
      </c>
      <c r="V621" s="8">
        <f t="shared" si="56"/>
        <v>0.16500000000000001</v>
      </c>
      <c r="W621" s="8">
        <v>0.16500000000000001</v>
      </c>
      <c r="X621" s="10">
        <f>IF(Table2[[#This Row],[DiscountPct]]&gt;0.2,1,0)</f>
        <v>0</v>
      </c>
      <c r="Y621" s="10">
        <v>3</v>
      </c>
      <c r="Z621" s="30">
        <f>Table2[[#This Row],[UnitPrice]]*Y621*(1-V621)</f>
        <v>1030.7574</v>
      </c>
      <c r="AA621" s="2">
        <f>T621*Y621</f>
        <v>753.09</v>
      </c>
      <c r="AB621" s="2">
        <f t="shared" si="57"/>
        <v>277.66739999999993</v>
      </c>
      <c r="AC621" s="2">
        <f t="shared" si="58"/>
        <v>0.26938191275658069</v>
      </c>
      <c r="AD621" s="2" t="e">
        <f>_xlfn.PERCENTILE.INC(S:S, 0.33)</f>
        <v>#NUM!</v>
      </c>
      <c r="AE621" s="2" t="e">
        <f>_xlfn.PERCENTILE.INC(S:S, 0.66)</f>
        <v>#NUM!</v>
      </c>
      <c r="AF621" s="30" t="e">
        <f t="shared" si="59"/>
        <v>#NUM!</v>
      </c>
    </row>
    <row r="622" spans="1:32" x14ac:dyDescent="0.3">
      <c r="A622" s="31" t="s">
        <v>635</v>
      </c>
      <c r="B622" s="32">
        <v>45764</v>
      </c>
      <c r="C622" s="47">
        <f>EOMONTH(Table2[[#This Row],[OrderDate]],-1)+1</f>
        <v>45748</v>
      </c>
      <c r="D622" s="45">
        <f>EOMONTH(_xlfn.MINIFS(B622:B1252,M622:M1252,Table2[[#This Row],[Country]]), -1) + 1</f>
        <v>45748</v>
      </c>
      <c r="E622" s="47"/>
      <c r="F622" s="32" t="str">
        <f>"Q"&amp;ROUNDUP(MONTH(B622)/3,0)&amp;"-"&amp;YEAR(B622)</f>
        <v>Q2-2025</v>
      </c>
      <c r="G622" s="32">
        <v>45780</v>
      </c>
      <c r="H622" s="32">
        <f>IF(G622&lt;B622, B622+3, G622)</f>
        <v>45780</v>
      </c>
      <c r="I622" s="33">
        <f>H622-B622</f>
        <v>16</v>
      </c>
      <c r="J622" s="33">
        <f t="shared" si="54"/>
        <v>0</v>
      </c>
      <c r="K622" s="33">
        <f t="shared" si="55"/>
        <v>0</v>
      </c>
      <c r="L622" s="34" t="s">
        <v>648</v>
      </c>
      <c r="M622" s="34" t="s">
        <v>655</v>
      </c>
      <c r="N622" s="34" t="s">
        <v>692</v>
      </c>
      <c r="O622" s="34" t="s">
        <v>704</v>
      </c>
      <c r="P622" s="34" t="s">
        <v>709</v>
      </c>
      <c r="Q622" s="34" t="s">
        <v>713</v>
      </c>
      <c r="R622" s="34" t="s">
        <v>729</v>
      </c>
      <c r="S622" s="34" t="s">
        <v>1353</v>
      </c>
      <c r="T622" s="35">
        <v>168.68</v>
      </c>
      <c r="U622" s="35">
        <v>413.34</v>
      </c>
      <c r="V622" s="35">
        <f t="shared" si="56"/>
        <v>0.186</v>
      </c>
      <c r="W622" s="35">
        <v>0.186</v>
      </c>
      <c r="X622" s="33">
        <f>IF(Table2[[#This Row],[DiscountPct]]&gt;0.2,1,0)</f>
        <v>0</v>
      </c>
      <c r="Y622" s="33">
        <v>7</v>
      </c>
      <c r="Z622" s="30">
        <f>Table2[[#This Row],[UnitPrice]]*Y622*(1-V622)</f>
        <v>2355.2113199999999</v>
      </c>
      <c r="AA622" s="31">
        <f>T622*Y622</f>
        <v>1180.76</v>
      </c>
      <c r="AB622" s="31">
        <f t="shared" si="57"/>
        <v>1174.4513199999999</v>
      </c>
      <c r="AC622" s="31">
        <f t="shared" si="58"/>
        <v>0.49866069767361682</v>
      </c>
      <c r="AD622" s="31" t="e">
        <f>_xlfn.PERCENTILE.INC(S:S, 0.33)</f>
        <v>#NUM!</v>
      </c>
      <c r="AE622" s="31" t="e">
        <f>_xlfn.PERCENTILE.INC(S:S, 0.66)</f>
        <v>#NUM!</v>
      </c>
      <c r="AF622" s="30" t="e">
        <f t="shared" si="59"/>
        <v>#NUM!</v>
      </c>
    </row>
    <row r="623" spans="1:32" x14ac:dyDescent="0.3">
      <c r="A623" s="2" t="s">
        <v>636</v>
      </c>
      <c r="B623" s="4">
        <v>45501</v>
      </c>
      <c r="C623" s="46">
        <f>EOMONTH(Table2[[#This Row],[OrderDate]],-1)+1</f>
        <v>45474</v>
      </c>
      <c r="D623" s="45">
        <f>EOMONTH(_xlfn.MINIFS(B623:B1253,M623:M1253,Table2[[#This Row],[Country]]), -1) + 1</f>
        <v>45231</v>
      </c>
      <c r="E623" s="46"/>
      <c r="F623" s="4" t="str">
        <f>"Q"&amp;ROUNDUP(MONTH(B623)/3,0)&amp;"-"&amp;YEAR(B623)</f>
        <v>Q3-2024</v>
      </c>
      <c r="G623" s="4">
        <v>45527</v>
      </c>
      <c r="H623" s="4">
        <f>IF(G623&lt;B623, B623+3, G623)</f>
        <v>45527</v>
      </c>
      <c r="I623" s="10">
        <f>H623-B623</f>
        <v>26</v>
      </c>
      <c r="J623" s="10">
        <f t="shared" si="54"/>
        <v>0</v>
      </c>
      <c r="K623" s="10">
        <f t="shared" si="55"/>
        <v>0</v>
      </c>
      <c r="L623" s="6" t="s">
        <v>647</v>
      </c>
      <c r="M623" s="6" t="s">
        <v>654</v>
      </c>
      <c r="N623" s="6" t="s">
        <v>696</v>
      </c>
      <c r="O623" s="6" t="s">
        <v>701</v>
      </c>
      <c r="P623" s="6" t="s">
        <v>707</v>
      </c>
      <c r="Q623" s="6" t="s">
        <v>713</v>
      </c>
      <c r="R623" s="6" t="s">
        <v>729</v>
      </c>
      <c r="S623" s="6" t="s">
        <v>1354</v>
      </c>
      <c r="T623" s="8">
        <v>1339.24</v>
      </c>
      <c r="U623" s="8">
        <v>1558.89</v>
      </c>
      <c r="V623" s="8">
        <f t="shared" si="56"/>
        <v>0.192</v>
      </c>
      <c r="W623" s="8">
        <v>0.192</v>
      </c>
      <c r="X623" s="10">
        <f>IF(Table2[[#This Row],[DiscountPct]]&gt;0.2,1,0)</f>
        <v>0</v>
      </c>
      <c r="Y623" s="10">
        <v>24</v>
      </c>
      <c r="Z623" s="30">
        <f>Table2[[#This Row],[UnitPrice]]*Y623*(1-V623)</f>
        <v>30229.994880000002</v>
      </c>
      <c r="AA623" s="2">
        <f>T623*Y623</f>
        <v>32141.760000000002</v>
      </c>
      <c r="AB623" s="2">
        <f t="shared" si="57"/>
        <v>-1911.76512</v>
      </c>
      <c r="AC623" s="2">
        <f t="shared" si="58"/>
        <v>-6.3240669659021781E-2</v>
      </c>
      <c r="AD623" s="2" t="e">
        <f>_xlfn.PERCENTILE.INC(S:S, 0.33)</f>
        <v>#NUM!</v>
      </c>
      <c r="AE623" s="2" t="e">
        <f>_xlfn.PERCENTILE.INC(S:S, 0.66)</f>
        <v>#NUM!</v>
      </c>
      <c r="AF623" s="30" t="e">
        <f t="shared" si="59"/>
        <v>#NUM!</v>
      </c>
    </row>
    <row r="624" spans="1:32" x14ac:dyDescent="0.3">
      <c r="A624" s="31" t="s">
        <v>637</v>
      </c>
      <c r="B624" s="32">
        <v>45857</v>
      </c>
      <c r="C624" s="47">
        <f>EOMONTH(Table2[[#This Row],[OrderDate]],-1)+1</f>
        <v>45839</v>
      </c>
      <c r="D624" s="45">
        <f>EOMONTH(_xlfn.MINIFS(B624:B1254,M624:M1254,Table2[[#This Row],[Country]]), -1) + 1</f>
        <v>45839</v>
      </c>
      <c r="E624" s="47"/>
      <c r="F624" s="32" t="str">
        <f>"Q"&amp;ROUNDUP(MONTH(B624)/3,0)&amp;"-"&amp;YEAR(B624)</f>
        <v>Q3-2025</v>
      </c>
      <c r="G624" s="32">
        <v>45869</v>
      </c>
      <c r="H624" s="32">
        <f>IF(G624&lt;B624, B624+3, G624)</f>
        <v>45869</v>
      </c>
      <c r="I624" s="33">
        <f>H624-B624</f>
        <v>12</v>
      </c>
      <c r="J624" s="33">
        <f t="shared" si="54"/>
        <v>0</v>
      </c>
      <c r="K624" s="33">
        <f t="shared" si="55"/>
        <v>0</v>
      </c>
      <c r="L624" s="34" t="s">
        <v>646</v>
      </c>
      <c r="M624" s="34" t="s">
        <v>650</v>
      </c>
      <c r="N624" s="34" t="s">
        <v>664</v>
      </c>
      <c r="O624" s="34" t="s">
        <v>705</v>
      </c>
      <c r="P624" s="34" t="s">
        <v>709</v>
      </c>
      <c r="Q624" s="34" t="s">
        <v>719</v>
      </c>
      <c r="R624" s="34" t="s">
        <v>733</v>
      </c>
      <c r="S624" s="34" t="s">
        <v>1355</v>
      </c>
      <c r="T624" s="35">
        <v>619.64</v>
      </c>
      <c r="U624" s="35">
        <v>861.16</v>
      </c>
      <c r="V624" s="35">
        <f t="shared" si="56"/>
        <v>0.113</v>
      </c>
      <c r="W624" s="35">
        <v>0.113</v>
      </c>
      <c r="X624" s="33">
        <f>IF(Table2[[#This Row],[DiscountPct]]&gt;0.2,1,0)</f>
        <v>0</v>
      </c>
      <c r="Y624" s="33">
        <v>14</v>
      </c>
      <c r="Z624" s="30">
        <f>Table2[[#This Row],[UnitPrice]]*Y624*(1-V624)</f>
        <v>10693.88488</v>
      </c>
      <c r="AA624" s="31">
        <f>T624*Y624</f>
        <v>8674.9599999999991</v>
      </c>
      <c r="AB624" s="31">
        <f t="shared" si="57"/>
        <v>2018.9248800000005</v>
      </c>
      <c r="AC624" s="31">
        <f t="shared" si="58"/>
        <v>0.18879246435276761</v>
      </c>
      <c r="AD624" s="31" t="e">
        <f>_xlfn.PERCENTILE.INC(S:S, 0.33)</f>
        <v>#NUM!</v>
      </c>
      <c r="AE624" s="31" t="e">
        <f>_xlfn.PERCENTILE.INC(S:S, 0.66)</f>
        <v>#NUM!</v>
      </c>
      <c r="AF624" s="30" t="e">
        <f t="shared" si="59"/>
        <v>#NUM!</v>
      </c>
    </row>
    <row r="625" spans="1:32" x14ac:dyDescent="0.3">
      <c r="A625" s="2" t="s">
        <v>638</v>
      </c>
      <c r="B625" s="4">
        <v>45141</v>
      </c>
      <c r="C625" s="46">
        <f>EOMONTH(Table2[[#This Row],[OrderDate]],-1)+1</f>
        <v>45139</v>
      </c>
      <c r="D625" s="45">
        <f>EOMONTH(_xlfn.MINIFS(B625:B1255,M625:M1255,Table2[[#This Row],[Country]]), -1) + 1</f>
        <v>45139</v>
      </c>
      <c r="E625" s="46"/>
      <c r="F625" s="4" t="str">
        <f>"Q"&amp;ROUNDUP(MONTH(B625)/3,0)&amp;"-"&amp;YEAR(B625)</f>
        <v>Q3-2023</v>
      </c>
      <c r="G625" s="4">
        <v>45140</v>
      </c>
      <c r="H625" s="4">
        <f>IF(G625&lt;B625, B625+3, G625)</f>
        <v>45144</v>
      </c>
      <c r="I625" s="10">
        <f>H625-B625</f>
        <v>3</v>
      </c>
      <c r="J625" s="10">
        <f t="shared" si="54"/>
        <v>1</v>
      </c>
      <c r="K625" s="10">
        <f t="shared" si="55"/>
        <v>1</v>
      </c>
      <c r="L625" s="6" t="s">
        <v>647</v>
      </c>
      <c r="M625" s="6" t="s">
        <v>659</v>
      </c>
      <c r="N625" s="6" t="s">
        <v>685</v>
      </c>
      <c r="O625" s="6" t="s">
        <v>703</v>
      </c>
      <c r="P625" s="6" t="s">
        <v>711</v>
      </c>
      <c r="Q625" s="6" t="s">
        <v>713</v>
      </c>
      <c r="R625" s="6" t="s">
        <v>729</v>
      </c>
      <c r="S625" s="6" t="s">
        <v>1356</v>
      </c>
      <c r="T625" s="8">
        <v>1021.97</v>
      </c>
      <c r="U625" s="8">
        <v>2296.25</v>
      </c>
      <c r="V625" s="8">
        <f t="shared" si="56"/>
        <v>0.161</v>
      </c>
      <c r="W625" s="8">
        <v>0.161</v>
      </c>
      <c r="X625" s="10">
        <f>IF(Table2[[#This Row],[DiscountPct]]&gt;0.2,1,0)</f>
        <v>0</v>
      </c>
      <c r="Y625" s="10">
        <v>26</v>
      </c>
      <c r="Z625" s="30">
        <f>Table2[[#This Row],[UnitPrice]]*Y625*(1-V625)</f>
        <v>50090.397499999999</v>
      </c>
      <c r="AA625" s="2">
        <f>T625*Y625</f>
        <v>26571.22</v>
      </c>
      <c r="AB625" s="2">
        <f t="shared" si="57"/>
        <v>23519.177499999998</v>
      </c>
      <c r="AC625" s="2">
        <f t="shared" si="58"/>
        <v>0.46953465482081669</v>
      </c>
      <c r="AD625" s="2" t="e">
        <f>_xlfn.PERCENTILE.INC(S:S, 0.33)</f>
        <v>#NUM!</v>
      </c>
      <c r="AE625" s="2" t="e">
        <f>_xlfn.PERCENTILE.INC(S:S, 0.66)</f>
        <v>#NUM!</v>
      </c>
      <c r="AF625" s="30" t="e">
        <f t="shared" si="59"/>
        <v>#NUM!</v>
      </c>
    </row>
    <row r="626" spans="1:32" x14ac:dyDescent="0.3">
      <c r="A626" s="31" t="s">
        <v>639</v>
      </c>
      <c r="B626" s="32">
        <v>45249</v>
      </c>
      <c r="C626" s="47">
        <f>EOMONTH(Table2[[#This Row],[OrderDate]],-1)+1</f>
        <v>45231</v>
      </c>
      <c r="D626" s="45">
        <f>EOMONTH(_xlfn.MINIFS(B626:B1256,M626:M1256,Table2[[#This Row],[Country]]), -1) + 1</f>
        <v>45231</v>
      </c>
      <c r="E626" s="47"/>
      <c r="F626" s="32" t="str">
        <f>"Q"&amp;ROUNDUP(MONTH(B626)/3,0)&amp;"-"&amp;YEAR(B626)</f>
        <v>Q4-2023</v>
      </c>
      <c r="G626" s="32">
        <v>45272</v>
      </c>
      <c r="H626" s="32">
        <f>IF(G626&lt;B626, B626+3, G626)</f>
        <v>45272</v>
      </c>
      <c r="I626" s="33">
        <f>H626-B626</f>
        <v>23</v>
      </c>
      <c r="J626" s="33">
        <f t="shared" si="54"/>
        <v>0</v>
      </c>
      <c r="K626" s="33">
        <f t="shared" si="55"/>
        <v>0</v>
      </c>
      <c r="L626" s="34" t="s">
        <v>647</v>
      </c>
      <c r="M626" s="34" t="s">
        <v>654</v>
      </c>
      <c r="N626" s="34" t="s">
        <v>680</v>
      </c>
      <c r="O626" s="34" t="s">
        <v>705</v>
      </c>
      <c r="P626" s="34" t="s">
        <v>711</v>
      </c>
      <c r="Q626" s="34" t="s">
        <v>712</v>
      </c>
      <c r="R626" s="34" t="s">
        <v>729</v>
      </c>
      <c r="S626" s="34" t="s">
        <v>1357</v>
      </c>
      <c r="T626" s="35">
        <v>1349.04</v>
      </c>
      <c r="U626" s="35">
        <v>2636.6</v>
      </c>
      <c r="V626" s="35">
        <f t="shared" si="56"/>
        <v>0.114</v>
      </c>
      <c r="W626" s="35">
        <v>0.114</v>
      </c>
      <c r="X626" s="33">
        <f>IF(Table2[[#This Row],[DiscountPct]]&gt;0.2,1,0)</f>
        <v>0</v>
      </c>
      <c r="Y626" s="33">
        <v>14</v>
      </c>
      <c r="Z626" s="30">
        <f>Table2[[#This Row],[UnitPrice]]*Y626*(1-V626)</f>
        <v>32704.386400000003</v>
      </c>
      <c r="AA626" s="31">
        <f>T626*Y626</f>
        <v>18886.559999999998</v>
      </c>
      <c r="AB626" s="31">
        <f t="shared" si="57"/>
        <v>13817.826400000005</v>
      </c>
      <c r="AC626" s="31">
        <f t="shared" si="58"/>
        <v>0.42250682312143928</v>
      </c>
      <c r="AD626" s="31" t="e">
        <f>_xlfn.PERCENTILE.INC(S:S, 0.33)</f>
        <v>#NUM!</v>
      </c>
      <c r="AE626" s="31" t="e">
        <f>_xlfn.PERCENTILE.INC(S:S, 0.66)</f>
        <v>#NUM!</v>
      </c>
      <c r="AF626" s="30" t="e">
        <f t="shared" si="59"/>
        <v>#NUM!</v>
      </c>
    </row>
    <row r="627" spans="1:32" x14ac:dyDescent="0.3">
      <c r="A627" s="2" t="s">
        <v>640</v>
      </c>
      <c r="B627" s="4">
        <v>45282</v>
      </c>
      <c r="C627" s="46">
        <f>EOMONTH(Table2[[#This Row],[OrderDate]],-1)+1</f>
        <v>45261</v>
      </c>
      <c r="D627" s="45">
        <f>EOMONTH(_xlfn.MINIFS(B627:B1257,M627:M1257,Table2[[#This Row],[Country]]), -1) + 1</f>
        <v>45261</v>
      </c>
      <c r="E627" s="46"/>
      <c r="F627" s="4" t="str">
        <f>"Q"&amp;ROUNDUP(MONTH(B627)/3,0)&amp;"-"&amp;YEAR(B627)</f>
        <v>Q4-2023</v>
      </c>
      <c r="G627" s="4">
        <v>45307</v>
      </c>
      <c r="H627" s="4">
        <f>IF(G627&lt;B627, B627+3, G627)</f>
        <v>45307</v>
      </c>
      <c r="I627" s="10">
        <f>H627-B627</f>
        <v>25</v>
      </c>
      <c r="J627" s="10">
        <f t="shared" si="54"/>
        <v>0</v>
      </c>
      <c r="K627" s="10">
        <f t="shared" si="55"/>
        <v>0</v>
      </c>
      <c r="L627" s="6" t="s">
        <v>647</v>
      </c>
      <c r="M627" s="6" t="s">
        <v>654</v>
      </c>
      <c r="N627" s="6" t="s">
        <v>696</v>
      </c>
      <c r="O627" s="6" t="s">
        <v>705</v>
      </c>
      <c r="P627" s="6" t="s">
        <v>707</v>
      </c>
      <c r="Q627" s="6" t="s">
        <v>720</v>
      </c>
      <c r="R627" s="6" t="s">
        <v>727</v>
      </c>
      <c r="S627" s="6" t="s">
        <v>1358</v>
      </c>
      <c r="T627" s="8">
        <v>1346.81</v>
      </c>
      <c r="U627" s="8">
        <v>978.09</v>
      </c>
      <c r="V627" s="8">
        <f t="shared" si="56"/>
        <v>0.159</v>
      </c>
      <c r="W627" s="8">
        <v>0.159</v>
      </c>
      <c r="X627" s="10">
        <f>IF(Table2[[#This Row],[DiscountPct]]&gt;0.2,1,0)</f>
        <v>0</v>
      </c>
      <c r="Y627" s="10">
        <v>17</v>
      </c>
      <c r="Z627" s="30">
        <f>Table2[[#This Row],[UnitPrice]]*Y627*(1-V627)</f>
        <v>13983.752729999998</v>
      </c>
      <c r="AA627" s="2">
        <f>T627*Y627</f>
        <v>22895.77</v>
      </c>
      <c r="AB627" s="2">
        <f t="shared" si="57"/>
        <v>-8912.0172700000021</v>
      </c>
      <c r="AC627" s="2">
        <f t="shared" si="58"/>
        <v>-0.6373122753293996</v>
      </c>
      <c r="AD627" s="2" t="e">
        <f>_xlfn.PERCENTILE.INC(S:S, 0.33)</f>
        <v>#NUM!</v>
      </c>
      <c r="AE627" s="2" t="e">
        <f>_xlfn.PERCENTILE.INC(S:S, 0.66)</f>
        <v>#NUM!</v>
      </c>
      <c r="AF627" s="30" t="e">
        <f t="shared" si="59"/>
        <v>#NUM!</v>
      </c>
    </row>
    <row r="628" spans="1:32" x14ac:dyDescent="0.3">
      <c r="A628" s="31" t="s">
        <v>641</v>
      </c>
      <c r="B628" s="32">
        <v>45141</v>
      </c>
      <c r="C628" s="47">
        <f>EOMONTH(Table2[[#This Row],[OrderDate]],-1)+1</f>
        <v>45139</v>
      </c>
      <c r="D628" s="45">
        <f>EOMONTH(_xlfn.MINIFS(B628:B1258,M628:M1258,Table2[[#This Row],[Country]]), -1) + 1</f>
        <v>45139</v>
      </c>
      <c r="E628" s="47"/>
      <c r="F628" s="32" t="str">
        <f>"Q"&amp;ROUNDUP(MONTH(B628)/3,0)&amp;"-"&amp;YEAR(B628)</f>
        <v>Q3-2023</v>
      </c>
      <c r="G628" s="32">
        <v>45168</v>
      </c>
      <c r="H628" s="32">
        <f>IF(G628&lt;B628, B628+3, G628)</f>
        <v>45168</v>
      </c>
      <c r="I628" s="33">
        <f>H628-B628</f>
        <v>27</v>
      </c>
      <c r="J628" s="33">
        <f t="shared" si="54"/>
        <v>0</v>
      </c>
      <c r="K628" s="33">
        <f t="shared" si="55"/>
        <v>0</v>
      </c>
      <c r="L628" s="34" t="s">
        <v>647</v>
      </c>
      <c r="M628" s="34" t="s">
        <v>659</v>
      </c>
      <c r="N628" s="34" t="s">
        <v>685</v>
      </c>
      <c r="O628" s="34" t="s">
        <v>704</v>
      </c>
      <c r="P628" s="34" t="s">
        <v>710</v>
      </c>
      <c r="Q628" s="34" t="s">
        <v>725</v>
      </c>
      <c r="R628" s="34" t="s">
        <v>732</v>
      </c>
      <c r="S628" s="34" t="s">
        <v>1359</v>
      </c>
      <c r="T628" s="35">
        <v>226.04</v>
      </c>
      <c r="U628" s="35">
        <v>545.72</v>
      </c>
      <c r="V628" s="35">
        <f t="shared" si="56"/>
        <v>0.151</v>
      </c>
      <c r="W628" s="35">
        <v>0.151</v>
      </c>
      <c r="X628" s="33">
        <f>IF(Table2[[#This Row],[DiscountPct]]&gt;0.2,1,0)</f>
        <v>0</v>
      </c>
      <c r="Y628" s="33">
        <v>11</v>
      </c>
      <c r="Z628" s="30">
        <f>Table2[[#This Row],[UnitPrice]]*Y628*(1-V628)</f>
        <v>5096.4790800000001</v>
      </c>
      <c r="AA628" s="31">
        <f>T628*Y628</f>
        <v>2486.44</v>
      </c>
      <c r="AB628" s="31">
        <f t="shared" si="57"/>
        <v>2610.03908</v>
      </c>
      <c r="AC628" s="31">
        <f t="shared" si="58"/>
        <v>0.51212592831834014</v>
      </c>
      <c r="AD628" s="31" t="e">
        <f>_xlfn.PERCENTILE.INC(S:S, 0.33)</f>
        <v>#NUM!</v>
      </c>
      <c r="AE628" s="31" t="e">
        <f>_xlfn.PERCENTILE.INC(S:S, 0.66)</f>
        <v>#NUM!</v>
      </c>
      <c r="AF628" s="30" t="e">
        <f t="shared" si="59"/>
        <v>#NUM!</v>
      </c>
    </row>
    <row r="629" spans="1:32" x14ac:dyDescent="0.3">
      <c r="A629" s="2" t="s">
        <v>642</v>
      </c>
      <c r="B629" s="4">
        <v>45100</v>
      </c>
      <c r="C629" s="46">
        <f>EOMONTH(Table2[[#This Row],[OrderDate]],-1)+1</f>
        <v>45078</v>
      </c>
      <c r="D629" s="45">
        <f>EOMONTH(_xlfn.MINIFS(B629:B1259,M629:M1259,Table2[[#This Row],[Country]]), -1) + 1</f>
        <v>45078</v>
      </c>
      <c r="E629" s="46"/>
      <c r="F629" s="4" t="str">
        <f>"Q"&amp;ROUNDUP(MONTH(B629)/3,0)&amp;"-"&amp;YEAR(B629)</f>
        <v>Q2-2023</v>
      </c>
      <c r="G629" s="4">
        <v>45125</v>
      </c>
      <c r="H629" s="4">
        <f>IF(G629&lt;B629, B629+3, G629)</f>
        <v>45125</v>
      </c>
      <c r="I629" s="10">
        <f>H629-B629</f>
        <v>25</v>
      </c>
      <c r="J629" s="10">
        <f t="shared" si="54"/>
        <v>0</v>
      </c>
      <c r="K629" s="10">
        <f t="shared" si="55"/>
        <v>0</v>
      </c>
      <c r="L629" s="6" t="s">
        <v>648</v>
      </c>
      <c r="M629" s="6" t="s">
        <v>653</v>
      </c>
      <c r="N629" s="6" t="s">
        <v>688</v>
      </c>
      <c r="O629" s="6" t="s">
        <v>706</v>
      </c>
      <c r="P629" s="6" t="s">
        <v>708</v>
      </c>
      <c r="Q629" s="6" t="s">
        <v>725</v>
      </c>
      <c r="R629" s="6" t="s">
        <v>730</v>
      </c>
      <c r="S629" s="6" t="s">
        <v>1360</v>
      </c>
      <c r="T629" s="8">
        <v>807.02</v>
      </c>
      <c r="U629" s="8">
        <v>1435.54</v>
      </c>
      <c r="V629" s="8">
        <f t="shared" si="56"/>
        <v>0</v>
      </c>
      <c r="W629" s="8">
        <v>0</v>
      </c>
      <c r="X629" s="10">
        <f>IF(Table2[[#This Row],[DiscountPct]]&gt;0.2,1,0)</f>
        <v>0</v>
      </c>
      <c r="Y629" s="10">
        <v>23</v>
      </c>
      <c r="Z629" s="30">
        <f>Table2[[#This Row],[UnitPrice]]*Y629*(1-V629)</f>
        <v>33017.42</v>
      </c>
      <c r="AA629" s="2">
        <f>T629*Y629</f>
        <v>18561.46</v>
      </c>
      <c r="AB629" s="2">
        <f t="shared" si="57"/>
        <v>14455.96</v>
      </c>
      <c r="AC629" s="2">
        <f t="shared" si="58"/>
        <v>0.43782827368098415</v>
      </c>
      <c r="AD629" s="2" t="e">
        <f>_xlfn.PERCENTILE.INC(S:S, 0.33)</f>
        <v>#NUM!</v>
      </c>
      <c r="AE629" s="2" t="e">
        <f>_xlfn.PERCENTILE.INC(S:S, 0.66)</f>
        <v>#NUM!</v>
      </c>
      <c r="AF629" s="30" t="e">
        <f t="shared" si="59"/>
        <v>#NUM!</v>
      </c>
    </row>
    <row r="630" spans="1:32" x14ac:dyDescent="0.3">
      <c r="A630" s="31" t="s">
        <v>643</v>
      </c>
      <c r="B630" s="32">
        <v>45267</v>
      </c>
      <c r="C630" s="47">
        <f>EOMONTH(Table2[[#This Row],[OrderDate]],-1)+1</f>
        <v>45261</v>
      </c>
      <c r="D630" s="45">
        <f>EOMONTH(_xlfn.MINIFS(B630:B1260,M630:M1260,Table2[[#This Row],[Country]]), -1) + 1</f>
        <v>45261</v>
      </c>
      <c r="E630" s="47"/>
      <c r="F630" s="32" t="str">
        <f>"Q"&amp;ROUNDUP(MONTH(B630)/3,0)&amp;"-"&amp;YEAR(B630)</f>
        <v>Q4-2023</v>
      </c>
      <c r="G630" s="32">
        <v>45293</v>
      </c>
      <c r="H630" s="32">
        <f>IF(G630&lt;B630, B630+3, G630)</f>
        <v>45293</v>
      </c>
      <c r="I630" s="33">
        <f>H630-B630</f>
        <v>26</v>
      </c>
      <c r="J630" s="33">
        <f t="shared" si="54"/>
        <v>0</v>
      </c>
      <c r="K630" s="33">
        <f t="shared" si="55"/>
        <v>0</v>
      </c>
      <c r="L630" s="34" t="s">
        <v>649</v>
      </c>
      <c r="M630" s="34" t="s">
        <v>656</v>
      </c>
      <c r="N630" s="34" t="s">
        <v>698</v>
      </c>
      <c r="O630" s="34" t="s">
        <v>706</v>
      </c>
      <c r="P630" s="34" t="s">
        <v>710</v>
      </c>
      <c r="Q630" s="34" t="s">
        <v>718</v>
      </c>
      <c r="R630" s="34" t="s">
        <v>727</v>
      </c>
      <c r="S630" s="34" t="s">
        <v>1361</v>
      </c>
      <c r="T630" s="35">
        <v>1071.99</v>
      </c>
      <c r="U630" s="35">
        <v>2397.3000000000002</v>
      </c>
      <c r="V630" s="35">
        <f t="shared" si="56"/>
        <v>6.2E-2</v>
      </c>
      <c r="W630" s="35">
        <v>6.2E-2</v>
      </c>
      <c r="X630" s="33">
        <f>IF(Table2[[#This Row],[DiscountPct]]&gt;0.2,1,0)</f>
        <v>0</v>
      </c>
      <c r="Y630" s="33">
        <v>18</v>
      </c>
      <c r="Z630" s="30">
        <f>Table2[[#This Row],[UnitPrice]]*Y630*(1-V630)</f>
        <v>40476.013200000001</v>
      </c>
      <c r="AA630" s="31">
        <f>T630*Y630</f>
        <v>19295.82</v>
      </c>
      <c r="AB630" s="31">
        <f t="shared" si="57"/>
        <v>21180.193200000002</v>
      </c>
      <c r="AC630" s="31">
        <f t="shared" si="58"/>
        <v>0.52327765324476183</v>
      </c>
      <c r="AD630" s="31" t="e">
        <f>_xlfn.PERCENTILE.INC(S:S, 0.33)</f>
        <v>#NUM!</v>
      </c>
      <c r="AE630" s="31" t="e">
        <f>_xlfn.PERCENTILE.INC(S:S, 0.66)</f>
        <v>#NUM!</v>
      </c>
      <c r="AF630" s="30" t="e">
        <f t="shared" si="59"/>
        <v>#NUM!</v>
      </c>
    </row>
    <row r="631" spans="1:32" x14ac:dyDescent="0.3">
      <c r="A631" s="2" t="s">
        <v>644</v>
      </c>
      <c r="B631" s="4">
        <v>45249</v>
      </c>
      <c r="C631" s="46">
        <f>EOMONTH(Table2[[#This Row],[OrderDate]],-1)+1</f>
        <v>45231</v>
      </c>
      <c r="D631" s="45">
        <f>EOMONTH(_xlfn.MINIFS(B631:B1261,M631:M1261,Table2[[#This Row],[Country]]), -1) + 1</f>
        <v>45231</v>
      </c>
      <c r="E631" s="46"/>
      <c r="F631" s="4" t="str">
        <f>"Q"&amp;ROUNDUP(MONTH(B631)/3,0)&amp;"-"&amp;YEAR(B631)</f>
        <v>Q4-2023</v>
      </c>
      <c r="G631" s="4">
        <v>45279</v>
      </c>
      <c r="H631" s="4">
        <f>IF(G631&lt;B631, B631+3, G631)</f>
        <v>45279</v>
      </c>
      <c r="I631" s="10">
        <f>H631-B631</f>
        <v>30</v>
      </c>
      <c r="J631" s="10">
        <f t="shared" si="54"/>
        <v>0</v>
      </c>
      <c r="K631" s="10">
        <f t="shared" si="55"/>
        <v>0</v>
      </c>
      <c r="L631" s="6" t="s">
        <v>647</v>
      </c>
      <c r="M631" s="6" t="s">
        <v>652</v>
      </c>
      <c r="N631" s="6" t="s">
        <v>694</v>
      </c>
      <c r="O631" s="6" t="s">
        <v>704</v>
      </c>
      <c r="P631" s="6" t="s">
        <v>707</v>
      </c>
      <c r="Q631" s="6" t="s">
        <v>1438</v>
      </c>
      <c r="R631" s="6" t="s">
        <v>730</v>
      </c>
      <c r="S631" s="6" t="s">
        <v>1362</v>
      </c>
      <c r="T631" s="8">
        <v>807.11</v>
      </c>
      <c r="U631" s="8">
        <v>1853.86</v>
      </c>
      <c r="V631" s="8">
        <f t="shared" si="56"/>
        <v>0.13900000000000001</v>
      </c>
      <c r="W631" s="8">
        <v>0.13900000000000001</v>
      </c>
      <c r="X631" s="10">
        <f>IF(Table2[[#This Row],[DiscountPct]]&gt;0.2,1,0)</f>
        <v>0</v>
      </c>
      <c r="Y631" s="10">
        <v>8</v>
      </c>
      <c r="Z631" s="30">
        <f>Table2[[#This Row],[UnitPrice]]*Y631*(1-V631)</f>
        <v>12769.38768</v>
      </c>
      <c r="AA631" s="2">
        <f>T631*Y631</f>
        <v>6456.88</v>
      </c>
      <c r="AB631" s="2">
        <f t="shared" si="57"/>
        <v>6312.5076799999997</v>
      </c>
      <c r="AC631" s="2">
        <f t="shared" si="58"/>
        <v>0.49434693645388639</v>
      </c>
      <c r="AD631" s="2" t="e">
        <f>_xlfn.PERCENTILE.INC(S:S, 0.33)</f>
        <v>#NUM!</v>
      </c>
      <c r="AE631" s="2" t="e">
        <f>_xlfn.PERCENTILE.INC(S:S, 0.66)</f>
        <v>#NUM!</v>
      </c>
      <c r="AF631" s="30" t="e">
        <f t="shared" si="59"/>
        <v>#NUM!</v>
      </c>
    </row>
    <row r="632" spans="1:32" x14ac:dyDescent="0.3">
      <c r="A632" s="31" t="s">
        <v>645</v>
      </c>
      <c r="B632" s="32">
        <v>45716</v>
      </c>
      <c r="C632" s="47">
        <f>EOMONTH(Table2[[#This Row],[OrderDate]],-1)+1</f>
        <v>45689</v>
      </c>
      <c r="D632" s="45">
        <f>EOMONTH(_xlfn.MINIFS(B632:B1262,M632:M1262,Table2[[#This Row],[Country]]), -1) + 1</f>
        <v>45689</v>
      </c>
      <c r="E632" s="47"/>
      <c r="F632" s="32" t="str">
        <f>"Q"&amp;ROUNDUP(MONTH(B632)/3,0)&amp;"-"&amp;YEAR(B632)</f>
        <v>Q1-2025</v>
      </c>
      <c r="G632" s="32">
        <v>45726</v>
      </c>
      <c r="H632" s="32">
        <f>IF(G632&lt;B632, B632+3, G632)</f>
        <v>45726</v>
      </c>
      <c r="I632" s="33">
        <f>H632-B632</f>
        <v>10</v>
      </c>
      <c r="J632" s="33">
        <f t="shared" si="54"/>
        <v>0</v>
      </c>
      <c r="K632" s="33">
        <f t="shared" si="55"/>
        <v>0</v>
      </c>
      <c r="L632" s="34" t="s">
        <v>647</v>
      </c>
      <c r="M632" s="34" t="s">
        <v>652</v>
      </c>
      <c r="N632" s="34" t="s">
        <v>666</v>
      </c>
      <c r="O632" s="34" t="s">
        <v>702</v>
      </c>
      <c r="P632" s="34" t="s">
        <v>710</v>
      </c>
      <c r="Q632" s="34" t="s">
        <v>725</v>
      </c>
      <c r="R632" s="34" t="s">
        <v>731</v>
      </c>
      <c r="S632" s="34" t="s">
        <v>1363</v>
      </c>
      <c r="T632" s="35">
        <v>51.86</v>
      </c>
      <c r="U632" s="35">
        <v>45.98</v>
      </c>
      <c r="V632" s="35">
        <f t="shared" si="56"/>
        <v>0.17299999999999999</v>
      </c>
      <c r="W632" s="35">
        <v>0.17299999999999999</v>
      </c>
      <c r="X632" s="33">
        <f>IF(Table2[[#This Row],[DiscountPct]]&gt;0.2,1,0)</f>
        <v>0</v>
      </c>
      <c r="Y632" s="33">
        <v>7</v>
      </c>
      <c r="Z632" s="30">
        <f>Table2[[#This Row],[UnitPrice]]*Y632*(1-V632)</f>
        <v>266.17821999999995</v>
      </c>
      <c r="AA632" s="31">
        <f>T632*Y632</f>
        <v>363.02</v>
      </c>
      <c r="AB632" s="31">
        <f t="shared" si="57"/>
        <v>-96.841780000000028</v>
      </c>
      <c r="AC632" s="31">
        <f t="shared" si="58"/>
        <v>-0.3638230806412337</v>
      </c>
      <c r="AD632" s="31" t="e">
        <f>_xlfn.PERCENTILE.INC(S:S, 0.33)</f>
        <v>#NUM!</v>
      </c>
      <c r="AE632" s="31" t="e">
        <f>_xlfn.PERCENTILE.INC(S:S, 0.66)</f>
        <v>#NUM!</v>
      </c>
      <c r="AF632" s="30" t="e">
        <f t="shared" si="59"/>
        <v>#NUM!</v>
      </c>
    </row>
  </sheetData>
  <phoneticPr fontId="14" type="noConversion"/>
  <pageMargins left="0.7" right="0.7" top="0.75" bottom="0.75" header="0.3" footer="0.3"/>
  <drawing r:id="rId1"/>
  <picture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A71D5-016C-4CEA-B8F3-82BEAE431672}">
  <dimension ref="A2:AL708"/>
  <sheetViews>
    <sheetView workbookViewId="0">
      <selection activeCell="D69" sqref="D69"/>
    </sheetView>
  </sheetViews>
  <sheetFormatPr defaultRowHeight="14.4" x14ac:dyDescent="0.3"/>
  <cols>
    <col min="1" max="1" width="18.77734375" style="2" bestFit="1" customWidth="1"/>
    <col min="2" max="2" width="19.5546875" style="2" bestFit="1" customWidth="1"/>
    <col min="3" max="3" width="8.88671875" style="2"/>
    <col min="4" max="4" width="19.5546875" style="2" bestFit="1" customWidth="1"/>
    <col min="5" max="5" width="15.5546875" style="2" bestFit="1" customWidth="1"/>
    <col min="6" max="29" width="12" style="2" bestFit="1" customWidth="1"/>
    <col min="30" max="30" width="12.5546875" style="2" bestFit="1" customWidth="1"/>
    <col min="31" max="31" width="15.44140625" style="2" bestFit="1" customWidth="1"/>
    <col min="32" max="32" width="20" style="2" bestFit="1" customWidth="1"/>
    <col min="33" max="34" width="19.5546875" style="2" bestFit="1" customWidth="1"/>
    <col min="35" max="38" width="12" style="2" bestFit="1" customWidth="1"/>
    <col min="39" max="16384" width="8.88671875" style="2"/>
  </cols>
  <sheetData>
    <row r="2" spans="1:38" x14ac:dyDescent="0.3">
      <c r="A2" s="13" t="s">
        <v>1372</v>
      </c>
      <c r="D2" s="13" t="s">
        <v>1412</v>
      </c>
      <c r="E2" s="13" t="s">
        <v>1411</v>
      </c>
    </row>
    <row r="3" spans="1:38" x14ac:dyDescent="0.3">
      <c r="A3" s="14" t="s">
        <v>646</v>
      </c>
      <c r="D3" s="13" t="s">
        <v>1372</v>
      </c>
      <c r="E3" s="2" t="s">
        <v>1378</v>
      </c>
      <c r="F3" s="2" t="s">
        <v>1379</v>
      </c>
      <c r="G3" s="2" t="s">
        <v>1380</v>
      </c>
      <c r="H3" s="2" t="s">
        <v>1381</v>
      </c>
      <c r="I3" s="2" t="s">
        <v>1382</v>
      </c>
      <c r="J3" s="2" t="s">
        <v>1383</v>
      </c>
      <c r="K3" s="2" t="s">
        <v>1384</v>
      </c>
      <c r="L3" s="2" t="s">
        <v>1408</v>
      </c>
      <c r="M3" s="2" t="s">
        <v>1385</v>
      </c>
      <c r="N3" s="2" t="s">
        <v>1386</v>
      </c>
      <c r="O3" s="2" t="s">
        <v>1387</v>
      </c>
      <c r="P3" s="2" t="s">
        <v>1388</v>
      </c>
      <c r="Q3" s="2" t="s">
        <v>1389</v>
      </c>
      <c r="R3" s="2" t="s">
        <v>1390</v>
      </c>
      <c r="S3" s="2" t="s">
        <v>1391</v>
      </c>
      <c r="T3" s="2" t="s">
        <v>1392</v>
      </c>
      <c r="U3" s="2" t="s">
        <v>1393</v>
      </c>
      <c r="V3" s="2" t="s">
        <v>1394</v>
      </c>
      <c r="W3" s="2" t="s">
        <v>1395</v>
      </c>
      <c r="X3" s="2" t="s">
        <v>1409</v>
      </c>
      <c r="Y3" s="2" t="s">
        <v>1396</v>
      </c>
      <c r="Z3" s="2" t="s">
        <v>1397</v>
      </c>
      <c r="AA3" s="2" t="s">
        <v>1398</v>
      </c>
      <c r="AB3" s="2" t="s">
        <v>1399</v>
      </c>
      <c r="AC3" s="2" t="s">
        <v>1400</v>
      </c>
      <c r="AD3" s="2" t="s">
        <v>1401</v>
      </c>
      <c r="AE3" s="2" t="s">
        <v>1402</v>
      </c>
      <c r="AF3" s="2" t="s">
        <v>1403</v>
      </c>
      <c r="AG3" s="2" t="s">
        <v>1404</v>
      </c>
      <c r="AH3" s="2" t="s">
        <v>1410</v>
      </c>
      <c r="AI3" s="2" t="s">
        <v>1405</v>
      </c>
      <c r="AJ3" s="2" t="s">
        <v>1406</v>
      </c>
      <c r="AK3" s="2" t="s">
        <v>1407</v>
      </c>
      <c r="AL3" s="2" t="s">
        <v>1373</v>
      </c>
    </row>
    <row r="4" spans="1:38" x14ac:dyDescent="0.3">
      <c r="A4" s="15" t="s">
        <v>650</v>
      </c>
      <c r="D4" s="14" t="s">
        <v>655</v>
      </c>
      <c r="E4" s="2">
        <v>12248.675999999999</v>
      </c>
      <c r="F4" s="2">
        <v>57491.062559999998</v>
      </c>
      <c r="G4" s="2">
        <v>68920.107260000004</v>
      </c>
      <c r="H4" s="2">
        <v>37330.00275</v>
      </c>
      <c r="I4" s="2">
        <v>41358.420049999993</v>
      </c>
      <c r="J4" s="2">
        <v>45754.744080000004</v>
      </c>
      <c r="K4" s="2">
        <v>61471.696859999996</v>
      </c>
      <c r="M4" s="2">
        <v>24894.430559999997</v>
      </c>
      <c r="N4" s="2">
        <v>39239.197899999999</v>
      </c>
      <c r="O4" s="2">
        <v>70563.592109999998</v>
      </c>
      <c r="P4" s="2">
        <v>1801.4076000000002</v>
      </c>
      <c r="Q4" s="2">
        <v>8567.3924999999999</v>
      </c>
      <c r="R4" s="2">
        <v>22987.3279</v>
      </c>
      <c r="S4" s="2">
        <v>93430.735400000005</v>
      </c>
      <c r="T4" s="2">
        <v>10937.519999999999</v>
      </c>
      <c r="U4" s="2">
        <v>38096.18406</v>
      </c>
      <c r="V4" s="2">
        <v>46991.747199999998</v>
      </c>
      <c r="W4" s="2">
        <v>41658.527040000008</v>
      </c>
      <c r="Y4" s="2">
        <v>24523.006720000001</v>
      </c>
      <c r="Z4" s="2">
        <v>110.14919999999999</v>
      </c>
      <c r="AA4" s="2">
        <v>16257.340179999999</v>
      </c>
      <c r="AB4" s="2">
        <v>27194.152039999997</v>
      </c>
      <c r="AC4" s="2">
        <v>9469.7678000000014</v>
      </c>
      <c r="AD4" s="2">
        <v>67596.422359999997</v>
      </c>
      <c r="AE4" s="2">
        <v>24161.26311</v>
      </c>
      <c r="AF4" s="2">
        <v>11939.431199999999</v>
      </c>
      <c r="AG4" s="2">
        <v>16213.632800000001</v>
      </c>
      <c r="AI4" s="2">
        <v>7071.6331400000008</v>
      </c>
      <c r="AJ4" s="2">
        <v>85419.017859999993</v>
      </c>
      <c r="AK4" s="2">
        <v>24172.044580000002</v>
      </c>
      <c r="AL4" s="2">
        <v>1037870.6328199999</v>
      </c>
    </row>
    <row r="5" spans="1:38" x14ac:dyDescent="0.3">
      <c r="A5" s="16" t="s">
        <v>662</v>
      </c>
      <c r="D5" s="14" t="s">
        <v>653</v>
      </c>
      <c r="E5" s="2">
        <v>15618.84504</v>
      </c>
      <c r="G5" s="2">
        <v>7901.5041599999995</v>
      </c>
      <c r="H5" s="2">
        <v>52625.804160000007</v>
      </c>
      <c r="I5" s="2">
        <v>7466.3063999999986</v>
      </c>
      <c r="J5" s="2">
        <v>24972.288</v>
      </c>
      <c r="K5" s="2">
        <v>14466.95104</v>
      </c>
      <c r="L5" s="2">
        <v>20713.040080000002</v>
      </c>
      <c r="M5" s="2">
        <v>26150.364320000001</v>
      </c>
      <c r="N5" s="2">
        <v>9774.3888000000006</v>
      </c>
      <c r="O5" s="2">
        <v>8128.5187499999993</v>
      </c>
      <c r="P5" s="2">
        <v>4141.7599999999993</v>
      </c>
      <c r="Q5" s="2">
        <v>19139.594240000002</v>
      </c>
      <c r="S5" s="2">
        <v>29536.716</v>
      </c>
      <c r="T5" s="2">
        <v>79082.507010000001</v>
      </c>
      <c r="U5" s="2">
        <v>141645.56601000001</v>
      </c>
      <c r="V5" s="2">
        <v>46226.11952</v>
      </c>
      <c r="W5" s="2">
        <v>55516.603510000001</v>
      </c>
      <c r="X5" s="2">
        <v>5335.5655499999993</v>
      </c>
      <c r="Y5" s="2">
        <v>17453.3436</v>
      </c>
      <c r="Z5" s="2">
        <v>21931.50405</v>
      </c>
      <c r="AC5" s="2">
        <v>17930.494560000003</v>
      </c>
      <c r="AD5" s="2">
        <v>76122.593299999993</v>
      </c>
      <c r="AF5" s="2">
        <v>60697.470840000002</v>
      </c>
      <c r="AG5" s="2">
        <v>27756.432000000001</v>
      </c>
      <c r="AI5" s="2">
        <v>15530.929919999999</v>
      </c>
      <c r="AJ5" s="2">
        <v>64160.245439999999</v>
      </c>
      <c r="AK5" s="2">
        <v>12597.52224</v>
      </c>
      <c r="AL5" s="2">
        <v>882622.97854000004</v>
      </c>
    </row>
    <row r="6" spans="1:38" x14ac:dyDescent="0.3">
      <c r="A6" s="16" t="s">
        <v>675</v>
      </c>
      <c r="D6" s="14" t="s">
        <v>659</v>
      </c>
      <c r="E6" s="2">
        <v>23379.011199999997</v>
      </c>
      <c r="F6" s="2">
        <v>14197.064400000001</v>
      </c>
      <c r="H6" s="2">
        <v>64096.735299999993</v>
      </c>
      <c r="J6" s="2">
        <v>33684.350699999995</v>
      </c>
      <c r="K6" s="2">
        <v>23668.560000000001</v>
      </c>
      <c r="L6" s="2">
        <v>77129.274059999996</v>
      </c>
      <c r="M6" s="2">
        <v>10869.182940000001</v>
      </c>
      <c r="N6" s="2">
        <v>79081.561010000005</v>
      </c>
      <c r="P6" s="2">
        <v>11406.96</v>
      </c>
      <c r="R6" s="2">
        <v>56274.47408</v>
      </c>
      <c r="T6" s="2">
        <v>50774.406560000003</v>
      </c>
      <c r="U6" s="2">
        <v>20703.052239999997</v>
      </c>
      <c r="V6" s="2">
        <v>5769.2758000000003</v>
      </c>
      <c r="W6" s="2">
        <v>70180.55992</v>
      </c>
      <c r="X6" s="2">
        <v>55548.646980000005</v>
      </c>
      <c r="Y6" s="2">
        <v>13437.300239999999</v>
      </c>
      <c r="Z6" s="2">
        <v>45749.975680000003</v>
      </c>
      <c r="AA6" s="2">
        <v>9378.6258099999995</v>
      </c>
      <c r="AB6" s="2">
        <v>49097.717239999998</v>
      </c>
      <c r="AD6" s="2">
        <v>9684.8756000000012</v>
      </c>
      <c r="AF6" s="2">
        <v>4071.8</v>
      </c>
      <c r="AG6" s="2">
        <v>66630.071960000001</v>
      </c>
      <c r="AH6" s="2">
        <v>68861.979880000014</v>
      </c>
      <c r="AI6" s="2">
        <v>14108.16791</v>
      </c>
      <c r="AJ6" s="2">
        <v>21270.482609999999</v>
      </c>
      <c r="AL6" s="2">
        <v>899054.11211999995</v>
      </c>
    </row>
    <row r="7" spans="1:38" x14ac:dyDescent="0.3">
      <c r="A7" s="16" t="s">
        <v>664</v>
      </c>
      <c r="D7" s="14" t="s">
        <v>657</v>
      </c>
      <c r="E7" s="2">
        <v>40811.05186</v>
      </c>
      <c r="F7" s="2">
        <v>16219.34496</v>
      </c>
      <c r="G7" s="2">
        <v>33208.325400000002</v>
      </c>
      <c r="H7" s="2">
        <v>36549.429260000004</v>
      </c>
      <c r="I7" s="2">
        <v>9189.1634999999987</v>
      </c>
      <c r="J7" s="2">
        <v>68199.913</v>
      </c>
      <c r="K7" s="2">
        <v>28412.100360000004</v>
      </c>
      <c r="L7" s="2">
        <v>32011.666519999995</v>
      </c>
      <c r="M7" s="2">
        <v>39546.774539999999</v>
      </c>
      <c r="N7" s="2">
        <v>20654.544699999999</v>
      </c>
      <c r="O7" s="2">
        <v>12040.64352</v>
      </c>
      <c r="P7" s="2">
        <v>9847.2358600000007</v>
      </c>
      <c r="Q7" s="2">
        <v>29263.361400000002</v>
      </c>
      <c r="R7" s="2">
        <v>20050.102040000002</v>
      </c>
      <c r="S7" s="2">
        <v>60768.60312</v>
      </c>
      <c r="T7" s="2">
        <v>27907.424579999999</v>
      </c>
      <c r="V7" s="2">
        <v>10388.429999999998</v>
      </c>
      <c r="X7" s="2">
        <v>17419.586900000002</v>
      </c>
      <c r="Z7" s="2">
        <v>45104.930900000007</v>
      </c>
      <c r="AC7" s="2">
        <v>43635.435039999997</v>
      </c>
      <c r="AD7" s="2">
        <v>5331.6696000000002</v>
      </c>
      <c r="AE7" s="2">
        <v>22983.34563</v>
      </c>
      <c r="AF7" s="2">
        <v>67281.056590000007</v>
      </c>
      <c r="AG7" s="2">
        <v>5159.7893599999998</v>
      </c>
      <c r="AH7" s="2">
        <v>41419.524249999995</v>
      </c>
      <c r="AI7" s="2">
        <v>14877.464000000002</v>
      </c>
      <c r="AL7" s="2">
        <v>758280.91689000011</v>
      </c>
    </row>
    <row r="8" spans="1:38" x14ac:dyDescent="0.3">
      <c r="A8" s="16" t="s">
        <v>678</v>
      </c>
      <c r="D8" s="14" t="s">
        <v>656</v>
      </c>
      <c r="E8" s="2">
        <v>104633.05091000001</v>
      </c>
      <c r="F8" s="2">
        <v>37482.345600000001</v>
      </c>
      <c r="G8" s="2">
        <v>5810.4844599999997</v>
      </c>
      <c r="H8" s="2">
        <v>215.19839999999996</v>
      </c>
      <c r="I8" s="2">
        <v>47066.843850000005</v>
      </c>
      <c r="J8" s="2">
        <v>56176.777799999996</v>
      </c>
      <c r="K8" s="2">
        <v>56963.241009999998</v>
      </c>
      <c r="L8" s="2">
        <v>78869.293639999989</v>
      </c>
      <c r="M8" s="2">
        <v>142962.67473</v>
      </c>
      <c r="N8" s="2">
        <v>321.93290999999999</v>
      </c>
      <c r="O8" s="2">
        <v>30546.068040000002</v>
      </c>
      <c r="P8" s="2">
        <v>13921.506140000001</v>
      </c>
      <c r="Q8" s="2">
        <v>41020.909639999998</v>
      </c>
      <c r="S8" s="2">
        <v>14114.068500000001</v>
      </c>
      <c r="V8" s="2">
        <v>5189.8836000000001</v>
      </c>
      <c r="W8" s="2">
        <v>65111.38614000001</v>
      </c>
      <c r="X8" s="2">
        <v>56166.983609999996</v>
      </c>
      <c r="Y8" s="2">
        <v>6271.3801999999996</v>
      </c>
      <c r="Z8" s="2">
        <v>68292.728010000006</v>
      </c>
      <c r="AA8" s="2">
        <v>16870.419779999997</v>
      </c>
      <c r="AB8" s="2">
        <v>17964.4038</v>
      </c>
      <c r="AC8" s="2">
        <v>32187.988280000001</v>
      </c>
      <c r="AD8" s="2">
        <v>10666.229420000001</v>
      </c>
      <c r="AE8" s="2">
        <v>7643.2649999999994</v>
      </c>
      <c r="AF8" s="2">
        <v>12955.824749999998</v>
      </c>
      <c r="AL8" s="2">
        <v>929424.88821999985</v>
      </c>
    </row>
    <row r="9" spans="1:38" x14ac:dyDescent="0.3">
      <c r="A9" s="15" t="s">
        <v>651</v>
      </c>
      <c r="D9" s="14" t="s">
        <v>654</v>
      </c>
      <c r="E9" s="2">
        <v>32506.559399999998</v>
      </c>
      <c r="G9" s="2">
        <v>4856.35725</v>
      </c>
      <c r="H9" s="2">
        <v>7105.3528000000006</v>
      </c>
      <c r="I9" s="2">
        <v>44186.458500000001</v>
      </c>
      <c r="J9" s="2">
        <v>11006.647559999999</v>
      </c>
      <c r="K9" s="2">
        <v>35984.636809999996</v>
      </c>
      <c r="L9" s="2">
        <v>40695.91504</v>
      </c>
      <c r="M9" s="2">
        <v>22044.871499999997</v>
      </c>
      <c r="N9" s="2">
        <v>24305.882859999998</v>
      </c>
      <c r="O9" s="2">
        <v>7120.6486400000003</v>
      </c>
      <c r="Q9" s="2">
        <v>33792.866320000001</v>
      </c>
      <c r="R9" s="2">
        <v>33308.550000000003</v>
      </c>
      <c r="S9" s="2">
        <v>12462.65055</v>
      </c>
      <c r="T9" s="2">
        <v>30229.994880000002</v>
      </c>
      <c r="V9" s="2">
        <v>4577.1480000000001</v>
      </c>
      <c r="W9" s="2">
        <v>31513.423040000001</v>
      </c>
      <c r="X9" s="2">
        <v>39717.144099999998</v>
      </c>
      <c r="Y9" s="2">
        <v>6631.6443100000006</v>
      </c>
      <c r="Z9" s="2">
        <v>12668.50728</v>
      </c>
      <c r="AA9" s="2">
        <v>24075.089819999997</v>
      </c>
      <c r="AB9" s="2">
        <v>249678.13582000002</v>
      </c>
      <c r="AC9" s="2">
        <v>35554.10024</v>
      </c>
      <c r="AD9" s="2">
        <v>62421.224639999993</v>
      </c>
      <c r="AE9" s="2">
        <v>39388.573900000003</v>
      </c>
      <c r="AF9" s="2">
        <v>91856.869250000003</v>
      </c>
      <c r="AG9" s="2">
        <v>34805.040549999998</v>
      </c>
      <c r="AH9" s="2">
        <v>599.53200000000004</v>
      </c>
      <c r="AI9" s="2">
        <v>42824.196989999997</v>
      </c>
      <c r="AJ9" s="2">
        <v>20028.787380000002</v>
      </c>
      <c r="AK9" s="2">
        <v>29627.320319999999</v>
      </c>
      <c r="AL9" s="2">
        <v>1065574.1297500001</v>
      </c>
    </row>
    <row r="10" spans="1:38" x14ac:dyDescent="0.3">
      <c r="A10" s="16" t="s">
        <v>669</v>
      </c>
      <c r="D10" s="14" t="s">
        <v>652</v>
      </c>
      <c r="E10" s="2">
        <v>21196.913249999998</v>
      </c>
      <c r="G10" s="2">
        <v>20606.46444</v>
      </c>
      <c r="I10" s="2">
        <v>82602.550499999998</v>
      </c>
      <c r="J10" s="2">
        <v>34082.864639999993</v>
      </c>
      <c r="K10" s="2">
        <v>38506.528819999992</v>
      </c>
      <c r="L10" s="2">
        <v>18641.222160000001</v>
      </c>
      <c r="N10" s="2">
        <v>15253.069799999999</v>
      </c>
      <c r="O10" s="2">
        <v>7955.6342199999999</v>
      </c>
      <c r="Q10" s="2">
        <v>67110.666420000009</v>
      </c>
      <c r="R10" s="2">
        <v>15705.464199999999</v>
      </c>
      <c r="S10" s="2">
        <v>32142.113530000002</v>
      </c>
      <c r="T10" s="2">
        <v>23449.833500000001</v>
      </c>
      <c r="U10" s="2">
        <v>9315.4974099999999</v>
      </c>
      <c r="V10" s="2">
        <v>4603.0824400000001</v>
      </c>
      <c r="W10" s="2">
        <v>68665.574250000005</v>
      </c>
      <c r="X10" s="2">
        <v>11984.891250000001</v>
      </c>
      <c r="Y10" s="2">
        <v>31024.83872</v>
      </c>
      <c r="AA10" s="2">
        <v>49818.786760000003</v>
      </c>
      <c r="AB10" s="2">
        <v>9062.34692</v>
      </c>
      <c r="AC10" s="2">
        <v>14287.896349999999</v>
      </c>
      <c r="AD10" s="2">
        <v>63856.506820000002</v>
      </c>
      <c r="AE10" s="2">
        <v>14268.607679999999</v>
      </c>
      <c r="AG10" s="2">
        <v>14527.748400000002</v>
      </c>
      <c r="AH10" s="2">
        <v>29808.424959999997</v>
      </c>
      <c r="AI10" s="2">
        <v>31130.741829999995</v>
      </c>
      <c r="AJ10" s="2">
        <v>50582.705609999997</v>
      </c>
      <c r="AK10" s="2">
        <v>74882.385600000009</v>
      </c>
      <c r="AL10" s="2">
        <v>855073.36048000015</v>
      </c>
    </row>
    <row r="11" spans="1:38" x14ac:dyDescent="0.3">
      <c r="A11" s="16" t="s">
        <v>665</v>
      </c>
      <c r="D11" s="14" t="s">
        <v>650</v>
      </c>
      <c r="E11" s="2">
        <v>11003.7672</v>
      </c>
      <c r="F11" s="2">
        <v>24447.95865</v>
      </c>
      <c r="G11" s="2">
        <v>17731.623</v>
      </c>
      <c r="H11" s="2">
        <v>667.74</v>
      </c>
      <c r="I11" s="2">
        <v>3823.6151599999998</v>
      </c>
      <c r="J11" s="2">
        <v>15174.425699999998</v>
      </c>
      <c r="K11" s="2">
        <v>16061.972879999999</v>
      </c>
      <c r="M11" s="2">
        <v>3115.3609199999996</v>
      </c>
      <c r="N11" s="2">
        <v>66852.128960000002</v>
      </c>
      <c r="O11" s="2">
        <v>15860.782080000001</v>
      </c>
      <c r="P11" s="2">
        <v>47962.717579999997</v>
      </c>
      <c r="R11" s="2">
        <v>52609.065839999996</v>
      </c>
      <c r="S11" s="2">
        <v>47047.517999999996</v>
      </c>
      <c r="T11" s="2">
        <v>27763.018220000002</v>
      </c>
      <c r="U11" s="2">
        <v>17867.219160000001</v>
      </c>
      <c r="V11" s="2">
        <v>3799.8031499999997</v>
      </c>
      <c r="W11" s="2">
        <v>181608.69623999999</v>
      </c>
      <c r="Y11" s="2">
        <v>70602.927789999987</v>
      </c>
      <c r="Z11" s="2">
        <v>4866.3287999999993</v>
      </c>
      <c r="AA11" s="2">
        <v>13669.81</v>
      </c>
      <c r="AB11" s="2">
        <v>10946.711730000001</v>
      </c>
      <c r="AC11" s="2">
        <v>13108.78584</v>
      </c>
      <c r="AD11" s="2">
        <v>4569.8508000000002</v>
      </c>
      <c r="AF11" s="2">
        <v>123535.74428</v>
      </c>
      <c r="AG11" s="2">
        <v>38264.510399999999</v>
      </c>
      <c r="AH11" s="2">
        <v>51457.539999999994</v>
      </c>
      <c r="AI11" s="2">
        <v>1030.7574</v>
      </c>
      <c r="AJ11" s="2">
        <v>52863.98113</v>
      </c>
      <c r="AK11" s="2">
        <v>9050.5052999999989</v>
      </c>
      <c r="AL11" s="2">
        <v>947364.86621000001</v>
      </c>
    </row>
    <row r="12" spans="1:38" x14ac:dyDescent="0.3">
      <c r="A12" s="16" t="s">
        <v>663</v>
      </c>
      <c r="D12" s="14" t="s">
        <v>651</v>
      </c>
      <c r="E12" s="2">
        <v>32280.32474</v>
      </c>
      <c r="F12" s="2">
        <v>48850.80702</v>
      </c>
      <c r="G12" s="2">
        <v>40139.874619999995</v>
      </c>
      <c r="H12" s="2">
        <v>24833.097520000003</v>
      </c>
      <c r="J12" s="2">
        <v>49501.660319999995</v>
      </c>
      <c r="K12" s="2">
        <v>27158.894079999998</v>
      </c>
      <c r="L12" s="2">
        <v>12967.958640000001</v>
      </c>
      <c r="M12" s="2">
        <v>4737.2198399999997</v>
      </c>
      <c r="O12" s="2">
        <v>23687.576009999997</v>
      </c>
      <c r="P12" s="2">
        <v>685.06776000000002</v>
      </c>
      <c r="S12" s="2">
        <v>112088.8161</v>
      </c>
      <c r="U12" s="2">
        <v>119970.84924</v>
      </c>
      <c r="V12" s="2">
        <v>7135.57</v>
      </c>
      <c r="W12" s="2">
        <v>15009.056700000001</v>
      </c>
      <c r="X12" s="2">
        <v>55110.619960000004</v>
      </c>
      <c r="Z12" s="2">
        <v>28041.02492</v>
      </c>
      <c r="AA12" s="2">
        <v>52727.976460000005</v>
      </c>
      <c r="AB12" s="2">
        <v>43539.233140000004</v>
      </c>
      <c r="AC12" s="2">
        <v>68626.652039999986</v>
      </c>
      <c r="AD12" s="2">
        <v>1010.3759200000001</v>
      </c>
      <c r="AG12" s="2">
        <v>10786.32144</v>
      </c>
      <c r="AH12" s="2">
        <v>100069.71683999999</v>
      </c>
      <c r="AJ12" s="2">
        <v>2879.9836</v>
      </c>
      <c r="AL12" s="2">
        <v>881838.67691000015</v>
      </c>
    </row>
    <row r="13" spans="1:38" x14ac:dyDescent="0.3">
      <c r="A13" s="15" t="s">
        <v>661</v>
      </c>
      <c r="D13" s="14" t="s">
        <v>661</v>
      </c>
      <c r="F13" s="2">
        <v>20171.63305</v>
      </c>
      <c r="G13" s="2">
        <v>1886.9915999999998</v>
      </c>
      <c r="H13" s="2">
        <v>58520.369640000004</v>
      </c>
      <c r="I13" s="2">
        <v>27331.829999999998</v>
      </c>
      <c r="K13" s="2">
        <v>79406.784939999983</v>
      </c>
      <c r="M13" s="2">
        <v>86597.081299999991</v>
      </c>
      <c r="P13" s="2">
        <v>3116.21</v>
      </c>
      <c r="Q13" s="2">
        <v>54214.972159999998</v>
      </c>
      <c r="R13" s="2">
        <v>6576.298960000001</v>
      </c>
      <c r="S13" s="2">
        <v>78566.392940000005</v>
      </c>
      <c r="U13" s="2">
        <v>76636.156479999991</v>
      </c>
      <c r="W13" s="2">
        <v>39907.476419999999</v>
      </c>
      <c r="X13" s="2">
        <v>88311.186580000009</v>
      </c>
      <c r="Y13" s="2">
        <v>29618.551199999998</v>
      </c>
      <c r="Z13" s="2">
        <v>4826.5396199999996</v>
      </c>
      <c r="AA13" s="2">
        <v>5565.3272500000003</v>
      </c>
      <c r="AB13" s="2">
        <v>15476.94406</v>
      </c>
      <c r="AC13" s="2">
        <v>14032.850879999998</v>
      </c>
      <c r="AD13" s="2">
        <v>31556.187599999997</v>
      </c>
      <c r="AE13" s="2">
        <v>12954.358080000002</v>
      </c>
      <c r="AG13" s="2">
        <v>434.45248000000004</v>
      </c>
      <c r="AH13" s="2">
        <v>18061.204320000004</v>
      </c>
      <c r="AJ13" s="2">
        <v>12972.00222</v>
      </c>
      <c r="AK13" s="2">
        <v>13185.543</v>
      </c>
      <c r="AL13" s="2">
        <v>779927.34478000004</v>
      </c>
    </row>
    <row r="14" spans="1:38" x14ac:dyDescent="0.3">
      <c r="A14" s="16" t="s">
        <v>695</v>
      </c>
      <c r="D14" s="14" t="s">
        <v>658</v>
      </c>
      <c r="E14" s="2">
        <v>66551.125379999983</v>
      </c>
      <c r="F14" s="2">
        <v>20646.6109</v>
      </c>
      <c r="G14" s="2">
        <v>96832.738060000003</v>
      </c>
      <c r="H14" s="2">
        <v>31801.900559999998</v>
      </c>
      <c r="I14" s="2">
        <v>23687.524440000001</v>
      </c>
      <c r="J14" s="2">
        <v>853.32276999999988</v>
      </c>
      <c r="L14" s="2">
        <v>61319.075339999996</v>
      </c>
      <c r="M14" s="2">
        <v>4132.0325200000007</v>
      </c>
      <c r="O14" s="2">
        <v>35720.318400000004</v>
      </c>
      <c r="P14" s="2">
        <v>27965.366600000001</v>
      </c>
      <c r="Q14" s="2">
        <v>27424.450400000002</v>
      </c>
      <c r="R14" s="2">
        <v>11332.142999999998</v>
      </c>
      <c r="S14" s="2">
        <v>48616.566040000005</v>
      </c>
      <c r="U14" s="2">
        <v>62736.308879999997</v>
      </c>
      <c r="V14" s="2">
        <v>29905.537640000002</v>
      </c>
      <c r="W14" s="2">
        <v>65319.420119999995</v>
      </c>
      <c r="X14" s="2">
        <v>52414.751029999999</v>
      </c>
      <c r="Y14" s="2">
        <v>16013.681599999998</v>
      </c>
      <c r="Z14" s="2">
        <v>33938.142760000002</v>
      </c>
      <c r="AA14" s="2">
        <v>21062.61248</v>
      </c>
      <c r="AB14" s="2">
        <v>19800.88896</v>
      </c>
      <c r="AC14" s="2">
        <v>114279.15346</v>
      </c>
      <c r="AD14" s="2">
        <v>39263.702919999996</v>
      </c>
      <c r="AE14" s="2">
        <v>5610.0923999999995</v>
      </c>
      <c r="AF14" s="2">
        <v>44605.988639999996</v>
      </c>
      <c r="AG14" s="2">
        <v>26003.218060000003</v>
      </c>
      <c r="AH14" s="2">
        <v>91431.437760000001</v>
      </c>
      <c r="AJ14" s="2">
        <v>25249.613219999999</v>
      </c>
      <c r="AK14" s="2">
        <v>8764.4065599999994</v>
      </c>
      <c r="AL14" s="2">
        <v>1113282.1309</v>
      </c>
    </row>
    <row r="15" spans="1:38" x14ac:dyDescent="0.3">
      <c r="A15" s="16" t="s">
        <v>687</v>
      </c>
      <c r="D15" s="14" t="s">
        <v>660</v>
      </c>
      <c r="E15" s="2">
        <v>11375.257759999999</v>
      </c>
      <c r="G15" s="2">
        <v>38240.697249999997</v>
      </c>
      <c r="H15" s="2">
        <v>25299.040000000001</v>
      </c>
      <c r="I15" s="2">
        <v>97443.477979999996</v>
      </c>
      <c r="J15" s="2">
        <v>27401.727929999997</v>
      </c>
      <c r="L15" s="2">
        <v>12031.491680000001</v>
      </c>
      <c r="M15" s="2">
        <v>68738.647320000004</v>
      </c>
      <c r="N15" s="2">
        <v>52311.007679999995</v>
      </c>
      <c r="O15" s="2">
        <v>9984.7160999999978</v>
      </c>
      <c r="P15" s="2">
        <v>31035.217859999997</v>
      </c>
      <c r="Q15" s="2">
        <v>18566.16</v>
      </c>
      <c r="R15" s="2">
        <v>4654.7743</v>
      </c>
      <c r="S15" s="2">
        <v>32086.37586</v>
      </c>
      <c r="T15" s="2">
        <v>25483.91488</v>
      </c>
      <c r="V15" s="2">
        <v>71887.464219999994</v>
      </c>
      <c r="Z15" s="2">
        <v>108770.27859</v>
      </c>
      <c r="AB15" s="2">
        <v>27431.638109999996</v>
      </c>
      <c r="AC15" s="2">
        <v>53872.641179999999</v>
      </c>
      <c r="AD15" s="2">
        <v>3644.3212800000006</v>
      </c>
      <c r="AG15" s="2">
        <v>5533.6230000000005</v>
      </c>
      <c r="AH15" s="2">
        <v>16023.123</v>
      </c>
      <c r="AI15" s="2">
        <v>14692.623000000001</v>
      </c>
      <c r="AJ15" s="2">
        <v>12186.368600000002</v>
      </c>
      <c r="AL15" s="2">
        <v>768694.58758000005</v>
      </c>
    </row>
    <row r="16" spans="1:38" x14ac:dyDescent="0.3">
      <c r="A16" s="16" t="s">
        <v>682</v>
      </c>
      <c r="D16" s="14" t="s">
        <v>1373</v>
      </c>
      <c r="E16" s="2">
        <v>371604.58274000004</v>
      </c>
      <c r="F16" s="2">
        <v>239506.82714000001</v>
      </c>
      <c r="G16" s="2">
        <v>336135.16749999998</v>
      </c>
      <c r="H16" s="2">
        <v>339044.67038999998</v>
      </c>
      <c r="I16" s="2">
        <v>384156.19038000004</v>
      </c>
      <c r="J16" s="2">
        <v>366808.72250000003</v>
      </c>
      <c r="K16" s="2">
        <v>382101.36679999996</v>
      </c>
      <c r="L16" s="2">
        <v>354378.93715999997</v>
      </c>
      <c r="M16" s="2">
        <v>433788.64049000002</v>
      </c>
      <c r="N16" s="2">
        <v>307793.71461999998</v>
      </c>
      <c r="O16" s="2">
        <v>221608.49786999999</v>
      </c>
      <c r="P16" s="2">
        <v>151883.44940000001</v>
      </c>
      <c r="Q16" s="2">
        <v>299100.37307999999</v>
      </c>
      <c r="R16" s="2">
        <v>223498.20032</v>
      </c>
      <c r="S16" s="2">
        <v>560860.55603999994</v>
      </c>
      <c r="T16" s="2">
        <v>275628.61963000003</v>
      </c>
      <c r="U16" s="2">
        <v>486970.83348000003</v>
      </c>
      <c r="V16" s="2">
        <v>236474.06156999999</v>
      </c>
      <c r="W16" s="2">
        <v>634490.72337999998</v>
      </c>
      <c r="X16" s="2">
        <v>382009.37596000003</v>
      </c>
      <c r="Y16" s="2">
        <v>215576.67437999998</v>
      </c>
      <c r="Z16" s="2">
        <v>374300.10980999999</v>
      </c>
      <c r="AA16" s="2">
        <v>209425.98854000002</v>
      </c>
      <c r="AB16" s="2">
        <v>470192.17182000005</v>
      </c>
      <c r="AC16" s="2">
        <v>416985.76566999994</v>
      </c>
      <c r="AD16" s="2">
        <v>375723.96025999996</v>
      </c>
      <c r="AE16" s="2">
        <v>127009.5058</v>
      </c>
      <c r="AF16" s="2">
        <v>416944.18554999999</v>
      </c>
      <c r="AG16" s="2">
        <v>246114.84045000002</v>
      </c>
      <c r="AH16" s="2">
        <v>417732.48301000008</v>
      </c>
      <c r="AI16" s="2">
        <v>141266.51419000002</v>
      </c>
      <c r="AJ16" s="2">
        <v>347613.18766999996</v>
      </c>
      <c r="AK16" s="2">
        <v>172279.72760000001</v>
      </c>
      <c r="AL16" s="2">
        <v>10919008.6252</v>
      </c>
    </row>
    <row r="17" spans="1:34" x14ac:dyDescent="0.3">
      <c r="A17" s="14" t="s">
        <v>648</v>
      </c>
    </row>
    <row r="18" spans="1:34" ht="15.6" x14ac:dyDescent="0.3">
      <c r="A18" s="15" t="s">
        <v>655</v>
      </c>
      <c r="AD18" s="81" t="s">
        <v>1445</v>
      </c>
      <c r="AE18" s="82"/>
      <c r="AF18" s="82"/>
      <c r="AG18" s="82"/>
    </row>
    <row r="19" spans="1:34" x14ac:dyDescent="0.3">
      <c r="A19" s="16" t="s">
        <v>672</v>
      </c>
      <c r="AD19" s="13" t="s">
        <v>1372</v>
      </c>
      <c r="AE19" s="2" t="s">
        <v>1429</v>
      </c>
      <c r="AF19" s="2" t="s">
        <v>1444</v>
      </c>
      <c r="AG19" s="2" t="s">
        <v>1412</v>
      </c>
      <c r="AH19"/>
    </row>
    <row r="20" spans="1:34" x14ac:dyDescent="0.3">
      <c r="A20" s="16" t="s">
        <v>692</v>
      </c>
      <c r="AD20" s="14" t="s">
        <v>720</v>
      </c>
      <c r="AE20" s="83">
        <v>46</v>
      </c>
      <c r="AF20" s="83">
        <v>6135.5276897826088</v>
      </c>
      <c r="AG20" s="83">
        <v>877449.32372999971</v>
      </c>
      <c r="AH20"/>
    </row>
    <row r="21" spans="1:34" x14ac:dyDescent="0.3">
      <c r="A21" s="16" t="s">
        <v>670</v>
      </c>
      <c r="AD21" s="14" t="s">
        <v>717</v>
      </c>
      <c r="AE21" s="83">
        <v>47</v>
      </c>
      <c r="AF21" s="83">
        <v>6824.7485765957435</v>
      </c>
      <c r="AG21" s="83">
        <v>866976.37309999997</v>
      </c>
      <c r="AH21"/>
    </row>
    <row r="22" spans="1:34" x14ac:dyDescent="0.3">
      <c r="A22" s="15" t="s">
        <v>653</v>
      </c>
      <c r="AD22" s="14" t="s">
        <v>712</v>
      </c>
      <c r="AE22" s="83">
        <v>37</v>
      </c>
      <c r="AF22" s="83">
        <v>6225.9330970270266</v>
      </c>
      <c r="AG22" s="83">
        <v>689776.36459000001</v>
      </c>
      <c r="AH22"/>
    </row>
    <row r="23" spans="1:34" x14ac:dyDescent="0.3">
      <c r="A23" s="16" t="s">
        <v>681</v>
      </c>
      <c r="AD23" s="14" t="s">
        <v>726</v>
      </c>
      <c r="AE23" s="83">
        <v>38</v>
      </c>
      <c r="AF23" s="83">
        <v>3975.7087081578961</v>
      </c>
      <c r="AG23" s="83">
        <v>576820.19091</v>
      </c>
      <c r="AH23"/>
    </row>
    <row r="24" spans="1:34" x14ac:dyDescent="0.3">
      <c r="A24" s="16" t="s">
        <v>1364</v>
      </c>
      <c r="AD24" s="14" t="s">
        <v>718</v>
      </c>
      <c r="AE24" s="83">
        <v>34</v>
      </c>
      <c r="AF24" s="83">
        <v>6028.8629567647076</v>
      </c>
      <c r="AG24" s="83">
        <v>543846.44053000002</v>
      </c>
      <c r="AH24"/>
    </row>
    <row r="25" spans="1:34" x14ac:dyDescent="0.3">
      <c r="A25" s="16" t="s">
        <v>667</v>
      </c>
      <c r="AD25" s="14" t="s">
        <v>721</v>
      </c>
      <c r="AE25" s="83">
        <v>51</v>
      </c>
      <c r="AF25" s="83">
        <v>4935.9414180392168</v>
      </c>
      <c r="AG25" s="83">
        <v>812637.17231999978</v>
      </c>
      <c r="AH25"/>
    </row>
    <row r="26" spans="1:34" x14ac:dyDescent="0.3">
      <c r="A26" s="16" t="s">
        <v>688</v>
      </c>
      <c r="AD26" s="14" t="s">
        <v>715</v>
      </c>
      <c r="AE26" s="83">
        <v>30</v>
      </c>
      <c r="AF26" s="83">
        <v>5748.0624350000016</v>
      </c>
      <c r="AG26" s="83">
        <v>510653.71305000014</v>
      </c>
      <c r="AH26"/>
    </row>
    <row r="27" spans="1:34" x14ac:dyDescent="0.3">
      <c r="A27" s="15" t="s">
        <v>660</v>
      </c>
      <c r="AD27" s="14" t="s">
        <v>722</v>
      </c>
      <c r="AE27" s="83">
        <v>45</v>
      </c>
      <c r="AF27" s="83">
        <v>3070.0624513333328</v>
      </c>
      <c r="AG27" s="83">
        <v>698700.30031000008</v>
      </c>
      <c r="AH27"/>
    </row>
    <row r="28" spans="1:34" x14ac:dyDescent="0.3">
      <c r="A28" s="16" t="s">
        <v>697</v>
      </c>
      <c r="AD28" s="14" t="s">
        <v>714</v>
      </c>
      <c r="AE28" s="83">
        <v>38</v>
      </c>
      <c r="AF28" s="83">
        <v>3684.7813636842097</v>
      </c>
      <c r="AG28" s="83">
        <v>541165.67181999993</v>
      </c>
      <c r="AH28"/>
    </row>
    <row r="29" spans="1:34" x14ac:dyDescent="0.3">
      <c r="A29" s="16" t="s">
        <v>677</v>
      </c>
      <c r="AD29" s="14" t="s">
        <v>713</v>
      </c>
      <c r="AE29" s="83">
        <v>50</v>
      </c>
      <c r="AF29" s="83">
        <v>5462.2622455999999</v>
      </c>
      <c r="AG29" s="83">
        <v>802384.6622799997</v>
      </c>
      <c r="AH29"/>
    </row>
    <row r="30" spans="1:34" x14ac:dyDescent="0.3">
      <c r="A30" s="16" t="s">
        <v>700</v>
      </c>
      <c r="AD30" s="14" t="s">
        <v>723</v>
      </c>
      <c r="AE30" s="83">
        <v>44</v>
      </c>
      <c r="AF30" s="83">
        <v>6335.5061218181809</v>
      </c>
      <c r="AG30" s="83">
        <v>883348.1293599999</v>
      </c>
      <c r="AH30"/>
    </row>
    <row r="31" spans="1:34" x14ac:dyDescent="0.3">
      <c r="A31" s="16" t="s">
        <v>686</v>
      </c>
      <c r="AD31" s="14" t="s">
        <v>716</v>
      </c>
      <c r="AE31" s="83">
        <v>46</v>
      </c>
      <c r="AF31" s="83">
        <v>5872.9289358695669</v>
      </c>
      <c r="AG31" s="83">
        <v>853476.70104999992</v>
      </c>
      <c r="AH31"/>
    </row>
    <row r="32" spans="1:34" x14ac:dyDescent="0.3">
      <c r="A32" s="14" t="s">
        <v>647</v>
      </c>
      <c r="AD32" s="14" t="s">
        <v>724</v>
      </c>
      <c r="AE32" s="83">
        <v>48</v>
      </c>
      <c r="AF32" s="83">
        <v>6521.974315624997</v>
      </c>
      <c r="AG32" s="83">
        <v>976696.69714999956</v>
      </c>
      <c r="AH32"/>
    </row>
    <row r="33" spans="1:34" x14ac:dyDescent="0.3">
      <c r="A33" s="15" t="s">
        <v>659</v>
      </c>
      <c r="AD33" s="14" t="s">
        <v>725</v>
      </c>
      <c r="AE33" s="83">
        <v>32</v>
      </c>
      <c r="AF33" s="83">
        <v>3457.7017684375</v>
      </c>
      <c r="AG33" s="83">
        <v>388325.13659000001</v>
      </c>
      <c r="AH33"/>
    </row>
    <row r="34" spans="1:34" x14ac:dyDescent="0.3">
      <c r="A34" s="16" t="s">
        <v>699</v>
      </c>
      <c r="AD34" s="14" t="s">
        <v>719</v>
      </c>
      <c r="AE34" s="83">
        <v>37</v>
      </c>
      <c r="AF34" s="83">
        <v>5005.9307281081092</v>
      </c>
      <c r="AG34" s="83">
        <v>647724.89694000001</v>
      </c>
      <c r="AH34"/>
    </row>
    <row r="35" spans="1:34" x14ac:dyDescent="0.3">
      <c r="A35" s="16" t="s">
        <v>685</v>
      </c>
      <c r="AD35" s="14" t="s">
        <v>1438</v>
      </c>
      <c r="AE35" s="83">
        <v>8</v>
      </c>
      <c r="AF35" s="83">
        <v>12512.250183749997</v>
      </c>
      <c r="AG35" s="83">
        <v>249026.85146999999</v>
      </c>
      <c r="AH35"/>
    </row>
    <row r="36" spans="1:34" x14ac:dyDescent="0.3">
      <c r="A36" s="16" t="s">
        <v>676</v>
      </c>
      <c r="AD36" s="14" t="s">
        <v>1373</v>
      </c>
      <c r="AE36" s="83">
        <v>631</v>
      </c>
      <c r="AF36" s="83">
        <v>5424.4269654516611</v>
      </c>
      <c r="AG36" s="83">
        <v>10919008.625199985</v>
      </c>
      <c r="AH36"/>
    </row>
    <row r="37" spans="1:34" x14ac:dyDescent="0.3">
      <c r="A37" s="15" t="s">
        <v>654</v>
      </c>
    </row>
    <row r="38" spans="1:34" x14ac:dyDescent="0.3">
      <c r="A38" s="16" t="s">
        <v>668</v>
      </c>
    </row>
    <row r="39" spans="1:34" x14ac:dyDescent="0.3">
      <c r="A39" s="16" t="s">
        <v>680</v>
      </c>
    </row>
    <row r="40" spans="1:34" x14ac:dyDescent="0.3">
      <c r="A40" s="16" t="s">
        <v>696</v>
      </c>
    </row>
    <row r="41" spans="1:34" x14ac:dyDescent="0.3">
      <c r="A41" s="16" t="s">
        <v>691</v>
      </c>
    </row>
    <row r="42" spans="1:34" x14ac:dyDescent="0.3">
      <c r="A42" s="15" t="s">
        <v>652</v>
      </c>
    </row>
    <row r="43" spans="1:34" x14ac:dyDescent="0.3">
      <c r="A43" s="16" t="s">
        <v>694</v>
      </c>
    </row>
    <row r="44" spans="1:34" x14ac:dyDescent="0.3">
      <c r="A44" s="16" t="s">
        <v>666</v>
      </c>
    </row>
    <row r="45" spans="1:34" x14ac:dyDescent="0.3">
      <c r="A45" s="16" t="s">
        <v>689</v>
      </c>
    </row>
    <row r="46" spans="1:34" x14ac:dyDescent="0.3">
      <c r="A46" s="14" t="s">
        <v>649</v>
      </c>
    </row>
    <row r="47" spans="1:34" x14ac:dyDescent="0.3">
      <c r="A47" s="15" t="s">
        <v>657</v>
      </c>
    </row>
    <row r="48" spans="1:34" x14ac:dyDescent="0.3">
      <c r="A48" s="16" t="s">
        <v>679</v>
      </c>
    </row>
    <row r="49" spans="1:1" x14ac:dyDescent="0.3">
      <c r="A49" s="16" t="s">
        <v>673</v>
      </c>
    </row>
    <row r="50" spans="1:1" x14ac:dyDescent="0.3">
      <c r="A50" s="16" t="s">
        <v>690</v>
      </c>
    </row>
    <row r="51" spans="1:1" x14ac:dyDescent="0.3">
      <c r="A51" s="15" t="s">
        <v>656</v>
      </c>
    </row>
    <row r="52" spans="1:1" x14ac:dyDescent="0.3">
      <c r="A52" s="16" t="s">
        <v>671</v>
      </c>
    </row>
    <row r="53" spans="1:1" x14ac:dyDescent="0.3">
      <c r="A53" s="16" t="s">
        <v>698</v>
      </c>
    </row>
    <row r="54" spans="1:1" x14ac:dyDescent="0.3">
      <c r="A54" s="16" t="s">
        <v>684</v>
      </c>
    </row>
    <row r="55" spans="1:1" x14ac:dyDescent="0.3">
      <c r="A55" s="15" t="s">
        <v>658</v>
      </c>
    </row>
    <row r="56" spans="1:1" x14ac:dyDescent="0.3">
      <c r="A56" s="16" t="s">
        <v>674</v>
      </c>
    </row>
    <row r="57" spans="1:1" x14ac:dyDescent="0.3">
      <c r="A57" s="16" t="s">
        <v>683</v>
      </c>
    </row>
    <row r="58" spans="1:1" x14ac:dyDescent="0.3">
      <c r="A58" s="16" t="s">
        <v>693</v>
      </c>
    </row>
    <row r="59" spans="1:1" x14ac:dyDescent="0.3">
      <c r="A59" s="16" t="s">
        <v>1374</v>
      </c>
    </row>
    <row r="60" spans="1:1" x14ac:dyDescent="0.3">
      <c r="A60" s="14" t="s">
        <v>1373</v>
      </c>
    </row>
    <row r="61" spans="1:1" x14ac:dyDescent="0.3">
      <c r="A61"/>
    </row>
    <row r="70" spans="1:2" x14ac:dyDescent="0.3">
      <c r="A70" s="56" t="s">
        <v>1498</v>
      </c>
      <c r="B70" s="56"/>
    </row>
    <row r="71" spans="1:2" x14ac:dyDescent="0.3">
      <c r="A71" s="13" t="s">
        <v>1372</v>
      </c>
      <c r="B71" s="2" t="s">
        <v>1412</v>
      </c>
    </row>
    <row r="72" spans="1:2" x14ac:dyDescent="0.3">
      <c r="A72" s="14" t="s">
        <v>733</v>
      </c>
      <c r="B72" s="2">
        <v>1315287.3379200003</v>
      </c>
    </row>
    <row r="73" spans="1:2" x14ac:dyDescent="0.3">
      <c r="A73" s="15" t="s">
        <v>1080</v>
      </c>
      <c r="B73" s="2">
        <v>79082.507010000001</v>
      </c>
    </row>
    <row r="74" spans="1:2" x14ac:dyDescent="0.3">
      <c r="A74" s="15" t="s">
        <v>1053</v>
      </c>
      <c r="B74" s="2">
        <v>53034.364139999991</v>
      </c>
    </row>
    <row r="75" spans="1:2" x14ac:dyDescent="0.3">
      <c r="A75" s="15" t="s">
        <v>1288</v>
      </c>
      <c r="B75" s="2">
        <v>46450.26</v>
      </c>
    </row>
    <row r="76" spans="1:2" x14ac:dyDescent="0.3">
      <c r="A76" s="15" t="s">
        <v>1040</v>
      </c>
      <c r="B76" s="2">
        <v>43084.872000000003</v>
      </c>
    </row>
    <row r="77" spans="1:2" x14ac:dyDescent="0.3">
      <c r="A77" s="15" t="s">
        <v>752</v>
      </c>
      <c r="B77" s="2">
        <v>38096.18406</v>
      </c>
    </row>
    <row r="78" spans="1:2" x14ac:dyDescent="0.3">
      <c r="A78" s="15" t="s">
        <v>810</v>
      </c>
      <c r="B78" s="2">
        <v>35396.277799999996</v>
      </c>
    </row>
    <row r="79" spans="1:2" x14ac:dyDescent="0.3">
      <c r="A79" s="15" t="s">
        <v>1094</v>
      </c>
      <c r="B79" s="2">
        <v>35167.7448</v>
      </c>
    </row>
    <row r="80" spans="1:2" x14ac:dyDescent="0.3">
      <c r="A80" s="15" t="s">
        <v>831</v>
      </c>
      <c r="B80" s="2">
        <v>34139.159999999996</v>
      </c>
    </row>
    <row r="81" spans="1:2" x14ac:dyDescent="0.3">
      <c r="A81" s="15" t="s">
        <v>811</v>
      </c>
      <c r="B81" s="2">
        <v>33062.236480000007</v>
      </c>
    </row>
    <row r="82" spans="1:2" x14ac:dyDescent="0.3">
      <c r="A82" s="15" t="s">
        <v>876</v>
      </c>
      <c r="B82" s="2">
        <v>32086.37586</v>
      </c>
    </row>
    <row r="83" spans="1:2" x14ac:dyDescent="0.3">
      <c r="A83" s="15" t="s">
        <v>1175</v>
      </c>
      <c r="B83" s="2">
        <v>31513.085009999999</v>
      </c>
    </row>
    <row r="84" spans="1:2" x14ac:dyDescent="0.3">
      <c r="A84" s="15" t="s">
        <v>941</v>
      </c>
      <c r="B84" s="2">
        <v>28386.015839999996</v>
      </c>
    </row>
    <row r="85" spans="1:2" x14ac:dyDescent="0.3">
      <c r="A85" s="15" t="s">
        <v>1074</v>
      </c>
      <c r="B85" s="2">
        <v>27465.647999999997</v>
      </c>
    </row>
    <row r="86" spans="1:2" x14ac:dyDescent="0.3">
      <c r="A86" s="15" t="s">
        <v>1022</v>
      </c>
      <c r="B86" s="2">
        <v>26765.040239999998</v>
      </c>
    </row>
    <row r="87" spans="1:2" x14ac:dyDescent="0.3">
      <c r="A87" s="15" t="s">
        <v>1086</v>
      </c>
      <c r="B87" s="2">
        <v>26552.60298</v>
      </c>
    </row>
    <row r="88" spans="1:2" x14ac:dyDescent="0.3">
      <c r="A88" s="15" t="s">
        <v>1171</v>
      </c>
      <c r="B88" s="2">
        <v>24278.849280000002</v>
      </c>
    </row>
    <row r="89" spans="1:2" x14ac:dyDescent="0.3">
      <c r="A89" s="15" t="s">
        <v>1142</v>
      </c>
      <c r="B89" s="2">
        <v>23668.560000000001</v>
      </c>
    </row>
    <row r="90" spans="1:2" x14ac:dyDescent="0.3">
      <c r="A90" s="15" t="s">
        <v>1026</v>
      </c>
      <c r="B90" s="2">
        <v>23375.594060000003</v>
      </c>
    </row>
    <row r="91" spans="1:2" x14ac:dyDescent="0.3">
      <c r="A91" s="15" t="s">
        <v>1089</v>
      </c>
      <c r="B91" s="2">
        <v>23195.01828</v>
      </c>
    </row>
    <row r="92" spans="1:2" x14ac:dyDescent="0.3">
      <c r="A92" s="15" t="s">
        <v>1212</v>
      </c>
      <c r="B92" s="2">
        <v>22620.859800000002</v>
      </c>
    </row>
    <row r="93" spans="1:2" x14ac:dyDescent="0.3">
      <c r="A93" s="15" t="s">
        <v>1255</v>
      </c>
      <c r="B93" s="2">
        <v>22526.66</v>
      </c>
    </row>
    <row r="94" spans="1:2" x14ac:dyDescent="0.3">
      <c r="A94" s="15" t="s">
        <v>1270</v>
      </c>
      <c r="B94" s="2">
        <v>20430.771599999996</v>
      </c>
    </row>
    <row r="95" spans="1:2" x14ac:dyDescent="0.3">
      <c r="A95" s="15" t="s">
        <v>1285</v>
      </c>
      <c r="B95" s="2">
        <v>20163.409200000002</v>
      </c>
    </row>
    <row r="96" spans="1:2" x14ac:dyDescent="0.3">
      <c r="A96" s="15" t="s">
        <v>827</v>
      </c>
      <c r="B96" s="2">
        <v>20079.343620000003</v>
      </c>
    </row>
    <row r="97" spans="1:2" x14ac:dyDescent="0.3">
      <c r="A97" s="15" t="s">
        <v>1184</v>
      </c>
      <c r="B97" s="2">
        <v>19628.476999999999</v>
      </c>
    </row>
    <row r="98" spans="1:2" x14ac:dyDescent="0.3">
      <c r="A98" s="15" t="s">
        <v>1024</v>
      </c>
      <c r="B98" s="2">
        <v>19066.045319999997</v>
      </c>
    </row>
    <row r="99" spans="1:2" x14ac:dyDescent="0.3">
      <c r="A99" s="15" t="s">
        <v>995</v>
      </c>
      <c r="B99" s="2">
        <v>17964.4038</v>
      </c>
    </row>
    <row r="100" spans="1:2" x14ac:dyDescent="0.3">
      <c r="A100" s="15" t="s">
        <v>943</v>
      </c>
      <c r="B100" s="2">
        <v>17847.907199999998</v>
      </c>
    </row>
    <row r="101" spans="1:2" x14ac:dyDescent="0.3">
      <c r="A101" s="15" t="s">
        <v>800</v>
      </c>
      <c r="B101" s="2">
        <v>16013.681599999998</v>
      </c>
    </row>
    <row r="102" spans="1:2" x14ac:dyDescent="0.3">
      <c r="A102" s="15" t="s">
        <v>744</v>
      </c>
      <c r="B102" s="2">
        <v>16006.14344</v>
      </c>
    </row>
    <row r="103" spans="1:2" x14ac:dyDescent="0.3">
      <c r="A103" s="15" t="s">
        <v>1286</v>
      </c>
      <c r="B103" s="2">
        <v>15860.782080000001</v>
      </c>
    </row>
    <row r="104" spans="1:2" x14ac:dyDescent="0.3">
      <c r="A104" s="15" t="s">
        <v>1279</v>
      </c>
      <c r="B104" s="2">
        <v>15530.929919999999</v>
      </c>
    </row>
    <row r="105" spans="1:2" x14ac:dyDescent="0.3">
      <c r="A105" s="15" t="s">
        <v>784</v>
      </c>
      <c r="B105" s="2">
        <v>14894.903999999999</v>
      </c>
    </row>
    <row r="106" spans="1:2" x14ac:dyDescent="0.3">
      <c r="A106" s="15" t="s">
        <v>1188</v>
      </c>
      <c r="B106" s="2">
        <v>14752.706080000002</v>
      </c>
    </row>
    <row r="107" spans="1:2" x14ac:dyDescent="0.3">
      <c r="A107" s="15" t="s">
        <v>904</v>
      </c>
      <c r="B107" s="2">
        <v>14549.029120000001</v>
      </c>
    </row>
    <row r="108" spans="1:2" x14ac:dyDescent="0.3">
      <c r="A108" s="15" t="s">
        <v>1128</v>
      </c>
      <c r="B108" s="2">
        <v>14431.738420000001</v>
      </c>
    </row>
    <row r="109" spans="1:2" x14ac:dyDescent="0.3">
      <c r="A109" s="15" t="s">
        <v>1338</v>
      </c>
      <c r="B109" s="2">
        <v>13856.52411</v>
      </c>
    </row>
    <row r="110" spans="1:2" x14ac:dyDescent="0.3">
      <c r="A110" s="15" t="s">
        <v>881</v>
      </c>
      <c r="B110" s="2">
        <v>13321.14</v>
      </c>
    </row>
    <row r="111" spans="1:2" x14ac:dyDescent="0.3">
      <c r="A111" s="15" t="s">
        <v>1291</v>
      </c>
      <c r="B111" s="2">
        <v>13108.78584</v>
      </c>
    </row>
    <row r="112" spans="1:2" x14ac:dyDescent="0.3">
      <c r="A112" s="15" t="s">
        <v>1033</v>
      </c>
      <c r="B112" s="2">
        <v>12699.28</v>
      </c>
    </row>
    <row r="113" spans="1:2" x14ac:dyDescent="0.3">
      <c r="A113" s="15" t="s">
        <v>1321</v>
      </c>
      <c r="B113" s="2">
        <v>12040.64352</v>
      </c>
    </row>
    <row r="114" spans="1:2" x14ac:dyDescent="0.3">
      <c r="A114" s="15" t="s">
        <v>1227</v>
      </c>
      <c r="B114" s="2">
        <v>11859.695119999998</v>
      </c>
    </row>
    <row r="115" spans="1:2" x14ac:dyDescent="0.3">
      <c r="A115" s="15" t="s">
        <v>1046</v>
      </c>
      <c r="B115" s="2">
        <v>11283.400799999999</v>
      </c>
    </row>
    <row r="116" spans="1:2" x14ac:dyDescent="0.3">
      <c r="A116" s="15" t="s">
        <v>888</v>
      </c>
      <c r="B116" s="2">
        <v>11015.510400000003</v>
      </c>
    </row>
    <row r="117" spans="1:2" x14ac:dyDescent="0.3">
      <c r="A117" s="15" t="s">
        <v>756</v>
      </c>
      <c r="B117" s="2">
        <v>10936.992</v>
      </c>
    </row>
    <row r="118" spans="1:2" x14ac:dyDescent="0.3">
      <c r="A118" s="15" t="s">
        <v>1149</v>
      </c>
      <c r="B118" s="2">
        <v>10893.6232</v>
      </c>
    </row>
    <row r="119" spans="1:2" x14ac:dyDescent="0.3">
      <c r="A119" s="15" t="s">
        <v>1355</v>
      </c>
      <c r="B119" s="2">
        <v>10693.88488</v>
      </c>
    </row>
    <row r="120" spans="1:2" x14ac:dyDescent="0.3">
      <c r="A120" s="15" t="s">
        <v>804</v>
      </c>
      <c r="B120" s="2">
        <v>10647.727199999999</v>
      </c>
    </row>
    <row r="121" spans="1:2" x14ac:dyDescent="0.3">
      <c r="A121" s="15" t="s">
        <v>919</v>
      </c>
      <c r="B121" s="2">
        <v>10388.429999999998</v>
      </c>
    </row>
    <row r="122" spans="1:2" x14ac:dyDescent="0.3">
      <c r="A122" s="15" t="s">
        <v>892</v>
      </c>
      <c r="B122" s="2">
        <v>10382.65884</v>
      </c>
    </row>
    <row r="123" spans="1:2" x14ac:dyDescent="0.3">
      <c r="A123" s="15" t="s">
        <v>1059</v>
      </c>
      <c r="B123" s="2">
        <v>9829.0483199999999</v>
      </c>
    </row>
    <row r="124" spans="1:2" x14ac:dyDescent="0.3">
      <c r="A124" s="15" t="s">
        <v>1322</v>
      </c>
      <c r="B124" s="2">
        <v>9022.35</v>
      </c>
    </row>
    <row r="125" spans="1:2" x14ac:dyDescent="0.3">
      <c r="A125" s="15" t="s">
        <v>1231</v>
      </c>
      <c r="B125" s="2">
        <v>8644.6696000000011</v>
      </c>
    </row>
    <row r="126" spans="1:2" x14ac:dyDescent="0.3">
      <c r="A126" s="15" t="s">
        <v>759</v>
      </c>
      <c r="B126" s="2">
        <v>8596.2905599999995</v>
      </c>
    </row>
    <row r="127" spans="1:2" x14ac:dyDescent="0.3">
      <c r="A127" s="15" t="s">
        <v>1326</v>
      </c>
      <c r="B127" s="2">
        <v>8366.02</v>
      </c>
    </row>
    <row r="128" spans="1:2" x14ac:dyDescent="0.3">
      <c r="A128" s="15" t="s">
        <v>1150</v>
      </c>
      <c r="B128" s="2">
        <v>7969.4615000000003</v>
      </c>
    </row>
    <row r="129" spans="1:2" x14ac:dyDescent="0.3">
      <c r="A129" s="15" t="s">
        <v>948</v>
      </c>
      <c r="B129" s="2">
        <v>7854.6693599999999</v>
      </c>
    </row>
    <row r="130" spans="1:2" x14ac:dyDescent="0.3">
      <c r="A130" s="15" t="s">
        <v>916</v>
      </c>
      <c r="B130" s="2">
        <v>7689.4560000000001</v>
      </c>
    </row>
    <row r="131" spans="1:2" x14ac:dyDescent="0.3">
      <c r="A131" s="15" t="s">
        <v>748</v>
      </c>
      <c r="B131" s="2">
        <v>7578.84</v>
      </c>
    </row>
    <row r="132" spans="1:2" x14ac:dyDescent="0.3">
      <c r="A132" s="15" t="s">
        <v>993</v>
      </c>
      <c r="B132" s="2">
        <v>7568.9632000000001</v>
      </c>
    </row>
    <row r="133" spans="1:2" x14ac:dyDescent="0.3">
      <c r="A133" s="15" t="s">
        <v>1225</v>
      </c>
      <c r="B133" s="2">
        <v>7507.4514899999995</v>
      </c>
    </row>
    <row r="134" spans="1:2" x14ac:dyDescent="0.3">
      <c r="A134" s="15" t="s">
        <v>1027</v>
      </c>
      <c r="B134" s="2">
        <v>7382.1450000000004</v>
      </c>
    </row>
    <row r="135" spans="1:2" x14ac:dyDescent="0.3">
      <c r="A135" s="15" t="s">
        <v>1004</v>
      </c>
      <c r="B135" s="2">
        <v>7235.2134999999998</v>
      </c>
    </row>
    <row r="136" spans="1:2" x14ac:dyDescent="0.3">
      <c r="A136" s="15" t="s">
        <v>1066</v>
      </c>
      <c r="B136" s="2">
        <v>7105.3528000000006</v>
      </c>
    </row>
    <row r="137" spans="1:2" x14ac:dyDescent="0.3">
      <c r="A137" s="15" t="s">
        <v>1310</v>
      </c>
      <c r="B137" s="2">
        <v>6732.4334000000008</v>
      </c>
    </row>
    <row r="138" spans="1:2" x14ac:dyDescent="0.3">
      <c r="A138" s="15" t="s">
        <v>1011</v>
      </c>
      <c r="B138" s="2">
        <v>6066.54648</v>
      </c>
    </row>
    <row r="139" spans="1:2" x14ac:dyDescent="0.3">
      <c r="A139" s="15" t="s">
        <v>837</v>
      </c>
      <c r="B139" s="2">
        <v>5960.3340000000007</v>
      </c>
    </row>
    <row r="140" spans="1:2" x14ac:dyDescent="0.3">
      <c r="A140" s="15" t="s">
        <v>1067</v>
      </c>
      <c r="B140" s="2">
        <v>5610.0923999999995</v>
      </c>
    </row>
    <row r="141" spans="1:2" x14ac:dyDescent="0.3">
      <c r="A141" s="15" t="s">
        <v>961</v>
      </c>
      <c r="B141" s="2">
        <v>5533.6230000000005</v>
      </c>
    </row>
    <row r="142" spans="1:2" x14ac:dyDescent="0.3">
      <c r="A142" s="15" t="s">
        <v>791</v>
      </c>
      <c r="B142" s="2">
        <v>4790.1068000000005</v>
      </c>
    </row>
    <row r="143" spans="1:2" x14ac:dyDescent="0.3">
      <c r="A143" s="15" t="s">
        <v>1275</v>
      </c>
      <c r="B143" s="2">
        <v>4737.2198399999997</v>
      </c>
    </row>
    <row r="144" spans="1:2" x14ac:dyDescent="0.3">
      <c r="A144" s="15" t="s">
        <v>1303</v>
      </c>
      <c r="B144" s="2">
        <v>4577.1480000000001</v>
      </c>
    </row>
    <row r="145" spans="1:2" x14ac:dyDescent="0.3">
      <c r="A145" s="15" t="s">
        <v>793</v>
      </c>
      <c r="B145" s="2">
        <v>4569.8508000000002</v>
      </c>
    </row>
    <row r="146" spans="1:2" x14ac:dyDescent="0.3">
      <c r="A146" s="15" t="s">
        <v>865</v>
      </c>
      <c r="B146" s="2">
        <v>4417.8334199999999</v>
      </c>
    </row>
    <row r="147" spans="1:2" x14ac:dyDescent="0.3">
      <c r="A147" s="15" t="s">
        <v>1092</v>
      </c>
      <c r="B147" s="2">
        <v>4071.8</v>
      </c>
    </row>
    <row r="148" spans="1:2" x14ac:dyDescent="0.3">
      <c r="A148" s="15" t="s">
        <v>1072</v>
      </c>
      <c r="B148" s="2">
        <v>3021.5016000000001</v>
      </c>
    </row>
    <row r="149" spans="1:2" x14ac:dyDescent="0.3">
      <c r="A149" s="15" t="s">
        <v>1199</v>
      </c>
      <c r="B149" s="2">
        <v>2719.8567000000003</v>
      </c>
    </row>
    <row r="150" spans="1:2" x14ac:dyDescent="0.3">
      <c r="A150" s="15" t="s">
        <v>847</v>
      </c>
      <c r="B150" s="2">
        <v>2117.4834999999998</v>
      </c>
    </row>
    <row r="151" spans="1:2" x14ac:dyDescent="0.3">
      <c r="A151" s="15" t="s">
        <v>1223</v>
      </c>
      <c r="B151" s="2">
        <v>1547.3500000000001</v>
      </c>
    </row>
    <row r="152" spans="1:2" x14ac:dyDescent="0.3">
      <c r="A152" s="15" t="s">
        <v>873</v>
      </c>
      <c r="B152" s="2">
        <v>1446.9507000000001</v>
      </c>
    </row>
    <row r="153" spans="1:2" x14ac:dyDescent="0.3">
      <c r="A153" s="15" t="s">
        <v>1352</v>
      </c>
      <c r="B153" s="2">
        <v>1030.7574</v>
      </c>
    </row>
    <row r="154" spans="1:2" x14ac:dyDescent="0.3">
      <c r="A154" s="15" t="s">
        <v>1250</v>
      </c>
      <c r="B154" s="2">
        <v>1010.3759200000001</v>
      </c>
    </row>
    <row r="155" spans="1:2" x14ac:dyDescent="0.3">
      <c r="A155" s="15" t="s">
        <v>1194</v>
      </c>
      <c r="B155" s="2">
        <v>930.17574000000002</v>
      </c>
    </row>
    <row r="156" spans="1:2" x14ac:dyDescent="0.3">
      <c r="A156" s="15" t="s">
        <v>955</v>
      </c>
      <c r="B156" s="2">
        <v>908.03700000000003</v>
      </c>
    </row>
    <row r="157" spans="1:2" x14ac:dyDescent="0.3">
      <c r="A157" s="15" t="s">
        <v>843</v>
      </c>
      <c r="B157" s="2">
        <v>549.80010000000004</v>
      </c>
    </row>
    <row r="158" spans="1:2" x14ac:dyDescent="0.3">
      <c r="A158" s="15" t="s">
        <v>792</v>
      </c>
      <c r="B158" s="2">
        <v>272.98599999999999</v>
      </c>
    </row>
    <row r="159" spans="1:2" x14ac:dyDescent="0.3">
      <c r="A159" s="15" t="s">
        <v>914</v>
      </c>
      <c r="B159" s="2">
        <v>18.659839999999999</v>
      </c>
    </row>
    <row r="160" spans="1:2" x14ac:dyDescent="0.3">
      <c r="A160" s="14" t="s">
        <v>727</v>
      </c>
      <c r="B160" s="2">
        <v>1550200.534329999</v>
      </c>
    </row>
    <row r="161" spans="1:34" x14ac:dyDescent="0.3">
      <c r="A161" s="15" t="s">
        <v>971</v>
      </c>
      <c r="B161" s="2">
        <v>139277.83032000001</v>
      </c>
    </row>
    <row r="162" spans="1:34" x14ac:dyDescent="0.3">
      <c r="A162" s="15" t="s">
        <v>1198</v>
      </c>
      <c r="B162" s="2">
        <v>84136.119600000005</v>
      </c>
    </row>
    <row r="163" spans="1:34" x14ac:dyDescent="0.3">
      <c r="A163" s="15" t="s">
        <v>860</v>
      </c>
      <c r="B163" s="2">
        <v>65111.38614000001</v>
      </c>
    </row>
    <row r="164" spans="1:34" x14ac:dyDescent="0.3">
      <c r="A164" s="15" t="s">
        <v>743</v>
      </c>
      <c r="B164" s="2">
        <v>60928.502359999999</v>
      </c>
    </row>
    <row r="165" spans="1:34" x14ac:dyDescent="0.3">
      <c r="A165" s="15" t="s">
        <v>1125</v>
      </c>
      <c r="B165" s="2">
        <v>52361.645000000004</v>
      </c>
    </row>
    <row r="166" spans="1:34" x14ac:dyDescent="0.3">
      <c r="A166" s="15" t="s">
        <v>1245</v>
      </c>
      <c r="B166" s="2">
        <v>50296.415399999998</v>
      </c>
    </row>
    <row r="167" spans="1:34" x14ac:dyDescent="0.3">
      <c r="A167" s="15" t="s">
        <v>1351</v>
      </c>
      <c r="B167" s="2">
        <v>41419.524249999995</v>
      </c>
    </row>
    <row r="168" spans="1:34" x14ac:dyDescent="0.3">
      <c r="A168" s="15" t="s">
        <v>1361</v>
      </c>
      <c r="B168" s="2">
        <v>40476.013200000001</v>
      </c>
    </row>
    <row r="169" spans="1:34" x14ac:dyDescent="0.3">
      <c r="A169" s="15" t="s">
        <v>794</v>
      </c>
      <c r="B169" s="2">
        <v>33687.501800000005</v>
      </c>
    </row>
    <row r="170" spans="1:34" x14ac:dyDescent="0.3">
      <c r="A170" s="15" t="s">
        <v>1247</v>
      </c>
      <c r="B170" s="2">
        <v>33308.550000000003</v>
      </c>
    </row>
    <row r="171" spans="1:34" x14ac:dyDescent="0.3">
      <c r="A171" s="15" t="s">
        <v>1238</v>
      </c>
      <c r="B171" s="2">
        <v>32335.21802</v>
      </c>
    </row>
    <row r="172" spans="1:34" x14ac:dyDescent="0.3">
      <c r="A172" s="15" t="s">
        <v>795</v>
      </c>
      <c r="B172" s="2">
        <v>27701.570400000001</v>
      </c>
    </row>
    <row r="173" spans="1:34" x14ac:dyDescent="0.3">
      <c r="A173" s="15" t="s">
        <v>844</v>
      </c>
      <c r="B173" s="2">
        <v>27676.35</v>
      </c>
    </row>
    <row r="174" spans="1:34" x14ac:dyDescent="0.3">
      <c r="A174" s="15" t="s">
        <v>768</v>
      </c>
      <c r="B174" s="2">
        <v>27331.829999999998</v>
      </c>
    </row>
    <row r="175" spans="1:34" x14ac:dyDescent="0.3">
      <c r="A175" s="15" t="s">
        <v>1082</v>
      </c>
      <c r="B175" s="2">
        <v>27158.894079999998</v>
      </c>
      <c r="AF175"/>
      <c r="AG175"/>
      <c r="AH175"/>
    </row>
    <row r="176" spans="1:34" x14ac:dyDescent="0.3">
      <c r="A176" s="15" t="s">
        <v>1058</v>
      </c>
      <c r="B176" s="2">
        <v>26015.449459999996</v>
      </c>
      <c r="AF176"/>
      <c r="AG176"/>
      <c r="AH176"/>
    </row>
    <row r="177" spans="1:34" x14ac:dyDescent="0.3">
      <c r="A177" s="15" t="s">
        <v>1034</v>
      </c>
      <c r="B177" s="2">
        <v>25577.274079999999</v>
      </c>
      <c r="AF177"/>
      <c r="AG177"/>
      <c r="AH177"/>
    </row>
    <row r="178" spans="1:34" x14ac:dyDescent="0.3">
      <c r="A178" s="15" t="s">
        <v>1201</v>
      </c>
      <c r="B178" s="2">
        <v>25269.09</v>
      </c>
      <c r="AF178"/>
      <c r="AG178"/>
      <c r="AH178"/>
    </row>
    <row r="179" spans="1:34" x14ac:dyDescent="0.3">
      <c r="A179" s="15" t="s">
        <v>1319</v>
      </c>
      <c r="B179" s="2">
        <v>25131.155999999999</v>
      </c>
      <c r="AF179"/>
      <c r="AG179"/>
      <c r="AH179"/>
    </row>
    <row r="180" spans="1:34" x14ac:dyDescent="0.3">
      <c r="A180" s="15" t="s">
        <v>758</v>
      </c>
      <c r="B180" s="2">
        <v>24894.430559999997</v>
      </c>
      <c r="AF180"/>
      <c r="AG180"/>
      <c r="AH180"/>
    </row>
    <row r="181" spans="1:34" x14ac:dyDescent="0.3">
      <c r="A181" s="15" t="s">
        <v>1192</v>
      </c>
      <c r="B181" s="2">
        <v>24321.57</v>
      </c>
      <c r="AF181"/>
      <c r="AG181"/>
      <c r="AH181"/>
    </row>
    <row r="182" spans="1:34" x14ac:dyDescent="0.3">
      <c r="A182" s="15" t="s">
        <v>891</v>
      </c>
      <c r="B182" s="2">
        <v>24147.922500000001</v>
      </c>
      <c r="AF182"/>
      <c r="AG182"/>
      <c r="AH182"/>
    </row>
    <row r="183" spans="1:34" x14ac:dyDescent="0.3">
      <c r="A183" s="15" t="s">
        <v>1185</v>
      </c>
      <c r="B183" s="2">
        <v>23694.405119999999</v>
      </c>
      <c r="AF183"/>
      <c r="AG183"/>
      <c r="AH183"/>
    </row>
    <row r="184" spans="1:34" x14ac:dyDescent="0.3">
      <c r="A184" s="15" t="s">
        <v>994</v>
      </c>
      <c r="B184" s="2">
        <v>22882.675440000003</v>
      </c>
      <c r="AF184"/>
      <c r="AG184"/>
      <c r="AH184"/>
    </row>
    <row r="185" spans="1:34" x14ac:dyDescent="0.3">
      <c r="A185" s="15" t="s">
        <v>812</v>
      </c>
      <c r="B185" s="2">
        <v>21787.936199999996</v>
      </c>
      <c r="AF185"/>
      <c r="AG185"/>
      <c r="AH185"/>
    </row>
    <row r="186" spans="1:34" x14ac:dyDescent="0.3">
      <c r="A186" s="15" t="s">
        <v>1099</v>
      </c>
      <c r="B186" s="2">
        <v>21584.693520000001</v>
      </c>
      <c r="AF186"/>
      <c r="AG186"/>
      <c r="AH186"/>
    </row>
    <row r="187" spans="1:34" x14ac:dyDescent="0.3">
      <c r="A187" s="15" t="s">
        <v>1127</v>
      </c>
      <c r="B187" s="2">
        <v>19800.88896</v>
      </c>
      <c r="AF187"/>
      <c r="AG187"/>
      <c r="AH187"/>
    </row>
    <row r="188" spans="1:34" x14ac:dyDescent="0.3">
      <c r="A188" s="15" t="s">
        <v>990</v>
      </c>
      <c r="B188" s="2">
        <v>19073.059649999999</v>
      </c>
      <c r="AF188"/>
      <c r="AG188"/>
      <c r="AH188"/>
    </row>
    <row r="189" spans="1:34" x14ac:dyDescent="0.3">
      <c r="A189" s="15" t="s">
        <v>770</v>
      </c>
      <c r="B189" s="2">
        <v>18957.37689</v>
      </c>
      <c r="AF189"/>
      <c r="AG189"/>
      <c r="AH189"/>
    </row>
    <row r="190" spans="1:34" x14ac:dyDescent="0.3">
      <c r="A190" s="15" t="s">
        <v>1101</v>
      </c>
      <c r="B190" s="2">
        <v>18554.370299999999</v>
      </c>
      <c r="AF190"/>
      <c r="AG190"/>
      <c r="AH190"/>
    </row>
    <row r="191" spans="1:34" x14ac:dyDescent="0.3">
      <c r="A191" s="15" t="s">
        <v>944</v>
      </c>
      <c r="B191" s="2">
        <v>18061.204320000004</v>
      </c>
      <c r="AF191"/>
      <c r="AG191"/>
      <c r="AH191"/>
    </row>
    <row r="192" spans="1:34" x14ac:dyDescent="0.3">
      <c r="A192" s="15" t="s">
        <v>778</v>
      </c>
      <c r="B192" s="2">
        <v>17930.494560000003</v>
      </c>
      <c r="AF192"/>
      <c r="AG192"/>
      <c r="AH192"/>
    </row>
    <row r="193" spans="1:33" x14ac:dyDescent="0.3">
      <c r="A193" s="15" t="s">
        <v>1001</v>
      </c>
      <c r="B193" s="2">
        <v>17594.028880000002</v>
      </c>
      <c r="AF193"/>
      <c r="AG193"/>
    </row>
    <row r="194" spans="1:33" x14ac:dyDescent="0.3">
      <c r="A194" s="15" t="s">
        <v>1298</v>
      </c>
      <c r="B194" s="2">
        <v>17540.201120000002</v>
      </c>
      <c r="AF194"/>
      <c r="AG194"/>
    </row>
    <row r="195" spans="1:33" x14ac:dyDescent="0.3">
      <c r="A195" s="15" t="s">
        <v>1135</v>
      </c>
      <c r="B195" s="2">
        <v>16946.091840000001</v>
      </c>
      <c r="AF195"/>
      <c r="AG195"/>
    </row>
    <row r="196" spans="1:33" x14ac:dyDescent="0.3">
      <c r="A196" s="15" t="s">
        <v>1205</v>
      </c>
      <c r="B196" s="2">
        <v>15374.563199999999</v>
      </c>
      <c r="AF196"/>
      <c r="AG196"/>
    </row>
    <row r="197" spans="1:33" x14ac:dyDescent="0.3">
      <c r="A197" s="15" t="s">
        <v>1111</v>
      </c>
      <c r="B197" s="2">
        <v>15348.702599999999</v>
      </c>
      <c r="AF197"/>
      <c r="AG197"/>
    </row>
    <row r="198" spans="1:33" x14ac:dyDescent="0.3">
      <c r="A198" s="15" t="s">
        <v>968</v>
      </c>
      <c r="B198" s="2">
        <v>14269.848599999999</v>
      </c>
      <c r="AF198"/>
      <c r="AG198"/>
    </row>
    <row r="199" spans="1:33" x14ac:dyDescent="0.3">
      <c r="A199" s="15" t="s">
        <v>820</v>
      </c>
      <c r="B199" s="2">
        <v>14197.064400000001</v>
      </c>
      <c r="AF199"/>
      <c r="AG199"/>
    </row>
    <row r="200" spans="1:33" x14ac:dyDescent="0.3">
      <c r="A200" s="15" t="s">
        <v>1358</v>
      </c>
      <c r="B200" s="2">
        <v>13983.752729999998</v>
      </c>
      <c r="AF200"/>
      <c r="AG200"/>
    </row>
    <row r="201" spans="1:33" x14ac:dyDescent="0.3">
      <c r="A201" s="15" t="s">
        <v>954</v>
      </c>
      <c r="B201" s="2">
        <v>13519.529099999998</v>
      </c>
      <c r="AF201"/>
      <c r="AG201"/>
    </row>
    <row r="202" spans="1:33" x14ac:dyDescent="0.3">
      <c r="A202" s="15" t="s">
        <v>1131</v>
      </c>
      <c r="B202" s="2">
        <v>13185.543</v>
      </c>
      <c r="AF202"/>
      <c r="AG202"/>
    </row>
    <row r="203" spans="1:33" x14ac:dyDescent="0.3">
      <c r="A203" s="15" t="s">
        <v>819</v>
      </c>
      <c r="B203" s="2">
        <v>13146.470699999998</v>
      </c>
      <c r="AF203"/>
      <c r="AG203"/>
    </row>
    <row r="204" spans="1:33" x14ac:dyDescent="0.3">
      <c r="A204" s="15" t="s">
        <v>984</v>
      </c>
      <c r="B204" s="2">
        <v>12186.368600000002</v>
      </c>
      <c r="AF204"/>
      <c r="AG204"/>
    </row>
    <row r="205" spans="1:33" x14ac:dyDescent="0.3">
      <c r="A205" s="15" t="s">
        <v>839</v>
      </c>
      <c r="B205" s="2">
        <v>12080.215199999999</v>
      </c>
      <c r="AF205"/>
      <c r="AG205"/>
    </row>
    <row r="206" spans="1:33" x14ac:dyDescent="0.3">
      <c r="A206" s="15" t="s">
        <v>771</v>
      </c>
      <c r="B206" s="2">
        <v>11995.153920000001</v>
      </c>
      <c r="AF206"/>
      <c r="AG206"/>
    </row>
    <row r="207" spans="1:33" x14ac:dyDescent="0.3">
      <c r="A207" s="15" t="s">
        <v>1323</v>
      </c>
      <c r="B207" s="2">
        <v>11742.8703</v>
      </c>
      <c r="AF207"/>
      <c r="AG207"/>
    </row>
    <row r="208" spans="1:33" x14ac:dyDescent="0.3">
      <c r="A208" s="15" t="s">
        <v>1023</v>
      </c>
      <c r="B208" s="2">
        <v>10456.416880000001</v>
      </c>
      <c r="AF208"/>
      <c r="AG208"/>
    </row>
    <row r="209" spans="1:33" x14ac:dyDescent="0.3">
      <c r="A209" s="15" t="s">
        <v>764</v>
      </c>
      <c r="B209" s="2">
        <v>9805.8573800000013</v>
      </c>
      <c r="AF209"/>
      <c r="AG209"/>
    </row>
    <row r="210" spans="1:33" x14ac:dyDescent="0.3">
      <c r="A210" s="15" t="s">
        <v>870</v>
      </c>
      <c r="B210" s="2">
        <v>9698.1638399999993</v>
      </c>
      <c r="AF210"/>
      <c r="AG210"/>
    </row>
    <row r="211" spans="1:33" x14ac:dyDescent="0.3">
      <c r="A211" s="15" t="s">
        <v>803</v>
      </c>
      <c r="B211" s="2">
        <v>8930.7124999999996</v>
      </c>
      <c r="AF211"/>
      <c r="AG211"/>
    </row>
    <row r="212" spans="1:33" x14ac:dyDescent="0.3">
      <c r="A212" s="15" t="s">
        <v>905</v>
      </c>
      <c r="B212" s="2">
        <v>8928.9795999999988</v>
      </c>
      <c r="AF212"/>
      <c r="AG212"/>
    </row>
    <row r="213" spans="1:33" x14ac:dyDescent="0.3">
      <c r="A213" s="15" t="s">
        <v>859</v>
      </c>
      <c r="B213" s="2">
        <v>8909.8587200000002</v>
      </c>
      <c r="AF213"/>
      <c r="AG213"/>
    </row>
    <row r="214" spans="1:33" x14ac:dyDescent="0.3">
      <c r="A214" s="15" t="s">
        <v>1028</v>
      </c>
      <c r="B214" s="2">
        <v>8903.4839999999986</v>
      </c>
      <c r="AF214"/>
      <c r="AG214"/>
    </row>
    <row r="215" spans="1:33" x14ac:dyDescent="0.3">
      <c r="A215" s="15" t="s">
        <v>1049</v>
      </c>
      <c r="B215" s="2">
        <v>8780.5809000000008</v>
      </c>
      <c r="AF215"/>
      <c r="AG215"/>
    </row>
    <row r="216" spans="1:33" x14ac:dyDescent="0.3">
      <c r="A216" s="15" t="s">
        <v>1328</v>
      </c>
      <c r="B216" s="2">
        <v>8128.5187499999993</v>
      </c>
      <c r="AF216"/>
      <c r="AG216"/>
    </row>
    <row r="217" spans="1:33" x14ac:dyDescent="0.3">
      <c r="A217" s="15" t="s">
        <v>1137</v>
      </c>
      <c r="B217" s="2">
        <v>7832.0010999999995</v>
      </c>
      <c r="AF217"/>
      <c r="AG217"/>
    </row>
    <row r="218" spans="1:33" x14ac:dyDescent="0.3">
      <c r="A218" s="15" t="s">
        <v>1253</v>
      </c>
      <c r="B218" s="2">
        <v>7399.4832000000006</v>
      </c>
      <c r="AF218"/>
      <c r="AG218"/>
    </row>
    <row r="219" spans="1:33" x14ac:dyDescent="0.3">
      <c r="A219" s="15" t="s">
        <v>1170</v>
      </c>
      <c r="B219" s="2">
        <v>7340.3891399999993</v>
      </c>
      <c r="AF219"/>
      <c r="AG219"/>
    </row>
    <row r="220" spans="1:33" x14ac:dyDescent="0.3">
      <c r="A220" s="15" t="s">
        <v>809</v>
      </c>
      <c r="B220" s="2">
        <v>6874.4828600000001</v>
      </c>
      <c r="AF220"/>
      <c r="AG220"/>
    </row>
    <row r="221" spans="1:33" x14ac:dyDescent="0.3">
      <c r="A221" s="15" t="s">
        <v>1293</v>
      </c>
      <c r="B221" s="2">
        <v>6766.9829999999993</v>
      </c>
      <c r="AF221"/>
      <c r="AG221"/>
    </row>
    <row r="222" spans="1:33" x14ac:dyDescent="0.3">
      <c r="A222" s="15" t="s">
        <v>940</v>
      </c>
      <c r="B222" s="2">
        <v>6702.3501999999999</v>
      </c>
      <c r="AF222"/>
      <c r="AG222"/>
    </row>
    <row r="223" spans="1:33" x14ac:dyDescent="0.3">
      <c r="A223" s="15" t="s">
        <v>1224</v>
      </c>
      <c r="B223" s="2">
        <v>6664.0999999999995</v>
      </c>
      <c r="AF223"/>
      <c r="AG223"/>
    </row>
    <row r="224" spans="1:33" x14ac:dyDescent="0.3">
      <c r="A224" s="15" t="s">
        <v>1257</v>
      </c>
      <c r="B224" s="2">
        <v>6435.2555999999995</v>
      </c>
      <c r="AF224"/>
      <c r="AG224"/>
    </row>
    <row r="225" spans="1:33" x14ac:dyDescent="0.3">
      <c r="A225" s="15" t="s">
        <v>835</v>
      </c>
      <c r="B225" s="2">
        <v>6324.5775999999996</v>
      </c>
      <c r="AF225"/>
      <c r="AG225"/>
    </row>
    <row r="226" spans="1:33" x14ac:dyDescent="0.3">
      <c r="A226" s="15" t="s">
        <v>1313</v>
      </c>
      <c r="B226" s="2">
        <v>6137.8019999999988</v>
      </c>
      <c r="AF226"/>
      <c r="AG226"/>
    </row>
    <row r="227" spans="1:33" x14ac:dyDescent="0.3">
      <c r="A227" s="15" t="s">
        <v>1218</v>
      </c>
      <c r="B227" s="2">
        <v>6063.2517199999993</v>
      </c>
      <c r="AF227"/>
      <c r="AG227"/>
    </row>
    <row r="228" spans="1:33" x14ac:dyDescent="0.3">
      <c r="A228" s="15" t="s">
        <v>895</v>
      </c>
      <c r="B228" s="2">
        <v>5650.1744000000008</v>
      </c>
      <c r="AF228"/>
      <c r="AG228"/>
    </row>
    <row r="229" spans="1:33" x14ac:dyDescent="0.3">
      <c r="A229" s="15" t="s">
        <v>816</v>
      </c>
      <c r="B229" s="2">
        <v>5331.6696000000002</v>
      </c>
      <c r="AF229"/>
      <c r="AG229"/>
    </row>
    <row r="230" spans="1:33" x14ac:dyDescent="0.3">
      <c r="A230" s="15" t="s">
        <v>746</v>
      </c>
      <c r="B230" s="2">
        <v>4968.5039999999999</v>
      </c>
      <c r="AF230"/>
      <c r="AG230"/>
    </row>
    <row r="231" spans="1:33" x14ac:dyDescent="0.3">
      <c r="A231" s="15" t="s">
        <v>734</v>
      </c>
      <c r="B231" s="2">
        <v>4866.3287999999993</v>
      </c>
      <c r="AF231"/>
      <c r="AG231"/>
    </row>
    <row r="232" spans="1:33" x14ac:dyDescent="0.3">
      <c r="A232" s="15" t="s">
        <v>808</v>
      </c>
      <c r="B232" s="2">
        <v>4717.72</v>
      </c>
      <c r="AF232"/>
      <c r="AG232"/>
    </row>
    <row r="233" spans="1:33" x14ac:dyDescent="0.3">
      <c r="A233" s="15" t="s">
        <v>956</v>
      </c>
      <c r="B233" s="2">
        <v>4503.4363999999996</v>
      </c>
      <c r="AF233"/>
      <c r="AG233"/>
    </row>
    <row r="234" spans="1:33" x14ac:dyDescent="0.3">
      <c r="A234" s="15" t="s">
        <v>1210</v>
      </c>
      <c r="B234" s="2">
        <v>4212.3745999999992</v>
      </c>
      <c r="AF234"/>
      <c r="AG234"/>
    </row>
    <row r="235" spans="1:33" x14ac:dyDescent="0.3">
      <c r="A235" s="15" t="s">
        <v>1244</v>
      </c>
      <c r="B235" s="2">
        <v>3525.5505600000001</v>
      </c>
      <c r="AF235"/>
      <c r="AG235"/>
    </row>
    <row r="236" spans="1:33" x14ac:dyDescent="0.3">
      <c r="A236" s="15" t="s">
        <v>1302</v>
      </c>
      <c r="B236" s="2">
        <v>3378.1478400000001</v>
      </c>
      <c r="AF236"/>
      <c r="AG236"/>
    </row>
    <row r="237" spans="1:33" x14ac:dyDescent="0.3">
      <c r="A237" s="15" t="s">
        <v>1060</v>
      </c>
      <c r="B237" s="2">
        <v>2373.9623200000001</v>
      </c>
      <c r="AF237"/>
      <c r="AG237"/>
    </row>
    <row r="238" spans="1:33" x14ac:dyDescent="0.3">
      <c r="A238" s="15" t="s">
        <v>903</v>
      </c>
      <c r="B238" s="2">
        <v>2316.2621999999997</v>
      </c>
      <c r="AF238"/>
      <c r="AG238"/>
    </row>
    <row r="239" spans="1:33" x14ac:dyDescent="0.3">
      <c r="A239" s="15" t="s">
        <v>1341</v>
      </c>
      <c r="B239" s="2">
        <v>2077.46</v>
      </c>
      <c r="AF239"/>
      <c r="AG239"/>
    </row>
    <row r="240" spans="1:33" x14ac:dyDescent="0.3">
      <c r="A240" s="15" t="s">
        <v>858</v>
      </c>
      <c r="B240" s="2">
        <v>2072.9258400000003</v>
      </c>
      <c r="AF240"/>
      <c r="AG240"/>
    </row>
    <row r="241" spans="1:33" x14ac:dyDescent="0.3">
      <c r="A241" s="15" t="s">
        <v>1197</v>
      </c>
      <c r="B241" s="2">
        <v>1808.04592</v>
      </c>
      <c r="AF241"/>
      <c r="AG241"/>
    </row>
    <row r="242" spans="1:33" x14ac:dyDescent="0.3">
      <c r="A242" s="15" t="s">
        <v>1193</v>
      </c>
      <c r="B242" s="2">
        <v>1662.6945600000001</v>
      </c>
      <c r="AF242"/>
      <c r="AG242"/>
    </row>
    <row r="243" spans="1:33" x14ac:dyDescent="0.3">
      <c r="A243" s="15" t="s">
        <v>821</v>
      </c>
      <c r="B243" s="2">
        <v>1654.8966000000003</v>
      </c>
      <c r="AF243"/>
      <c r="AG243"/>
    </row>
    <row r="244" spans="1:33" x14ac:dyDescent="0.3">
      <c r="A244" s="15" t="s">
        <v>1252</v>
      </c>
      <c r="B244" s="2">
        <v>855.72881999999993</v>
      </c>
      <c r="AF244"/>
      <c r="AG244"/>
    </row>
    <row r="245" spans="1:33" x14ac:dyDescent="0.3">
      <c r="A245" s="15" t="s">
        <v>861</v>
      </c>
      <c r="B245" s="2">
        <v>853.32276999999988</v>
      </c>
      <c r="AF245"/>
      <c r="AG245"/>
    </row>
    <row r="246" spans="1:33" x14ac:dyDescent="0.3">
      <c r="A246" s="15" t="s">
        <v>1057</v>
      </c>
      <c r="B246" s="2">
        <v>703.2428000000001</v>
      </c>
      <c r="AF246"/>
      <c r="AG246"/>
    </row>
    <row r="247" spans="1:33" x14ac:dyDescent="0.3">
      <c r="A247" s="15" t="s">
        <v>964</v>
      </c>
      <c r="B247" s="2">
        <v>667.15008</v>
      </c>
      <c r="AF247"/>
      <c r="AG247"/>
    </row>
    <row r="248" spans="1:33" x14ac:dyDescent="0.3">
      <c r="A248" s="15" t="s">
        <v>1307</v>
      </c>
      <c r="B248" s="2">
        <v>496.98660000000001</v>
      </c>
      <c r="AF248"/>
      <c r="AG248"/>
    </row>
    <row r="249" spans="1:33" x14ac:dyDescent="0.3">
      <c r="A249" s="15" t="s">
        <v>911</v>
      </c>
      <c r="B249" s="2">
        <v>321.93290999999999</v>
      </c>
      <c r="AF249"/>
      <c r="AG249"/>
    </row>
    <row r="250" spans="1:33" x14ac:dyDescent="0.3">
      <c r="A250" s="15" t="s">
        <v>906</v>
      </c>
      <c r="B250" s="2">
        <v>97.0154</v>
      </c>
      <c r="AF250"/>
      <c r="AG250"/>
    </row>
    <row r="251" spans="1:33" x14ac:dyDescent="0.3">
      <c r="A251" s="14" t="s">
        <v>731</v>
      </c>
      <c r="B251" s="2">
        <v>1711094.3776</v>
      </c>
      <c r="AF251"/>
      <c r="AG251"/>
    </row>
    <row r="252" spans="1:33" x14ac:dyDescent="0.3">
      <c r="A252" s="15" t="s">
        <v>1155</v>
      </c>
      <c r="B252" s="2">
        <v>102122.94203999999</v>
      </c>
      <c r="AF252"/>
      <c r="AG252"/>
    </row>
    <row r="253" spans="1:33" x14ac:dyDescent="0.3">
      <c r="A253" s="15" t="s">
        <v>1096</v>
      </c>
      <c r="B253" s="2">
        <v>82514.711519999997</v>
      </c>
      <c r="AF253"/>
      <c r="AG253"/>
    </row>
    <row r="254" spans="1:33" x14ac:dyDescent="0.3">
      <c r="A254" s="15" t="s">
        <v>851</v>
      </c>
      <c r="B254" s="2">
        <v>65119.329599999997</v>
      </c>
      <c r="AF254"/>
      <c r="AG254"/>
    </row>
    <row r="255" spans="1:33" x14ac:dyDescent="0.3">
      <c r="A255" s="15" t="s">
        <v>1121</v>
      </c>
      <c r="B255" s="2">
        <v>65066.934229999999</v>
      </c>
      <c r="AF255"/>
      <c r="AG255"/>
    </row>
    <row r="256" spans="1:33" x14ac:dyDescent="0.3">
      <c r="A256" s="15" t="s">
        <v>1254</v>
      </c>
      <c r="B256" s="2">
        <v>64192.976999999999</v>
      </c>
      <c r="AF256"/>
      <c r="AG256"/>
    </row>
    <row r="257" spans="1:33" x14ac:dyDescent="0.3">
      <c r="A257" s="15" t="s">
        <v>1261</v>
      </c>
      <c r="B257" s="2">
        <v>58526.83122</v>
      </c>
      <c r="AF257"/>
      <c r="AG257"/>
    </row>
    <row r="258" spans="1:33" x14ac:dyDescent="0.3">
      <c r="A258" s="15" t="s">
        <v>1164</v>
      </c>
      <c r="B258" s="2">
        <v>58057.65</v>
      </c>
      <c r="AF258"/>
      <c r="AG258"/>
    </row>
    <row r="259" spans="1:33" x14ac:dyDescent="0.3">
      <c r="A259" s="15" t="s">
        <v>1299</v>
      </c>
      <c r="B259" s="2">
        <v>44173.627960000005</v>
      </c>
      <c r="AF259"/>
      <c r="AG259"/>
    </row>
    <row r="260" spans="1:33" x14ac:dyDescent="0.3">
      <c r="A260" s="15" t="s">
        <v>1267</v>
      </c>
      <c r="B260" s="2">
        <v>42433.254400000005</v>
      </c>
      <c r="AF260"/>
      <c r="AG260"/>
    </row>
    <row r="261" spans="1:33" x14ac:dyDescent="0.3">
      <c r="A261" s="15" t="s">
        <v>1211</v>
      </c>
      <c r="B261" s="2">
        <v>41914.215840000004</v>
      </c>
      <c r="AF261"/>
      <c r="AG261"/>
    </row>
    <row r="262" spans="1:33" x14ac:dyDescent="0.3">
      <c r="A262" s="15" t="s">
        <v>1315</v>
      </c>
      <c r="B262" s="2">
        <v>40563.321749999996</v>
      </c>
      <c r="AF262"/>
      <c r="AG262"/>
    </row>
    <row r="263" spans="1:33" x14ac:dyDescent="0.3">
      <c r="A263" s="15" t="s">
        <v>998</v>
      </c>
      <c r="B263" s="2">
        <v>40139.874619999995</v>
      </c>
      <c r="AF263"/>
      <c r="AG263"/>
    </row>
    <row r="264" spans="1:33" x14ac:dyDescent="0.3">
      <c r="A264" s="15" t="s">
        <v>753</v>
      </c>
      <c r="B264" s="2">
        <v>39263.702919999996</v>
      </c>
      <c r="AF264"/>
      <c r="AG264"/>
    </row>
    <row r="265" spans="1:33" x14ac:dyDescent="0.3">
      <c r="A265" s="15" t="s">
        <v>1215</v>
      </c>
      <c r="B265" s="2">
        <v>36161.097000000002</v>
      </c>
      <c r="AF265"/>
      <c r="AG265"/>
    </row>
    <row r="266" spans="1:33" x14ac:dyDescent="0.3">
      <c r="A266" s="15" t="s">
        <v>976</v>
      </c>
      <c r="B266" s="2">
        <v>34082.864639999993</v>
      </c>
      <c r="AF266"/>
      <c r="AG266"/>
    </row>
    <row r="267" spans="1:33" x14ac:dyDescent="0.3">
      <c r="A267" s="15" t="s">
        <v>1332</v>
      </c>
      <c r="B267" s="2">
        <v>33938.142760000002</v>
      </c>
      <c r="AF267"/>
      <c r="AG267"/>
    </row>
    <row r="268" spans="1:33" x14ac:dyDescent="0.3">
      <c r="A268" s="15" t="s">
        <v>907</v>
      </c>
      <c r="B268" s="2">
        <v>31556.187599999997</v>
      </c>
      <c r="AF268"/>
      <c r="AG268"/>
    </row>
    <row r="269" spans="1:33" x14ac:dyDescent="0.3">
      <c r="A269" s="15" t="s">
        <v>1159</v>
      </c>
      <c r="B269" s="2">
        <v>30435.614999999998</v>
      </c>
      <c r="AF269"/>
      <c r="AG269"/>
    </row>
    <row r="270" spans="1:33" x14ac:dyDescent="0.3">
      <c r="A270" s="15" t="s">
        <v>845</v>
      </c>
      <c r="B270" s="2">
        <v>30151.675319999998</v>
      </c>
      <c r="AF270"/>
      <c r="AG270"/>
    </row>
    <row r="271" spans="1:33" x14ac:dyDescent="0.3">
      <c r="A271" s="15" t="s">
        <v>790</v>
      </c>
      <c r="B271" s="2">
        <v>29659.68995</v>
      </c>
      <c r="AF271"/>
      <c r="AG271"/>
    </row>
    <row r="272" spans="1:33" x14ac:dyDescent="0.3">
      <c r="A272" s="15" t="s">
        <v>1063</v>
      </c>
      <c r="B272" s="2">
        <v>27756.432000000001</v>
      </c>
      <c r="AF272"/>
      <c r="AG272"/>
    </row>
    <row r="273" spans="1:33" x14ac:dyDescent="0.3">
      <c r="A273" s="15" t="s">
        <v>798</v>
      </c>
      <c r="B273" s="2">
        <v>26304.275999999998</v>
      </c>
      <c r="AF273"/>
      <c r="AG273"/>
    </row>
    <row r="274" spans="1:33" x14ac:dyDescent="0.3">
      <c r="A274" s="15" t="s">
        <v>833</v>
      </c>
      <c r="B274" s="2">
        <v>25502.910479999999</v>
      </c>
      <c r="AF274"/>
      <c r="AG274"/>
    </row>
    <row r="275" spans="1:33" x14ac:dyDescent="0.3">
      <c r="A275" s="15" t="s">
        <v>926</v>
      </c>
      <c r="B275" s="2">
        <v>24374.594880000001</v>
      </c>
      <c r="AF275"/>
      <c r="AG275"/>
    </row>
    <row r="276" spans="1:33" x14ac:dyDescent="0.3">
      <c r="A276" s="15" t="s">
        <v>989</v>
      </c>
      <c r="B276" s="2">
        <v>24161.205600000001</v>
      </c>
      <c r="AF276"/>
      <c r="AG276"/>
    </row>
    <row r="277" spans="1:33" x14ac:dyDescent="0.3">
      <c r="A277" s="15" t="s">
        <v>754</v>
      </c>
      <c r="B277" s="2">
        <v>23782.310720000001</v>
      </c>
      <c r="AF277"/>
      <c r="AG277"/>
    </row>
    <row r="278" spans="1:33" x14ac:dyDescent="0.3">
      <c r="A278" s="15" t="s">
        <v>1118</v>
      </c>
      <c r="B278" s="2">
        <v>22064.910300000003</v>
      </c>
      <c r="AF278"/>
      <c r="AG278"/>
    </row>
    <row r="279" spans="1:33" x14ac:dyDescent="0.3">
      <c r="A279" s="15" t="s">
        <v>885</v>
      </c>
      <c r="B279" s="2">
        <v>21572.590500000002</v>
      </c>
      <c r="AF279"/>
      <c r="AG279"/>
    </row>
    <row r="280" spans="1:33" x14ac:dyDescent="0.3">
      <c r="A280" s="15" t="s">
        <v>1029</v>
      </c>
      <c r="B280" s="2">
        <v>20455.985130000001</v>
      </c>
      <c r="AF280"/>
      <c r="AG280"/>
    </row>
    <row r="281" spans="1:33" x14ac:dyDescent="0.3">
      <c r="A281" s="15" t="s">
        <v>757</v>
      </c>
      <c r="B281" s="2">
        <v>20225.2248</v>
      </c>
      <c r="AF281"/>
      <c r="AG281"/>
    </row>
    <row r="282" spans="1:33" x14ac:dyDescent="0.3">
      <c r="A282" s="15" t="s">
        <v>806</v>
      </c>
      <c r="B282" s="2">
        <v>20171.63305</v>
      </c>
      <c r="AF282"/>
      <c r="AG282"/>
    </row>
    <row r="283" spans="1:33" x14ac:dyDescent="0.3">
      <c r="A283" s="15" t="s">
        <v>1120</v>
      </c>
      <c r="B283" s="2">
        <v>19773.362699999998</v>
      </c>
      <c r="AF283"/>
      <c r="AG283"/>
    </row>
    <row r="284" spans="1:33" x14ac:dyDescent="0.3">
      <c r="A284" s="15" t="s">
        <v>1273</v>
      </c>
      <c r="B284" s="2">
        <v>19581.87</v>
      </c>
      <c r="AF284"/>
      <c r="AG284"/>
    </row>
    <row r="285" spans="1:33" x14ac:dyDescent="0.3">
      <c r="A285" s="15" t="s">
        <v>924</v>
      </c>
      <c r="B285" s="2">
        <v>19542.975350000001</v>
      </c>
      <c r="AF285"/>
      <c r="AG285"/>
    </row>
    <row r="286" spans="1:33" x14ac:dyDescent="0.3">
      <c r="A286" s="15" t="s">
        <v>1305</v>
      </c>
      <c r="B286" s="2">
        <v>19139.594240000002</v>
      </c>
      <c r="AF286"/>
      <c r="AG286"/>
    </row>
    <row r="287" spans="1:33" x14ac:dyDescent="0.3">
      <c r="A287" s="15" t="s">
        <v>1130</v>
      </c>
      <c r="B287" s="2">
        <v>18641.222160000001</v>
      </c>
      <c r="AF287"/>
      <c r="AG287"/>
    </row>
    <row r="288" spans="1:33" x14ac:dyDescent="0.3">
      <c r="A288" s="15" t="s">
        <v>985</v>
      </c>
      <c r="B288" s="2">
        <v>17453.3436</v>
      </c>
      <c r="AF288"/>
      <c r="AG288"/>
    </row>
    <row r="289" spans="1:33" x14ac:dyDescent="0.3">
      <c r="A289" s="15" t="s">
        <v>1018</v>
      </c>
      <c r="B289" s="2">
        <v>15505.479600000001</v>
      </c>
      <c r="AF289"/>
      <c r="AG289"/>
    </row>
    <row r="290" spans="1:33" x14ac:dyDescent="0.3">
      <c r="A290" s="15" t="s">
        <v>958</v>
      </c>
      <c r="B290" s="2">
        <v>15490.527</v>
      </c>
      <c r="AF290"/>
      <c r="AG290"/>
    </row>
    <row r="291" spans="1:33" x14ac:dyDescent="0.3">
      <c r="A291" s="15" t="s">
        <v>1158</v>
      </c>
      <c r="B291" s="2">
        <v>15366.983199999999</v>
      </c>
      <c r="AF291"/>
      <c r="AG291"/>
    </row>
    <row r="292" spans="1:33" x14ac:dyDescent="0.3">
      <c r="A292" s="15" t="s">
        <v>1268</v>
      </c>
      <c r="B292" s="2">
        <v>15155.326800000001</v>
      </c>
      <c r="AF292"/>
      <c r="AG292"/>
    </row>
    <row r="293" spans="1:33" x14ac:dyDescent="0.3">
      <c r="A293" s="15" t="s">
        <v>1327</v>
      </c>
      <c r="B293" s="2">
        <v>14910.609600000002</v>
      </c>
      <c r="AF293"/>
      <c r="AG293"/>
    </row>
    <row r="294" spans="1:33" x14ac:dyDescent="0.3">
      <c r="A294" s="15" t="s">
        <v>900</v>
      </c>
      <c r="B294" s="2">
        <v>14448.298699999998</v>
      </c>
      <c r="AF294"/>
      <c r="AG294"/>
    </row>
    <row r="295" spans="1:33" x14ac:dyDescent="0.3">
      <c r="A295" s="15" t="s">
        <v>1276</v>
      </c>
      <c r="B295" s="2">
        <v>14114.068500000001</v>
      </c>
      <c r="AF295"/>
      <c r="AG295"/>
    </row>
    <row r="296" spans="1:33" x14ac:dyDescent="0.3">
      <c r="A296" s="15" t="s">
        <v>1102</v>
      </c>
      <c r="B296" s="2">
        <v>13784.586000000001</v>
      </c>
      <c r="AF296"/>
      <c r="AG296"/>
    </row>
    <row r="297" spans="1:33" x14ac:dyDescent="0.3">
      <c r="A297" s="15" t="s">
        <v>836</v>
      </c>
      <c r="B297" s="2">
        <v>13669.81</v>
      </c>
      <c r="AF297"/>
      <c r="AG297"/>
    </row>
    <row r="298" spans="1:33" x14ac:dyDescent="0.3">
      <c r="A298" s="15" t="s">
        <v>1079</v>
      </c>
      <c r="B298" s="2">
        <v>13637.287999999999</v>
      </c>
      <c r="AF298"/>
      <c r="AG298"/>
    </row>
    <row r="299" spans="1:33" x14ac:dyDescent="0.3">
      <c r="A299" s="15" t="s">
        <v>767</v>
      </c>
      <c r="B299" s="2">
        <v>13218.5</v>
      </c>
      <c r="AF299"/>
      <c r="AG299"/>
    </row>
    <row r="300" spans="1:33" x14ac:dyDescent="0.3">
      <c r="A300" s="15" t="s">
        <v>879</v>
      </c>
      <c r="B300" s="2">
        <v>12954.358080000002</v>
      </c>
      <c r="AF300"/>
      <c r="AG300"/>
    </row>
    <row r="301" spans="1:33" x14ac:dyDescent="0.3">
      <c r="A301" s="15" t="s">
        <v>838</v>
      </c>
      <c r="B301" s="2">
        <v>12335.654849999999</v>
      </c>
      <c r="AF301"/>
      <c r="AG301"/>
    </row>
    <row r="302" spans="1:33" x14ac:dyDescent="0.3">
      <c r="A302" s="15" t="s">
        <v>1083</v>
      </c>
      <c r="B302" s="2">
        <v>12236.874600000001</v>
      </c>
      <c r="AF302"/>
      <c r="AG302"/>
    </row>
    <row r="303" spans="1:33" x14ac:dyDescent="0.3">
      <c r="A303" s="15" t="s">
        <v>1017</v>
      </c>
      <c r="B303" s="2">
        <v>11696.156879999999</v>
      </c>
      <c r="AF303"/>
      <c r="AG303"/>
    </row>
    <row r="304" spans="1:33" x14ac:dyDescent="0.3">
      <c r="A304" s="15" t="s">
        <v>1248</v>
      </c>
      <c r="B304" s="2">
        <v>10859.64</v>
      </c>
      <c r="AF304"/>
      <c r="AG304"/>
    </row>
    <row r="305" spans="1:33" x14ac:dyDescent="0.3">
      <c r="A305" s="15" t="s">
        <v>1043</v>
      </c>
      <c r="B305" s="2">
        <v>9847.2358600000007</v>
      </c>
      <c r="AF305"/>
      <c r="AG305"/>
    </row>
    <row r="306" spans="1:33" x14ac:dyDescent="0.3">
      <c r="A306" s="15" t="s">
        <v>980</v>
      </c>
      <c r="B306" s="2">
        <v>9774.3888000000006</v>
      </c>
      <c r="AF306"/>
      <c r="AG306"/>
    </row>
    <row r="307" spans="1:33" x14ac:dyDescent="0.3">
      <c r="A307" s="15" t="s">
        <v>1179</v>
      </c>
      <c r="B307" s="2">
        <v>9771.4483199999995</v>
      </c>
      <c r="AF307"/>
      <c r="AG307"/>
    </row>
    <row r="308" spans="1:33" x14ac:dyDescent="0.3">
      <c r="A308" s="15" t="s">
        <v>1013</v>
      </c>
      <c r="B308" s="2">
        <v>8907.6924999999992</v>
      </c>
      <c r="AF308"/>
      <c r="AG308"/>
    </row>
    <row r="309" spans="1:33" x14ac:dyDescent="0.3">
      <c r="A309" s="15" t="s">
        <v>1009</v>
      </c>
      <c r="B309" s="2">
        <v>8567.3924999999999</v>
      </c>
      <c r="AF309"/>
      <c r="AG309"/>
    </row>
    <row r="310" spans="1:33" x14ac:dyDescent="0.3">
      <c r="A310" s="15" t="s">
        <v>866</v>
      </c>
      <c r="B310" s="2">
        <v>8336.8896000000004</v>
      </c>
      <c r="AF310"/>
      <c r="AG310"/>
    </row>
    <row r="311" spans="1:33" x14ac:dyDescent="0.3">
      <c r="A311" s="15" t="s">
        <v>1242</v>
      </c>
      <c r="B311" s="2">
        <v>8297.4286000000011</v>
      </c>
      <c r="AF311"/>
      <c r="AG311"/>
    </row>
    <row r="312" spans="1:33" x14ac:dyDescent="0.3">
      <c r="A312" s="15" t="s">
        <v>1191</v>
      </c>
      <c r="B312" s="2">
        <v>7643.2649999999994</v>
      </c>
      <c r="AF312"/>
      <c r="AG312"/>
    </row>
    <row r="313" spans="1:33" x14ac:dyDescent="0.3">
      <c r="A313" s="15" t="s">
        <v>749</v>
      </c>
      <c r="B313" s="2">
        <v>7090.5672000000004</v>
      </c>
      <c r="AF313"/>
      <c r="AG313"/>
    </row>
    <row r="314" spans="1:33" x14ac:dyDescent="0.3">
      <c r="A314" s="15" t="s">
        <v>1337</v>
      </c>
      <c r="B314" s="2">
        <v>7071.6331400000008</v>
      </c>
      <c r="AF314"/>
      <c r="AG314"/>
    </row>
    <row r="315" spans="1:33" x14ac:dyDescent="0.3">
      <c r="A315" s="15" t="s">
        <v>805</v>
      </c>
      <c r="B315" s="2">
        <v>6393.0952799999995</v>
      </c>
      <c r="AF315"/>
      <c r="AG315"/>
    </row>
    <row r="316" spans="1:33" x14ac:dyDescent="0.3">
      <c r="A316" s="15" t="s">
        <v>1038</v>
      </c>
      <c r="B316" s="2">
        <v>5932.7856000000002</v>
      </c>
      <c r="AF316"/>
      <c r="AG316"/>
    </row>
    <row r="317" spans="1:33" x14ac:dyDescent="0.3">
      <c r="A317" s="15" t="s">
        <v>786</v>
      </c>
      <c r="B317" s="2">
        <v>5785.8</v>
      </c>
      <c r="AF317"/>
      <c r="AG317"/>
    </row>
    <row r="318" spans="1:33" x14ac:dyDescent="0.3">
      <c r="A318" s="15" t="s">
        <v>1143</v>
      </c>
      <c r="B318" s="2">
        <v>5323.9903199999999</v>
      </c>
      <c r="AF318"/>
      <c r="AG318"/>
    </row>
    <row r="319" spans="1:33" x14ac:dyDescent="0.3">
      <c r="A319" s="15" t="s">
        <v>1136</v>
      </c>
      <c r="B319" s="2">
        <v>5250.4239000000007</v>
      </c>
      <c r="AF319"/>
      <c r="AG319"/>
    </row>
    <row r="320" spans="1:33" x14ac:dyDescent="0.3">
      <c r="A320" s="15" t="s">
        <v>1141</v>
      </c>
      <c r="B320" s="2">
        <v>4679.7141600000004</v>
      </c>
      <c r="AF320"/>
      <c r="AG320"/>
    </row>
    <row r="321" spans="1:33" x14ac:dyDescent="0.3">
      <c r="A321" s="15" t="s">
        <v>1297</v>
      </c>
      <c r="B321" s="2">
        <v>4229.4321199999995</v>
      </c>
      <c r="AF321"/>
      <c r="AG321"/>
    </row>
    <row r="322" spans="1:33" x14ac:dyDescent="0.3">
      <c r="A322" s="15" t="s">
        <v>739</v>
      </c>
      <c r="B322" s="2">
        <v>4141.7599999999993</v>
      </c>
      <c r="AF322"/>
      <c r="AG322"/>
    </row>
    <row r="323" spans="1:33" x14ac:dyDescent="0.3">
      <c r="A323" s="15" t="s">
        <v>1104</v>
      </c>
      <c r="B323" s="2">
        <v>4133.25108</v>
      </c>
      <c r="AF323"/>
      <c r="AG323"/>
    </row>
    <row r="324" spans="1:33" x14ac:dyDescent="0.3">
      <c r="A324" s="15" t="s">
        <v>1241</v>
      </c>
      <c r="B324" s="2">
        <v>3921.1744000000008</v>
      </c>
      <c r="AF324"/>
      <c r="AG324"/>
    </row>
    <row r="325" spans="1:33" x14ac:dyDescent="0.3">
      <c r="A325" s="15" t="s">
        <v>1316</v>
      </c>
      <c r="B325" s="2">
        <v>3823.6151599999998</v>
      </c>
      <c r="AF325"/>
      <c r="AG325"/>
    </row>
    <row r="326" spans="1:33" x14ac:dyDescent="0.3">
      <c r="A326" s="15" t="s">
        <v>973</v>
      </c>
      <c r="B326" s="2">
        <v>3823.5108</v>
      </c>
      <c r="AF326"/>
      <c r="AG326"/>
    </row>
    <row r="327" spans="1:33" x14ac:dyDescent="0.3">
      <c r="A327" s="15" t="s">
        <v>880</v>
      </c>
      <c r="B327" s="2">
        <v>3562.9028999999996</v>
      </c>
      <c r="AF327"/>
      <c r="AG327"/>
    </row>
    <row r="328" spans="1:33" x14ac:dyDescent="0.3">
      <c r="A328" s="15" t="s">
        <v>787</v>
      </c>
      <c r="B328" s="2">
        <v>2518.8755800000004</v>
      </c>
      <c r="AF328"/>
      <c r="AG328"/>
    </row>
    <row r="329" spans="1:33" x14ac:dyDescent="0.3">
      <c r="A329" s="15" t="s">
        <v>1209</v>
      </c>
      <c r="B329" s="2">
        <v>1009.2969000000002</v>
      </c>
      <c r="AF329"/>
      <c r="AG329"/>
    </row>
    <row r="330" spans="1:33" x14ac:dyDescent="0.3">
      <c r="A330" s="15" t="s">
        <v>853</v>
      </c>
      <c r="B330" s="2">
        <v>592.92849000000001</v>
      </c>
      <c r="AF330"/>
      <c r="AG330"/>
    </row>
    <row r="331" spans="1:33" x14ac:dyDescent="0.3">
      <c r="A331" s="15" t="s">
        <v>1122</v>
      </c>
      <c r="B331" s="2">
        <v>434.45248000000004</v>
      </c>
      <c r="AF331"/>
      <c r="AG331"/>
    </row>
    <row r="332" spans="1:33" x14ac:dyDescent="0.3">
      <c r="A332" s="15" t="s">
        <v>1363</v>
      </c>
      <c r="B332" s="2">
        <v>266.17821999999995</v>
      </c>
      <c r="AF332"/>
      <c r="AG332"/>
    </row>
    <row r="333" spans="1:33" x14ac:dyDescent="0.3">
      <c r="A333" s="14" t="s">
        <v>732</v>
      </c>
      <c r="B333" s="2">
        <v>1551590.8794699993</v>
      </c>
      <c r="AF333"/>
      <c r="AG333"/>
    </row>
    <row r="334" spans="1:33" x14ac:dyDescent="0.3">
      <c r="A334" s="15" t="s">
        <v>909</v>
      </c>
      <c r="B334" s="2">
        <v>92715.25</v>
      </c>
      <c r="AF334"/>
      <c r="AG334"/>
    </row>
    <row r="335" spans="1:33" x14ac:dyDescent="0.3">
      <c r="A335" s="15" t="s">
        <v>874</v>
      </c>
      <c r="B335" s="2">
        <v>87404.929919999995</v>
      </c>
      <c r="AF335"/>
      <c r="AG335"/>
    </row>
    <row r="336" spans="1:33" x14ac:dyDescent="0.3">
      <c r="A336" s="15" t="s">
        <v>899</v>
      </c>
      <c r="B336" s="2">
        <v>85637.740319999997</v>
      </c>
      <c r="AF336"/>
      <c r="AG336"/>
    </row>
    <row r="337" spans="1:33" x14ac:dyDescent="0.3">
      <c r="A337" s="15" t="s">
        <v>797</v>
      </c>
      <c r="B337" s="2">
        <v>72665.817450000002</v>
      </c>
      <c r="AF337"/>
      <c r="AG337"/>
    </row>
    <row r="338" spans="1:33" x14ac:dyDescent="0.3">
      <c r="A338" s="15" t="s">
        <v>1129</v>
      </c>
      <c r="B338" s="2">
        <v>56176.777799999996</v>
      </c>
      <c r="AF338"/>
      <c r="AG338"/>
    </row>
    <row r="339" spans="1:33" x14ac:dyDescent="0.3">
      <c r="A339" s="15" t="s">
        <v>1181</v>
      </c>
      <c r="B339" s="2">
        <v>45547.183360000003</v>
      </c>
      <c r="AF339"/>
      <c r="AG339"/>
    </row>
    <row r="340" spans="1:33" x14ac:dyDescent="0.3">
      <c r="A340" s="15" t="s">
        <v>774</v>
      </c>
      <c r="B340" s="2">
        <v>41106.800970000004</v>
      </c>
      <c r="AF340"/>
      <c r="AG340"/>
    </row>
    <row r="341" spans="1:33" x14ac:dyDescent="0.3">
      <c r="A341" s="15" t="s">
        <v>1000</v>
      </c>
      <c r="B341" s="2">
        <v>38818.760160000005</v>
      </c>
      <c r="AF341"/>
      <c r="AG341"/>
    </row>
    <row r="342" spans="1:33" x14ac:dyDescent="0.3">
      <c r="A342" s="15" t="s">
        <v>1006</v>
      </c>
      <c r="B342" s="2">
        <v>34632.106319999999</v>
      </c>
      <c r="AF342"/>
      <c r="AG342"/>
    </row>
    <row r="343" spans="1:33" x14ac:dyDescent="0.3">
      <c r="A343" s="15" t="s">
        <v>1106</v>
      </c>
      <c r="B343" s="2">
        <v>32280.32474</v>
      </c>
      <c r="AF343"/>
      <c r="AG343"/>
    </row>
    <row r="344" spans="1:33" x14ac:dyDescent="0.3">
      <c r="A344" s="15" t="s">
        <v>789</v>
      </c>
      <c r="B344" s="2">
        <v>31680.795320000001</v>
      </c>
      <c r="AF344"/>
      <c r="AG344"/>
    </row>
    <row r="345" spans="1:33" x14ac:dyDescent="0.3">
      <c r="A345" s="15" t="s">
        <v>929</v>
      </c>
      <c r="B345" s="2">
        <v>31191.64716</v>
      </c>
      <c r="AF345"/>
      <c r="AG345"/>
    </row>
    <row r="346" spans="1:33" x14ac:dyDescent="0.3">
      <c r="A346" s="15" t="s">
        <v>1044</v>
      </c>
      <c r="B346" s="2">
        <v>30799.273800000003</v>
      </c>
      <c r="AF346"/>
      <c r="AG346"/>
    </row>
    <row r="347" spans="1:33" x14ac:dyDescent="0.3">
      <c r="A347" s="15" t="s">
        <v>1274</v>
      </c>
      <c r="B347" s="2">
        <v>30652.403519999996</v>
      </c>
      <c r="AF347"/>
      <c r="AG347"/>
    </row>
    <row r="348" spans="1:33" x14ac:dyDescent="0.3">
      <c r="A348" s="15" t="s">
        <v>1007</v>
      </c>
      <c r="B348" s="2">
        <v>29536.716</v>
      </c>
      <c r="AF348"/>
      <c r="AG348"/>
    </row>
    <row r="349" spans="1:33" x14ac:dyDescent="0.3">
      <c r="A349" s="15" t="s">
        <v>922</v>
      </c>
      <c r="B349" s="2">
        <v>28072.190160000002</v>
      </c>
      <c r="AF349"/>
      <c r="AG349"/>
    </row>
    <row r="350" spans="1:33" x14ac:dyDescent="0.3">
      <c r="A350" s="15" t="s">
        <v>869</v>
      </c>
      <c r="B350" s="2">
        <v>27370.540859999997</v>
      </c>
      <c r="AF350"/>
      <c r="AG350"/>
    </row>
    <row r="351" spans="1:33" x14ac:dyDescent="0.3">
      <c r="A351" s="15" t="s">
        <v>918</v>
      </c>
      <c r="B351" s="2">
        <v>26408.63841</v>
      </c>
      <c r="AF351"/>
      <c r="AG351"/>
    </row>
    <row r="352" spans="1:33" x14ac:dyDescent="0.3">
      <c r="A352" s="15" t="s">
        <v>939</v>
      </c>
      <c r="B352" s="2">
        <v>26131.70736</v>
      </c>
      <c r="AF352"/>
      <c r="AG352"/>
    </row>
    <row r="353" spans="1:33" x14ac:dyDescent="0.3">
      <c r="A353" s="15" t="s">
        <v>1073</v>
      </c>
      <c r="B353" s="2">
        <v>26106.613960000002</v>
      </c>
      <c r="AF353"/>
      <c r="AG353"/>
    </row>
    <row r="354" spans="1:33" x14ac:dyDescent="0.3">
      <c r="A354" s="15" t="s">
        <v>938</v>
      </c>
      <c r="B354" s="2">
        <v>25553.782800000001</v>
      </c>
      <c r="AF354"/>
      <c r="AG354"/>
    </row>
    <row r="355" spans="1:33" x14ac:dyDescent="0.3">
      <c r="A355" s="15" t="s">
        <v>1300</v>
      </c>
      <c r="B355" s="2">
        <v>25079.480689999997</v>
      </c>
      <c r="AF355"/>
      <c r="AG355"/>
    </row>
    <row r="356" spans="1:33" x14ac:dyDescent="0.3">
      <c r="A356" s="15" t="s">
        <v>849</v>
      </c>
      <c r="B356" s="2">
        <v>24523.006720000001</v>
      </c>
      <c r="AF356"/>
      <c r="AG356"/>
    </row>
    <row r="357" spans="1:33" x14ac:dyDescent="0.3">
      <c r="A357" s="15" t="s">
        <v>1187</v>
      </c>
      <c r="B357" s="2">
        <v>23132.398349999996</v>
      </c>
      <c r="AF357"/>
      <c r="AG357"/>
    </row>
    <row r="358" spans="1:33" x14ac:dyDescent="0.3">
      <c r="A358" s="15" t="s">
        <v>855</v>
      </c>
      <c r="B358" s="2">
        <v>22983.34563</v>
      </c>
      <c r="AF358"/>
      <c r="AG358"/>
    </row>
    <row r="359" spans="1:33" x14ac:dyDescent="0.3">
      <c r="A359" s="15" t="s">
        <v>894</v>
      </c>
      <c r="B359" s="2">
        <v>22044.871499999997</v>
      </c>
      <c r="AF359"/>
      <c r="AG359"/>
    </row>
    <row r="360" spans="1:33" x14ac:dyDescent="0.3">
      <c r="A360" s="15" t="s">
        <v>1233</v>
      </c>
      <c r="B360" s="2">
        <v>20332.775539999999</v>
      </c>
      <c r="AF360"/>
      <c r="AG360"/>
    </row>
    <row r="361" spans="1:33" x14ac:dyDescent="0.3">
      <c r="A361" s="15" t="s">
        <v>986</v>
      </c>
      <c r="B361" s="2">
        <v>17689.623</v>
      </c>
      <c r="AF361"/>
      <c r="AG361"/>
    </row>
    <row r="362" spans="1:33" x14ac:dyDescent="0.3">
      <c r="A362" s="15" t="s">
        <v>1014</v>
      </c>
      <c r="B362" s="2">
        <v>17441.021520000002</v>
      </c>
      <c r="AF362"/>
      <c r="AG362"/>
    </row>
    <row r="363" spans="1:33" x14ac:dyDescent="0.3">
      <c r="A363" s="15" t="s">
        <v>1232</v>
      </c>
      <c r="B363" s="2">
        <v>16574.544740000001</v>
      </c>
      <c r="AF363"/>
      <c r="AG363"/>
    </row>
    <row r="364" spans="1:33" x14ac:dyDescent="0.3">
      <c r="A364" s="15" t="s">
        <v>1085</v>
      </c>
      <c r="B364" s="2">
        <v>16487.22781</v>
      </c>
      <c r="AF364"/>
      <c r="AG364"/>
    </row>
    <row r="365" spans="1:33" x14ac:dyDescent="0.3">
      <c r="A365" s="15" t="s">
        <v>1123</v>
      </c>
      <c r="B365" s="2">
        <v>16142.527829999999</v>
      </c>
      <c r="AF365"/>
      <c r="AG365"/>
    </row>
    <row r="366" spans="1:33" x14ac:dyDescent="0.3">
      <c r="A366" s="15" t="s">
        <v>1256</v>
      </c>
      <c r="B366" s="2">
        <v>16121.273400000002</v>
      </c>
      <c r="AF366"/>
      <c r="AG366"/>
    </row>
    <row r="367" spans="1:33" x14ac:dyDescent="0.3">
      <c r="A367" s="15" t="s">
        <v>1117</v>
      </c>
      <c r="B367" s="2">
        <v>15257.51748</v>
      </c>
      <c r="AF367"/>
      <c r="AG367"/>
    </row>
    <row r="368" spans="1:33" x14ac:dyDescent="0.3">
      <c r="A368" s="15" t="s">
        <v>742</v>
      </c>
      <c r="B368" s="2">
        <v>14714.12934</v>
      </c>
      <c r="AF368"/>
      <c r="AG368"/>
    </row>
    <row r="369" spans="1:33" x14ac:dyDescent="0.3">
      <c r="A369" s="15" t="s">
        <v>1306</v>
      </c>
      <c r="B369" s="2">
        <v>14466.95104</v>
      </c>
      <c r="AF369"/>
      <c r="AG369"/>
    </row>
    <row r="370" spans="1:33" x14ac:dyDescent="0.3">
      <c r="A370" s="15" t="s">
        <v>801</v>
      </c>
      <c r="B370" s="2">
        <v>14287.896349999999</v>
      </c>
      <c r="AF370"/>
      <c r="AG370"/>
    </row>
    <row r="371" spans="1:33" x14ac:dyDescent="0.3">
      <c r="A371" s="15" t="s">
        <v>1161</v>
      </c>
      <c r="B371" s="2">
        <v>13450.74</v>
      </c>
      <c r="AF371"/>
      <c r="AG371"/>
    </row>
    <row r="372" spans="1:33" x14ac:dyDescent="0.3">
      <c r="A372" s="15" t="s">
        <v>1138</v>
      </c>
      <c r="B372" s="2">
        <v>13437.300239999999</v>
      </c>
      <c r="AF372"/>
      <c r="AG372"/>
    </row>
    <row r="373" spans="1:33" x14ac:dyDescent="0.3">
      <c r="A373" s="15" t="s">
        <v>1132</v>
      </c>
      <c r="B373" s="2">
        <v>12972.00222</v>
      </c>
      <c r="AF373"/>
      <c r="AG373"/>
    </row>
    <row r="374" spans="1:33" x14ac:dyDescent="0.3">
      <c r="A374" s="15" t="s">
        <v>1166</v>
      </c>
      <c r="B374" s="2">
        <v>12967.958640000001</v>
      </c>
      <c r="AF374"/>
      <c r="AG374"/>
    </row>
    <row r="375" spans="1:33" x14ac:dyDescent="0.3">
      <c r="A375" s="15" t="s">
        <v>901</v>
      </c>
      <c r="B375" s="2">
        <v>12413.98458</v>
      </c>
      <c r="AF375"/>
      <c r="AG375"/>
    </row>
    <row r="376" spans="1:33" x14ac:dyDescent="0.3">
      <c r="A376" s="15" t="s">
        <v>897</v>
      </c>
      <c r="B376" s="2">
        <v>12194.714</v>
      </c>
      <c r="AF376"/>
      <c r="AG376"/>
    </row>
    <row r="377" spans="1:33" x14ac:dyDescent="0.3">
      <c r="A377" s="15" t="s">
        <v>822</v>
      </c>
      <c r="B377" s="2">
        <v>11842.8464</v>
      </c>
      <c r="AF377"/>
      <c r="AG377"/>
    </row>
    <row r="378" spans="1:33" x14ac:dyDescent="0.3">
      <c r="A378" s="15" t="s">
        <v>983</v>
      </c>
      <c r="B378" s="2">
        <v>11813.604160000001</v>
      </c>
      <c r="AF378"/>
      <c r="AG378"/>
    </row>
    <row r="379" spans="1:33" x14ac:dyDescent="0.3">
      <c r="A379" s="15" t="s">
        <v>1281</v>
      </c>
      <c r="B379" s="2">
        <v>10937.519999999999</v>
      </c>
      <c r="AF379"/>
      <c r="AG379"/>
    </row>
    <row r="380" spans="1:33" x14ac:dyDescent="0.3">
      <c r="A380" s="15" t="s">
        <v>1290</v>
      </c>
      <c r="B380" s="2">
        <v>10519.776450000001</v>
      </c>
      <c r="AF380"/>
      <c r="AG380"/>
    </row>
    <row r="381" spans="1:33" x14ac:dyDescent="0.3">
      <c r="A381" s="15" t="s">
        <v>1152</v>
      </c>
      <c r="B381" s="2">
        <v>9509.2865999999995</v>
      </c>
      <c r="AF381"/>
      <c r="AG381"/>
    </row>
    <row r="382" spans="1:33" x14ac:dyDescent="0.3">
      <c r="A382" s="15" t="s">
        <v>1344</v>
      </c>
      <c r="B382" s="2">
        <v>9256.14</v>
      </c>
      <c r="AF382"/>
      <c r="AG382"/>
    </row>
    <row r="383" spans="1:33" x14ac:dyDescent="0.3">
      <c r="A383" s="15" t="s">
        <v>1243</v>
      </c>
      <c r="B383" s="2">
        <v>9232.2830599999998</v>
      </c>
      <c r="AF383"/>
      <c r="AG383"/>
    </row>
    <row r="384" spans="1:33" x14ac:dyDescent="0.3">
      <c r="A384" s="15" t="s">
        <v>925</v>
      </c>
      <c r="B384" s="2">
        <v>8763.2849999999999</v>
      </c>
      <c r="AF384"/>
      <c r="AG384"/>
    </row>
    <row r="385" spans="1:33" x14ac:dyDescent="0.3">
      <c r="A385" s="15" t="s">
        <v>917</v>
      </c>
      <c r="B385" s="2">
        <v>8698.8768300000011</v>
      </c>
      <c r="AF385"/>
      <c r="AG385"/>
    </row>
    <row r="386" spans="1:33" x14ac:dyDescent="0.3">
      <c r="A386" s="15" t="s">
        <v>802</v>
      </c>
      <c r="B386" s="2">
        <v>8671.7354400000004</v>
      </c>
      <c r="AF386"/>
      <c r="AG386"/>
    </row>
    <row r="387" spans="1:33" x14ac:dyDescent="0.3">
      <c r="A387" s="15" t="s">
        <v>923</v>
      </c>
      <c r="B387" s="2">
        <v>8590.7094000000016</v>
      </c>
      <c r="AF387"/>
      <c r="AG387"/>
    </row>
    <row r="388" spans="1:33" x14ac:dyDescent="0.3">
      <c r="A388" s="15" t="s">
        <v>1295</v>
      </c>
      <c r="B388" s="2">
        <v>8520.2954399999999</v>
      </c>
      <c r="AF388"/>
      <c r="AG388"/>
    </row>
    <row r="389" spans="1:33" x14ac:dyDescent="0.3">
      <c r="A389" s="15" t="s">
        <v>1206</v>
      </c>
      <c r="B389" s="2">
        <v>8330.2513199999994</v>
      </c>
      <c r="AF389"/>
      <c r="AG389"/>
    </row>
    <row r="390" spans="1:33" x14ac:dyDescent="0.3">
      <c r="A390" s="15" t="s">
        <v>1190</v>
      </c>
      <c r="B390" s="2">
        <v>7854.6931199999999</v>
      </c>
      <c r="AF390"/>
      <c r="AG390"/>
    </row>
    <row r="391" spans="1:33" x14ac:dyDescent="0.3">
      <c r="A391" s="15" t="s">
        <v>950</v>
      </c>
      <c r="B391" s="2">
        <v>7738.9596900000006</v>
      </c>
      <c r="AF391"/>
      <c r="AG391"/>
    </row>
    <row r="392" spans="1:33" x14ac:dyDescent="0.3">
      <c r="A392" s="15" t="s">
        <v>864</v>
      </c>
      <c r="B392" s="2">
        <v>7703.8640800000003</v>
      </c>
      <c r="AF392"/>
      <c r="AG392"/>
    </row>
    <row r="393" spans="1:33" x14ac:dyDescent="0.3">
      <c r="A393" s="15" t="s">
        <v>1097</v>
      </c>
      <c r="B393" s="2">
        <v>7327.9533600000004</v>
      </c>
      <c r="AF393"/>
      <c r="AG393"/>
    </row>
    <row r="394" spans="1:33" x14ac:dyDescent="0.3">
      <c r="A394" s="15" t="s">
        <v>1005</v>
      </c>
      <c r="B394" s="2">
        <v>7120.6486400000003</v>
      </c>
      <c r="AF394"/>
      <c r="AG394"/>
    </row>
    <row r="395" spans="1:33" x14ac:dyDescent="0.3">
      <c r="A395" s="15" t="s">
        <v>912</v>
      </c>
      <c r="B395" s="2">
        <v>7098.5495999999994</v>
      </c>
      <c r="AF395"/>
      <c r="AG395"/>
    </row>
    <row r="396" spans="1:33" x14ac:dyDescent="0.3">
      <c r="A396" s="15" t="s">
        <v>902</v>
      </c>
      <c r="B396" s="2">
        <v>6824.2884000000004</v>
      </c>
      <c r="AF396"/>
      <c r="AG396"/>
    </row>
    <row r="397" spans="1:33" x14ac:dyDescent="0.3">
      <c r="A397" s="15" t="s">
        <v>1062</v>
      </c>
      <c r="B397" s="2">
        <v>6667.9199999999983</v>
      </c>
      <c r="AF397"/>
      <c r="AG397"/>
    </row>
    <row r="398" spans="1:33" x14ac:dyDescent="0.3">
      <c r="A398" s="15" t="s">
        <v>988</v>
      </c>
      <c r="B398" s="2">
        <v>6468.2751599999992</v>
      </c>
      <c r="AF398"/>
      <c r="AG398"/>
    </row>
    <row r="399" spans="1:33" x14ac:dyDescent="0.3">
      <c r="A399" s="15" t="s">
        <v>1331</v>
      </c>
      <c r="B399" s="2">
        <v>5962.1422499999999</v>
      </c>
      <c r="AF399"/>
      <c r="AG399"/>
    </row>
    <row r="400" spans="1:33" x14ac:dyDescent="0.3">
      <c r="A400" s="15" t="s">
        <v>852</v>
      </c>
      <c r="B400" s="2">
        <v>5769.2758000000003</v>
      </c>
      <c r="AF400"/>
      <c r="AG400"/>
    </row>
    <row r="401" spans="1:33" x14ac:dyDescent="0.3">
      <c r="A401" s="15" t="s">
        <v>1325</v>
      </c>
      <c r="B401" s="2">
        <v>5725.6496000000006</v>
      </c>
      <c r="AF401"/>
      <c r="AG401"/>
    </row>
    <row r="402" spans="1:33" x14ac:dyDescent="0.3">
      <c r="A402" s="15" t="s">
        <v>1180</v>
      </c>
      <c r="B402" s="2">
        <v>5565.3272500000003</v>
      </c>
      <c r="AF402"/>
      <c r="AG402"/>
    </row>
    <row r="403" spans="1:33" x14ac:dyDescent="0.3">
      <c r="A403" s="15" t="s">
        <v>967</v>
      </c>
      <c r="B403" s="2">
        <v>5280.8577599999999</v>
      </c>
      <c r="AF403"/>
      <c r="AG403"/>
    </row>
    <row r="404" spans="1:33" x14ac:dyDescent="0.3">
      <c r="A404" s="15" t="s">
        <v>1359</v>
      </c>
      <c r="B404" s="2">
        <v>5096.4790800000001</v>
      </c>
      <c r="AF404"/>
      <c r="AG404"/>
    </row>
    <row r="405" spans="1:33" x14ac:dyDescent="0.3">
      <c r="A405" s="15" t="s">
        <v>1048</v>
      </c>
      <c r="B405" s="2">
        <v>5032.4433599999993</v>
      </c>
      <c r="AF405"/>
      <c r="AG405"/>
    </row>
    <row r="406" spans="1:33" x14ac:dyDescent="0.3">
      <c r="A406" s="15" t="s">
        <v>813</v>
      </c>
      <c r="B406" s="2">
        <v>4877.1379800000004</v>
      </c>
      <c r="AF406"/>
      <c r="AG406"/>
    </row>
    <row r="407" spans="1:33" x14ac:dyDescent="0.3">
      <c r="A407" s="15" t="s">
        <v>920</v>
      </c>
      <c r="B407" s="2">
        <v>4831.9464600000001</v>
      </c>
      <c r="AF407"/>
      <c r="AG407"/>
    </row>
    <row r="408" spans="1:33" x14ac:dyDescent="0.3">
      <c r="A408" s="15" t="s">
        <v>1278</v>
      </c>
      <c r="B408" s="2">
        <v>4826.5396199999996</v>
      </c>
      <c r="AF408"/>
      <c r="AG408"/>
    </row>
    <row r="409" spans="1:33" x14ac:dyDescent="0.3">
      <c r="A409" s="15" t="s">
        <v>1228</v>
      </c>
      <c r="B409" s="2">
        <v>4682.9519799999998</v>
      </c>
      <c r="AF409"/>
      <c r="AG409"/>
    </row>
    <row r="410" spans="1:33" x14ac:dyDescent="0.3">
      <c r="A410" s="15" t="s">
        <v>992</v>
      </c>
      <c r="B410" s="2">
        <v>4375.3620000000001</v>
      </c>
      <c r="AF410"/>
      <c r="AG410"/>
    </row>
    <row r="411" spans="1:33" x14ac:dyDescent="0.3">
      <c r="A411" s="15" t="s">
        <v>1031</v>
      </c>
      <c r="B411" s="2">
        <v>3190.8713200000002</v>
      </c>
      <c r="AF411"/>
      <c r="AG411"/>
    </row>
    <row r="412" spans="1:33" x14ac:dyDescent="0.3">
      <c r="A412" s="15" t="s">
        <v>1052</v>
      </c>
      <c r="B412" s="2">
        <v>2915.4540999999999</v>
      </c>
      <c r="AF412"/>
      <c r="AG412"/>
    </row>
    <row r="413" spans="1:33" x14ac:dyDescent="0.3">
      <c r="A413" s="15" t="s">
        <v>740</v>
      </c>
      <c r="B413" s="2">
        <v>2886.4496399999998</v>
      </c>
      <c r="AF413"/>
      <c r="AG413"/>
    </row>
    <row r="414" spans="1:33" x14ac:dyDescent="0.3">
      <c r="A414" s="15" t="s">
        <v>1165</v>
      </c>
      <c r="B414" s="2">
        <v>2627.6239999999998</v>
      </c>
      <c r="AF414"/>
      <c r="AG414"/>
    </row>
    <row r="415" spans="1:33" x14ac:dyDescent="0.3">
      <c r="A415" s="15" t="s">
        <v>951</v>
      </c>
      <c r="B415" s="2">
        <v>2231.6467200000002</v>
      </c>
      <c r="AF415"/>
      <c r="AG415"/>
    </row>
    <row r="416" spans="1:33" x14ac:dyDescent="0.3">
      <c r="A416" s="15" t="s">
        <v>1283</v>
      </c>
      <c r="B416" s="2">
        <v>1846.8040799999999</v>
      </c>
      <c r="AF416"/>
      <c r="AG416"/>
    </row>
    <row r="417" spans="1:33" x14ac:dyDescent="0.3">
      <c r="A417" s="15" t="s">
        <v>1314</v>
      </c>
      <c r="B417" s="2">
        <v>1801.4076000000002</v>
      </c>
      <c r="AF417"/>
      <c r="AG417"/>
    </row>
    <row r="418" spans="1:33" x14ac:dyDescent="0.3">
      <c r="A418" s="15" t="s">
        <v>945</v>
      </c>
      <c r="B418" s="2">
        <v>1774.8072</v>
      </c>
      <c r="AF418"/>
      <c r="AG418"/>
    </row>
    <row r="419" spans="1:33" x14ac:dyDescent="0.3">
      <c r="A419" s="15" t="s">
        <v>1039</v>
      </c>
      <c r="B419" s="2">
        <v>1641.7107199999998</v>
      </c>
      <c r="AF419"/>
      <c r="AG419"/>
    </row>
    <row r="420" spans="1:33" x14ac:dyDescent="0.3">
      <c r="A420" s="15" t="s">
        <v>1349</v>
      </c>
      <c r="B420" s="2">
        <v>846.34703999999988</v>
      </c>
      <c r="AF420"/>
      <c r="AG420"/>
    </row>
    <row r="421" spans="1:33" x14ac:dyDescent="0.3">
      <c r="A421" s="15" t="s">
        <v>823</v>
      </c>
      <c r="B421" s="2">
        <v>624.43503999999996</v>
      </c>
      <c r="AF421"/>
      <c r="AG421"/>
    </row>
    <row r="422" spans="1:33" x14ac:dyDescent="0.3">
      <c r="A422" s="15" t="s">
        <v>981</v>
      </c>
      <c r="B422" s="2">
        <v>607.30668000000003</v>
      </c>
      <c r="AF422"/>
      <c r="AG422"/>
    </row>
    <row r="423" spans="1:33" x14ac:dyDescent="0.3">
      <c r="A423" s="15" t="s">
        <v>785</v>
      </c>
      <c r="B423" s="2">
        <v>599.53200000000004</v>
      </c>
      <c r="AF423"/>
      <c r="AG423"/>
    </row>
    <row r="424" spans="1:33" x14ac:dyDescent="0.3">
      <c r="A424" s="15" t="s">
        <v>1265</v>
      </c>
      <c r="B424" s="2">
        <v>534.57695999999999</v>
      </c>
      <c r="AF424"/>
      <c r="AG424"/>
    </row>
    <row r="425" spans="1:33" x14ac:dyDescent="0.3">
      <c r="A425" s="15" t="s">
        <v>817</v>
      </c>
      <c r="B425" s="2">
        <v>524.81174999999996</v>
      </c>
      <c r="AF425"/>
      <c r="AG425"/>
    </row>
    <row r="426" spans="1:33" x14ac:dyDescent="0.3">
      <c r="A426" s="15" t="s">
        <v>830</v>
      </c>
      <c r="B426" s="2">
        <v>147.00756000000001</v>
      </c>
      <c r="AF426"/>
      <c r="AG426"/>
    </row>
    <row r="427" spans="1:33" x14ac:dyDescent="0.3">
      <c r="A427" s="15" t="s">
        <v>1032</v>
      </c>
      <c r="B427" s="2">
        <v>66.920760000000001</v>
      </c>
      <c r="AF427"/>
      <c r="AG427"/>
    </row>
    <row r="428" spans="1:33" x14ac:dyDescent="0.3">
      <c r="A428" s="14" t="s">
        <v>729</v>
      </c>
      <c r="B428" s="2">
        <v>1774683.0832000005</v>
      </c>
      <c r="AF428"/>
      <c r="AG428"/>
    </row>
    <row r="429" spans="1:33" x14ac:dyDescent="0.3">
      <c r="A429" s="15" t="s">
        <v>781</v>
      </c>
      <c r="B429" s="2">
        <v>109244</v>
      </c>
      <c r="AF429"/>
      <c r="AG429"/>
    </row>
    <row r="430" spans="1:33" x14ac:dyDescent="0.3">
      <c r="A430" s="15" t="s">
        <v>1345</v>
      </c>
      <c r="B430" s="2">
        <v>82141.339799999987</v>
      </c>
      <c r="AF430"/>
      <c r="AG430"/>
    </row>
    <row r="431" spans="1:33" x14ac:dyDescent="0.3">
      <c r="A431" s="15" t="s">
        <v>1010</v>
      </c>
      <c r="B431" s="2">
        <v>79548.755999999994</v>
      </c>
      <c r="AF431"/>
      <c r="AG431"/>
    </row>
    <row r="432" spans="1:33" x14ac:dyDescent="0.3">
      <c r="A432" s="15" t="s">
        <v>957</v>
      </c>
      <c r="B432" s="2">
        <v>66988.771199999988</v>
      </c>
      <c r="AF432"/>
      <c r="AG432"/>
    </row>
    <row r="433" spans="1:33" x14ac:dyDescent="0.3">
      <c r="A433" s="15" t="s">
        <v>814</v>
      </c>
      <c r="B433" s="2">
        <v>60292.805299999993</v>
      </c>
      <c r="AF433"/>
      <c r="AG433"/>
    </row>
    <row r="434" spans="1:33" x14ac:dyDescent="0.3">
      <c r="A434" s="15" t="s">
        <v>1324</v>
      </c>
      <c r="B434" s="2">
        <v>51768.181920000003</v>
      </c>
      <c r="AF434"/>
      <c r="AG434"/>
    </row>
    <row r="435" spans="1:33" x14ac:dyDescent="0.3">
      <c r="A435" s="15" t="s">
        <v>1356</v>
      </c>
      <c r="B435" s="2">
        <v>50090.397499999999</v>
      </c>
      <c r="AF435"/>
      <c r="AG435"/>
    </row>
    <row r="436" spans="1:33" x14ac:dyDescent="0.3">
      <c r="A436" s="15" t="s">
        <v>1091</v>
      </c>
      <c r="B436" s="2">
        <v>49336.511399999996</v>
      </c>
      <c r="AF436"/>
      <c r="AG436"/>
    </row>
    <row r="437" spans="1:33" x14ac:dyDescent="0.3">
      <c r="A437" s="15" t="s">
        <v>937</v>
      </c>
      <c r="B437" s="2">
        <v>47962.717579999997</v>
      </c>
      <c r="AF437"/>
      <c r="AG437"/>
    </row>
    <row r="438" spans="1:33" x14ac:dyDescent="0.3">
      <c r="A438" s="15" t="s">
        <v>1116</v>
      </c>
      <c r="B438" s="2">
        <v>47693.373</v>
      </c>
      <c r="AF438"/>
      <c r="AG438"/>
    </row>
    <row r="439" spans="1:33" x14ac:dyDescent="0.3">
      <c r="A439" s="15" t="s">
        <v>1110</v>
      </c>
      <c r="B439" s="2">
        <v>43553.493060000001</v>
      </c>
      <c r="AF439"/>
      <c r="AG439"/>
    </row>
    <row r="440" spans="1:33" x14ac:dyDescent="0.3">
      <c r="A440" s="15" t="s">
        <v>1213</v>
      </c>
      <c r="B440" s="2">
        <v>40488.792960000006</v>
      </c>
      <c r="AF440"/>
      <c r="AG440"/>
    </row>
    <row r="441" spans="1:33" x14ac:dyDescent="0.3">
      <c r="A441" s="15" t="s">
        <v>1036</v>
      </c>
      <c r="B441" s="2">
        <v>39686.4182</v>
      </c>
      <c r="AF441"/>
      <c r="AG441"/>
    </row>
    <row r="442" spans="1:33" x14ac:dyDescent="0.3">
      <c r="A442" s="15" t="s">
        <v>1056</v>
      </c>
      <c r="B442" s="2">
        <v>39546.774539999999</v>
      </c>
      <c r="AF442"/>
      <c r="AG442"/>
    </row>
    <row r="443" spans="1:33" x14ac:dyDescent="0.3">
      <c r="A443" s="15" t="s">
        <v>854</v>
      </c>
      <c r="B443" s="2">
        <v>39516.804389999998</v>
      </c>
      <c r="AF443"/>
      <c r="AG443"/>
    </row>
    <row r="444" spans="1:33" x14ac:dyDescent="0.3">
      <c r="A444" s="15" t="s">
        <v>782</v>
      </c>
      <c r="B444" s="2">
        <v>35621.302319999995</v>
      </c>
      <c r="AF444"/>
      <c r="AG444"/>
    </row>
    <row r="445" spans="1:33" x14ac:dyDescent="0.3">
      <c r="A445" s="15" t="s">
        <v>1087</v>
      </c>
      <c r="B445" s="2">
        <v>34816.968000000001</v>
      </c>
      <c r="AF445"/>
      <c r="AG445"/>
    </row>
    <row r="446" spans="1:33" x14ac:dyDescent="0.3">
      <c r="A446" s="15" t="s">
        <v>1301</v>
      </c>
      <c r="B446" s="2">
        <v>34307.159999999996</v>
      </c>
      <c r="AF446"/>
      <c r="AG446"/>
    </row>
    <row r="447" spans="1:33" x14ac:dyDescent="0.3">
      <c r="A447" s="15" t="s">
        <v>1113</v>
      </c>
      <c r="B447" s="2">
        <v>33200.038079999998</v>
      </c>
      <c r="AF447"/>
      <c r="AG447"/>
    </row>
    <row r="448" spans="1:33" x14ac:dyDescent="0.3">
      <c r="A448" s="15" t="s">
        <v>1357</v>
      </c>
      <c r="B448" s="2">
        <v>32704.386400000003</v>
      </c>
      <c r="AF448"/>
      <c r="AG448"/>
    </row>
    <row r="449" spans="1:33" x14ac:dyDescent="0.3">
      <c r="A449" s="15" t="s">
        <v>779</v>
      </c>
      <c r="B449" s="2">
        <v>32506.559399999998</v>
      </c>
      <c r="AF449"/>
      <c r="AG449"/>
    </row>
    <row r="450" spans="1:33" x14ac:dyDescent="0.3">
      <c r="A450" s="15" t="s">
        <v>1147</v>
      </c>
      <c r="B450" s="2">
        <v>31513.423040000001</v>
      </c>
      <c r="AF450"/>
      <c r="AG450"/>
    </row>
    <row r="451" spans="1:33" x14ac:dyDescent="0.3">
      <c r="A451" s="15" t="s">
        <v>1229</v>
      </c>
      <c r="B451" s="2">
        <v>30692.47896</v>
      </c>
      <c r="AF451"/>
      <c r="AG451"/>
    </row>
    <row r="452" spans="1:33" x14ac:dyDescent="0.3">
      <c r="A452" s="15" t="s">
        <v>960</v>
      </c>
      <c r="B452" s="2">
        <v>30479.418970000002</v>
      </c>
      <c r="AF452"/>
      <c r="AG452"/>
    </row>
    <row r="453" spans="1:33" x14ac:dyDescent="0.3">
      <c r="A453" s="15" t="s">
        <v>1354</v>
      </c>
      <c r="B453" s="2">
        <v>30229.994880000002</v>
      </c>
      <c r="AF453"/>
      <c r="AG453"/>
    </row>
    <row r="454" spans="1:33" x14ac:dyDescent="0.3">
      <c r="A454" s="15" t="s">
        <v>1282</v>
      </c>
      <c r="B454" s="2">
        <v>29673.454499999993</v>
      </c>
      <c r="AF454"/>
      <c r="AG454"/>
    </row>
    <row r="455" spans="1:33" x14ac:dyDescent="0.3">
      <c r="A455" s="15" t="s">
        <v>878</v>
      </c>
      <c r="B455" s="2">
        <v>25672.127039999999</v>
      </c>
      <c r="AF455"/>
      <c r="AG455"/>
    </row>
    <row r="456" spans="1:33" x14ac:dyDescent="0.3">
      <c r="A456" s="15" t="s">
        <v>1230</v>
      </c>
      <c r="B456" s="2">
        <v>25249.613219999999</v>
      </c>
      <c r="AF456"/>
      <c r="AG456"/>
    </row>
    <row r="457" spans="1:33" x14ac:dyDescent="0.3">
      <c r="A457" s="15" t="s">
        <v>1217</v>
      </c>
      <c r="B457" s="2">
        <v>21908.731650000002</v>
      </c>
      <c r="AF457"/>
      <c r="AG457"/>
    </row>
    <row r="458" spans="1:33" x14ac:dyDescent="0.3">
      <c r="A458" s="15" t="s">
        <v>818</v>
      </c>
      <c r="B458" s="2">
        <v>21062.61248</v>
      </c>
      <c r="AF458"/>
      <c r="AG458"/>
    </row>
    <row r="459" spans="1:33" x14ac:dyDescent="0.3">
      <c r="A459" s="15" t="s">
        <v>763</v>
      </c>
      <c r="B459" s="2">
        <v>20084.133720000002</v>
      </c>
      <c r="AF459"/>
      <c r="AG459"/>
    </row>
    <row r="460" spans="1:33" x14ac:dyDescent="0.3">
      <c r="A460" s="15" t="s">
        <v>1021</v>
      </c>
      <c r="B460" s="2">
        <v>20028.787380000002</v>
      </c>
      <c r="AF460"/>
      <c r="AG460"/>
    </row>
    <row r="461" spans="1:33" x14ac:dyDescent="0.3">
      <c r="A461" s="15" t="s">
        <v>755</v>
      </c>
      <c r="B461" s="2">
        <v>19903.585040000002</v>
      </c>
      <c r="AF461"/>
      <c r="AG461"/>
    </row>
    <row r="462" spans="1:33" x14ac:dyDescent="0.3">
      <c r="A462" s="15" t="s">
        <v>1284</v>
      </c>
      <c r="B462" s="2">
        <v>18830.12472</v>
      </c>
      <c r="AF462"/>
      <c r="AG462"/>
    </row>
    <row r="463" spans="1:33" x14ac:dyDescent="0.3">
      <c r="A463" s="15" t="s">
        <v>1346</v>
      </c>
      <c r="B463" s="2">
        <v>18500.693520000001</v>
      </c>
      <c r="AF463"/>
      <c r="AG463"/>
    </row>
    <row r="464" spans="1:33" x14ac:dyDescent="0.3">
      <c r="A464" s="15" t="s">
        <v>1133</v>
      </c>
      <c r="B464" s="2">
        <v>17731.623</v>
      </c>
      <c r="AF464"/>
      <c r="AG464"/>
    </row>
    <row r="465" spans="1:33" x14ac:dyDescent="0.3">
      <c r="A465" s="15" t="s">
        <v>1051</v>
      </c>
      <c r="B465" s="2">
        <v>16306.59375</v>
      </c>
      <c r="AF465"/>
      <c r="AG465"/>
    </row>
    <row r="466" spans="1:33" x14ac:dyDescent="0.3">
      <c r="A466" s="15" t="s">
        <v>863</v>
      </c>
      <c r="B466" s="2">
        <v>16071.44868</v>
      </c>
      <c r="AF466"/>
      <c r="AG466"/>
    </row>
    <row r="467" spans="1:33" x14ac:dyDescent="0.3">
      <c r="A467" s="15" t="s">
        <v>1240</v>
      </c>
      <c r="B467" s="2">
        <v>15323.926799999999</v>
      </c>
      <c r="AF467"/>
      <c r="AG467"/>
    </row>
    <row r="468" spans="1:33" x14ac:dyDescent="0.3">
      <c r="A468" s="15" t="s">
        <v>949</v>
      </c>
      <c r="B468" s="2">
        <v>15253.069799999999</v>
      </c>
      <c r="AF468"/>
      <c r="AG468"/>
    </row>
    <row r="469" spans="1:33" x14ac:dyDescent="0.3">
      <c r="A469" s="15" t="s">
        <v>1200</v>
      </c>
      <c r="B469" s="2">
        <v>14261.92439</v>
      </c>
      <c r="AF469"/>
      <c r="AG469"/>
    </row>
    <row r="470" spans="1:33" x14ac:dyDescent="0.3">
      <c r="A470" s="15" t="s">
        <v>1309</v>
      </c>
      <c r="B470" s="2">
        <v>13882.6016</v>
      </c>
      <c r="AF470"/>
      <c r="AG470"/>
    </row>
    <row r="471" spans="1:33" x14ac:dyDescent="0.3">
      <c r="A471" s="15" t="s">
        <v>1015</v>
      </c>
      <c r="B471" s="2">
        <v>13360.438</v>
      </c>
      <c r="AF471"/>
      <c r="AG471"/>
    </row>
    <row r="472" spans="1:33" x14ac:dyDescent="0.3">
      <c r="A472" s="15" t="s">
        <v>1114</v>
      </c>
      <c r="B472" s="2">
        <v>12881.097599999999</v>
      </c>
      <c r="AF472"/>
      <c r="AG472"/>
    </row>
    <row r="473" spans="1:33" x14ac:dyDescent="0.3">
      <c r="A473" s="15" t="s">
        <v>1308</v>
      </c>
      <c r="B473" s="2">
        <v>12091.190399999999</v>
      </c>
      <c r="AF473"/>
      <c r="AG473"/>
    </row>
    <row r="474" spans="1:33" x14ac:dyDescent="0.3">
      <c r="A474" s="15" t="s">
        <v>857</v>
      </c>
      <c r="B474" s="2">
        <v>10817.3416</v>
      </c>
      <c r="AF474"/>
      <c r="AG474"/>
    </row>
    <row r="475" spans="1:33" x14ac:dyDescent="0.3">
      <c r="A475" s="15" t="s">
        <v>1277</v>
      </c>
      <c r="B475" s="2">
        <v>10792.637119999999</v>
      </c>
      <c r="AF475"/>
      <c r="AG475"/>
    </row>
    <row r="476" spans="1:33" x14ac:dyDescent="0.3">
      <c r="A476" s="15" t="s">
        <v>1348</v>
      </c>
      <c r="B476" s="2">
        <v>10786.32144</v>
      </c>
      <c r="AF476"/>
      <c r="AG476"/>
    </row>
    <row r="477" spans="1:33" x14ac:dyDescent="0.3">
      <c r="A477" s="15" t="s">
        <v>775</v>
      </c>
      <c r="B477" s="2">
        <v>10558.74</v>
      </c>
      <c r="AF477"/>
      <c r="AG477"/>
    </row>
    <row r="478" spans="1:33" x14ac:dyDescent="0.3">
      <c r="A478" s="15" t="s">
        <v>1237</v>
      </c>
      <c r="B478" s="2">
        <v>10189.8891</v>
      </c>
      <c r="AF478"/>
      <c r="AG478"/>
    </row>
    <row r="479" spans="1:33" x14ac:dyDescent="0.3">
      <c r="A479" s="15" t="s">
        <v>1296</v>
      </c>
      <c r="B479" s="2">
        <v>10166.535600000001</v>
      </c>
      <c r="AF479"/>
      <c r="AG479"/>
    </row>
    <row r="480" spans="1:33" x14ac:dyDescent="0.3">
      <c r="A480" s="15" t="s">
        <v>1251</v>
      </c>
      <c r="B480" s="2">
        <v>9807.7842799999999</v>
      </c>
      <c r="AF480"/>
      <c r="AG480"/>
    </row>
    <row r="481" spans="1:33" x14ac:dyDescent="0.3">
      <c r="A481" s="15" t="s">
        <v>766</v>
      </c>
      <c r="B481" s="2">
        <v>9647.3852800000004</v>
      </c>
      <c r="AF481"/>
      <c r="AG481"/>
    </row>
    <row r="482" spans="1:33" x14ac:dyDescent="0.3">
      <c r="A482" s="15" t="s">
        <v>807</v>
      </c>
      <c r="B482" s="2">
        <v>9373.460219999999</v>
      </c>
      <c r="AF482"/>
      <c r="AG482"/>
    </row>
    <row r="483" spans="1:33" x14ac:dyDescent="0.3">
      <c r="A483" s="15" t="s">
        <v>1263</v>
      </c>
      <c r="B483" s="2">
        <v>9262.0686600000008</v>
      </c>
      <c r="AF483"/>
      <c r="AG483"/>
    </row>
    <row r="484" spans="1:33" x14ac:dyDescent="0.3">
      <c r="A484" s="15" t="s">
        <v>889</v>
      </c>
      <c r="B484" s="2">
        <v>8909.6646800000017</v>
      </c>
      <c r="AF484"/>
      <c r="AG484"/>
    </row>
    <row r="485" spans="1:33" x14ac:dyDescent="0.3">
      <c r="A485" s="15" t="s">
        <v>1065</v>
      </c>
      <c r="B485" s="2">
        <v>8764.4065599999994</v>
      </c>
      <c r="AF485"/>
      <c r="AG485"/>
    </row>
    <row r="486" spans="1:33" x14ac:dyDescent="0.3">
      <c r="A486" s="15" t="s">
        <v>1236</v>
      </c>
      <c r="B486" s="2">
        <v>8637.1874499999994</v>
      </c>
      <c r="AF486"/>
      <c r="AG486"/>
    </row>
    <row r="487" spans="1:33" x14ac:dyDescent="0.3">
      <c r="A487" s="15" t="s">
        <v>932</v>
      </c>
      <c r="B487" s="2">
        <v>8349.2224200000001</v>
      </c>
      <c r="AF487"/>
      <c r="AG487"/>
    </row>
    <row r="488" spans="1:33" x14ac:dyDescent="0.3">
      <c r="A488" s="15" t="s">
        <v>824</v>
      </c>
      <c r="B488" s="2">
        <v>8324.8326000000015</v>
      </c>
      <c r="AF488"/>
      <c r="AG488"/>
    </row>
    <row r="489" spans="1:33" x14ac:dyDescent="0.3">
      <c r="A489" s="15" t="s">
        <v>996</v>
      </c>
      <c r="B489" s="2">
        <v>8186.057600000001</v>
      </c>
      <c r="AF489"/>
      <c r="AG489"/>
    </row>
    <row r="490" spans="1:33" x14ac:dyDescent="0.3">
      <c r="A490" s="15" t="s">
        <v>1269</v>
      </c>
      <c r="B490" s="2">
        <v>7823.4472399999995</v>
      </c>
      <c r="AF490"/>
      <c r="AG490"/>
    </row>
    <row r="491" spans="1:33" x14ac:dyDescent="0.3">
      <c r="A491" s="15" t="s">
        <v>1055</v>
      </c>
      <c r="B491" s="2">
        <v>7493.1076000000012</v>
      </c>
      <c r="AF491"/>
      <c r="AG491"/>
    </row>
    <row r="492" spans="1:33" x14ac:dyDescent="0.3">
      <c r="A492" s="15" t="s">
        <v>890</v>
      </c>
      <c r="B492" s="2">
        <v>7203.8047000000006</v>
      </c>
      <c r="AF492"/>
      <c r="AG492"/>
    </row>
    <row r="493" spans="1:33" x14ac:dyDescent="0.3">
      <c r="A493" s="15" t="s">
        <v>1112</v>
      </c>
      <c r="B493" s="2">
        <v>6576.298960000001</v>
      </c>
      <c r="AF493"/>
      <c r="AG493"/>
    </row>
    <row r="494" spans="1:33" x14ac:dyDescent="0.3">
      <c r="A494" s="15" t="s">
        <v>1169</v>
      </c>
      <c r="B494" s="2">
        <v>5546.4642200000008</v>
      </c>
      <c r="AF494"/>
      <c r="AG494"/>
    </row>
    <row r="495" spans="1:33" x14ac:dyDescent="0.3">
      <c r="A495" s="15" t="s">
        <v>832</v>
      </c>
      <c r="B495" s="2">
        <v>5328.4890400000004</v>
      </c>
      <c r="AF495"/>
      <c r="AG495"/>
    </row>
    <row r="496" spans="1:33" x14ac:dyDescent="0.3">
      <c r="A496" s="15" t="s">
        <v>1311</v>
      </c>
      <c r="B496" s="2">
        <v>4280.6786400000001</v>
      </c>
      <c r="AF496"/>
      <c r="AG496"/>
    </row>
    <row r="497" spans="1:33" x14ac:dyDescent="0.3">
      <c r="A497" s="15" t="s">
        <v>928</v>
      </c>
      <c r="B497" s="2">
        <v>3928.3797600000003</v>
      </c>
      <c r="AF497"/>
      <c r="AG497"/>
    </row>
    <row r="498" spans="1:33" x14ac:dyDescent="0.3">
      <c r="A498" s="15" t="s">
        <v>1041</v>
      </c>
      <c r="B498" s="2">
        <v>3644.3212800000006</v>
      </c>
      <c r="AF498"/>
      <c r="AG498"/>
    </row>
    <row r="499" spans="1:33" x14ac:dyDescent="0.3">
      <c r="A499" s="15" t="s">
        <v>982</v>
      </c>
      <c r="B499" s="2">
        <v>3592.04</v>
      </c>
      <c r="AF499"/>
      <c r="AG499"/>
    </row>
    <row r="500" spans="1:33" x14ac:dyDescent="0.3">
      <c r="A500" s="15" t="s">
        <v>1272</v>
      </c>
      <c r="B500" s="2">
        <v>3340.6370000000002</v>
      </c>
      <c r="AF500"/>
      <c r="AG500"/>
    </row>
    <row r="501" spans="1:33" x14ac:dyDescent="0.3">
      <c r="A501" s="15" t="s">
        <v>1078</v>
      </c>
      <c r="B501" s="2">
        <v>3175.1547799999998</v>
      </c>
      <c r="AF501"/>
      <c r="AG501"/>
    </row>
    <row r="502" spans="1:33" x14ac:dyDescent="0.3">
      <c r="A502" s="15" t="s">
        <v>1172</v>
      </c>
      <c r="B502" s="2">
        <v>2795.6384399999997</v>
      </c>
      <c r="AF502"/>
      <c r="AG502"/>
    </row>
    <row r="503" spans="1:33" x14ac:dyDescent="0.3">
      <c r="A503" s="15" t="s">
        <v>991</v>
      </c>
      <c r="B503" s="2">
        <v>2394.1605599999998</v>
      </c>
      <c r="AF503"/>
      <c r="AG503"/>
    </row>
    <row r="504" spans="1:33" x14ac:dyDescent="0.3">
      <c r="A504" s="15" t="s">
        <v>1353</v>
      </c>
      <c r="B504" s="2">
        <v>2355.2113199999999</v>
      </c>
      <c r="AF504"/>
      <c r="AG504"/>
    </row>
    <row r="505" spans="1:33" x14ac:dyDescent="0.3">
      <c r="A505" s="15" t="s">
        <v>1167</v>
      </c>
      <c r="B505" s="2">
        <v>1950.0031200000001</v>
      </c>
      <c r="AF505"/>
      <c r="AG505"/>
    </row>
    <row r="506" spans="1:33" x14ac:dyDescent="0.3">
      <c r="A506" s="15" t="s">
        <v>1196</v>
      </c>
      <c r="B506" s="2">
        <v>1886.9915999999998</v>
      </c>
      <c r="AF506"/>
      <c r="AG506"/>
    </row>
    <row r="507" spans="1:33" x14ac:dyDescent="0.3">
      <c r="A507" s="15" t="s">
        <v>842</v>
      </c>
      <c r="B507" s="2">
        <v>1660.3999999999999</v>
      </c>
      <c r="AF507"/>
      <c r="AG507"/>
    </row>
    <row r="508" spans="1:33" x14ac:dyDescent="0.3">
      <c r="A508" s="15" t="s">
        <v>848</v>
      </c>
      <c r="B508" s="2">
        <v>1499.22</v>
      </c>
      <c r="AF508"/>
      <c r="AG508"/>
    </row>
    <row r="509" spans="1:33" x14ac:dyDescent="0.3">
      <c r="A509" s="15" t="s">
        <v>1075</v>
      </c>
      <c r="B509" s="2">
        <v>1115.1975999999997</v>
      </c>
      <c r="AF509"/>
      <c r="AG509"/>
    </row>
    <row r="510" spans="1:33" x14ac:dyDescent="0.3">
      <c r="A510" s="15" t="s">
        <v>1334</v>
      </c>
      <c r="B510" s="2">
        <v>1062.5902000000001</v>
      </c>
      <c r="AF510"/>
      <c r="AG510"/>
    </row>
    <row r="511" spans="1:33" x14ac:dyDescent="0.3">
      <c r="A511" s="15" t="s">
        <v>1045</v>
      </c>
      <c r="B511" s="2">
        <v>879.05840000000001</v>
      </c>
      <c r="AF511"/>
      <c r="AG511"/>
    </row>
    <row r="512" spans="1:33" x14ac:dyDescent="0.3">
      <c r="A512" s="15" t="s">
        <v>736</v>
      </c>
      <c r="B512" s="2">
        <v>319.72248000000002</v>
      </c>
      <c r="AF512"/>
      <c r="AG512"/>
    </row>
    <row r="513" spans="1:33" x14ac:dyDescent="0.3">
      <c r="A513" s="15" t="s">
        <v>788</v>
      </c>
      <c r="B513" s="2">
        <v>215.19839999999996</v>
      </c>
      <c r="AF513"/>
      <c r="AG513"/>
    </row>
    <row r="514" spans="1:33" x14ac:dyDescent="0.3">
      <c r="A514" s="15" t="s">
        <v>846</v>
      </c>
      <c r="B514" s="2">
        <v>34.689059999999998</v>
      </c>
      <c r="AF514"/>
      <c r="AG514"/>
    </row>
    <row r="515" spans="1:33" x14ac:dyDescent="0.3">
      <c r="A515" s="14" t="s">
        <v>730</v>
      </c>
      <c r="B515" s="2">
        <v>1399242.2240200001</v>
      </c>
      <c r="AF515"/>
      <c r="AG515"/>
    </row>
    <row r="516" spans="1:33" x14ac:dyDescent="0.3">
      <c r="A516" s="15" t="s">
        <v>1320</v>
      </c>
      <c r="B516" s="2">
        <v>68665.574250000005</v>
      </c>
      <c r="AF516"/>
      <c r="AG516"/>
    </row>
    <row r="517" spans="1:33" x14ac:dyDescent="0.3">
      <c r="A517" s="15" t="s">
        <v>834</v>
      </c>
      <c r="B517" s="2">
        <v>52780.07</v>
      </c>
      <c r="AF517"/>
      <c r="AG517"/>
    </row>
    <row r="518" spans="1:33" x14ac:dyDescent="0.3">
      <c r="A518" s="15" t="s">
        <v>883</v>
      </c>
      <c r="B518" s="2">
        <v>42495.805439999996</v>
      </c>
      <c r="AF518"/>
      <c r="AG518"/>
    </row>
    <row r="519" spans="1:33" x14ac:dyDescent="0.3">
      <c r="A519" s="15" t="s">
        <v>915</v>
      </c>
      <c r="B519" s="2">
        <v>41352.246200000009</v>
      </c>
      <c r="AF519"/>
      <c r="AG519"/>
    </row>
    <row r="520" spans="1:33" x14ac:dyDescent="0.3">
      <c r="A520" s="15" t="s">
        <v>1162</v>
      </c>
      <c r="B520" s="2">
        <v>41138.261999999995</v>
      </c>
      <c r="AF520"/>
      <c r="AG520"/>
    </row>
    <row r="521" spans="1:33" x14ac:dyDescent="0.3">
      <c r="A521" s="15" t="s">
        <v>1109</v>
      </c>
      <c r="B521" s="2">
        <v>38422.022320000004</v>
      </c>
      <c r="AF521"/>
      <c r="AG521"/>
    </row>
    <row r="522" spans="1:33" x14ac:dyDescent="0.3">
      <c r="A522" s="15" t="s">
        <v>970</v>
      </c>
      <c r="B522" s="2">
        <v>37038.581760000001</v>
      </c>
      <c r="AF522"/>
      <c r="AG522"/>
    </row>
    <row r="523" spans="1:33" x14ac:dyDescent="0.3">
      <c r="A523" s="15" t="s">
        <v>751</v>
      </c>
      <c r="B523" s="2">
        <v>35367.211040000002</v>
      </c>
      <c r="AF523"/>
      <c r="AG523"/>
    </row>
    <row r="524" spans="1:33" x14ac:dyDescent="0.3">
      <c r="A524" s="15" t="s">
        <v>1012</v>
      </c>
      <c r="B524" s="2">
        <v>34840.344000000005</v>
      </c>
      <c r="AF524"/>
      <c r="AG524"/>
    </row>
    <row r="525" spans="1:33" x14ac:dyDescent="0.3">
      <c r="A525" s="15" t="s">
        <v>1239</v>
      </c>
      <c r="B525" s="2">
        <v>34800.431400000001</v>
      </c>
      <c r="AF525"/>
      <c r="AG525"/>
    </row>
    <row r="526" spans="1:33" x14ac:dyDescent="0.3">
      <c r="A526" s="15" t="s">
        <v>1287</v>
      </c>
      <c r="B526" s="2">
        <v>33551.927499999998</v>
      </c>
      <c r="AF526"/>
      <c r="AG526"/>
    </row>
    <row r="527" spans="1:33" x14ac:dyDescent="0.3">
      <c r="A527" s="15" t="s">
        <v>1294</v>
      </c>
      <c r="B527" s="2">
        <v>33071.3145</v>
      </c>
      <c r="AF527"/>
      <c r="AG527"/>
    </row>
    <row r="528" spans="1:33" x14ac:dyDescent="0.3">
      <c r="A528" s="15" t="s">
        <v>1360</v>
      </c>
      <c r="B528" s="2">
        <v>33017.42</v>
      </c>
      <c r="AF528"/>
      <c r="AG528"/>
    </row>
    <row r="529" spans="1:33" x14ac:dyDescent="0.3">
      <c r="A529" s="15" t="s">
        <v>1108</v>
      </c>
      <c r="B529" s="2">
        <v>31005.24768</v>
      </c>
      <c r="AF529"/>
      <c r="AG529"/>
    </row>
    <row r="530" spans="1:33" x14ac:dyDescent="0.3">
      <c r="A530" s="15" t="s">
        <v>1156</v>
      </c>
      <c r="B530" s="2">
        <v>29627.320319999999</v>
      </c>
      <c r="AF530"/>
      <c r="AG530"/>
    </row>
    <row r="531" spans="1:33" x14ac:dyDescent="0.3">
      <c r="A531" s="15" t="s">
        <v>893</v>
      </c>
      <c r="B531" s="2">
        <v>29263.754519999995</v>
      </c>
      <c r="AF531"/>
      <c r="AG531"/>
    </row>
    <row r="532" spans="1:33" x14ac:dyDescent="0.3">
      <c r="A532" s="15" t="s">
        <v>1339</v>
      </c>
      <c r="B532" s="2">
        <v>29175.036029999999</v>
      </c>
      <c r="AF532"/>
      <c r="AG532"/>
    </row>
    <row r="533" spans="1:33" x14ac:dyDescent="0.3">
      <c r="A533" s="15" t="s">
        <v>1070</v>
      </c>
      <c r="B533" s="2">
        <v>28247.74656</v>
      </c>
      <c r="AF533"/>
      <c r="AG533"/>
    </row>
    <row r="534" spans="1:33" x14ac:dyDescent="0.3">
      <c r="A534" s="15" t="s">
        <v>1168</v>
      </c>
      <c r="B534" s="2">
        <v>27249</v>
      </c>
      <c r="AF534"/>
      <c r="AG534"/>
    </row>
    <row r="535" spans="1:33" x14ac:dyDescent="0.3">
      <c r="A535" s="15" t="s">
        <v>765</v>
      </c>
      <c r="B535" s="2">
        <v>26150.364320000001</v>
      </c>
      <c r="AF535"/>
      <c r="AG535"/>
    </row>
    <row r="536" spans="1:33" x14ac:dyDescent="0.3">
      <c r="A536" s="15" t="s">
        <v>936</v>
      </c>
      <c r="B536" s="2">
        <v>25299.040000000001</v>
      </c>
      <c r="AF536"/>
      <c r="AG536"/>
    </row>
    <row r="537" spans="1:33" x14ac:dyDescent="0.3">
      <c r="A537" s="15" t="s">
        <v>947</v>
      </c>
      <c r="B537" s="2">
        <v>24223.05</v>
      </c>
      <c r="AF537"/>
      <c r="AG537"/>
    </row>
    <row r="538" spans="1:33" x14ac:dyDescent="0.3">
      <c r="A538" s="15" t="s">
        <v>841</v>
      </c>
      <c r="B538" s="2">
        <v>23687.524440000001</v>
      </c>
      <c r="AF538"/>
      <c r="AG538"/>
    </row>
    <row r="539" spans="1:33" x14ac:dyDescent="0.3">
      <c r="A539" s="15" t="s">
        <v>1317</v>
      </c>
      <c r="B539" s="2">
        <v>22676.312610000001</v>
      </c>
      <c r="AF539"/>
      <c r="AG539"/>
    </row>
    <row r="540" spans="1:33" x14ac:dyDescent="0.3">
      <c r="A540" s="15" t="s">
        <v>1054</v>
      </c>
      <c r="B540" s="2">
        <v>22380.204000000002</v>
      </c>
      <c r="AF540"/>
      <c r="AG540"/>
    </row>
    <row r="541" spans="1:33" x14ac:dyDescent="0.3">
      <c r="A541" s="15" t="s">
        <v>930</v>
      </c>
      <c r="B541" s="2">
        <v>21679.749799999998</v>
      </c>
      <c r="AF541"/>
      <c r="AG541"/>
    </row>
    <row r="542" spans="1:33" x14ac:dyDescent="0.3">
      <c r="A542" s="15" t="s">
        <v>959</v>
      </c>
      <c r="B542" s="2">
        <v>21573.6495</v>
      </c>
      <c r="AF542"/>
      <c r="AG542"/>
    </row>
    <row r="543" spans="1:33" x14ac:dyDescent="0.3">
      <c r="A543" s="15" t="s">
        <v>1140</v>
      </c>
      <c r="B543" s="2">
        <v>21541.017959999997</v>
      </c>
      <c r="AF543"/>
      <c r="AG543"/>
    </row>
    <row r="544" spans="1:33" x14ac:dyDescent="0.3">
      <c r="A544" s="15" t="s">
        <v>1189</v>
      </c>
      <c r="B544" s="2">
        <v>20797.98</v>
      </c>
      <c r="AF544"/>
      <c r="AG544"/>
    </row>
    <row r="545" spans="1:33" x14ac:dyDescent="0.3">
      <c r="A545" s="15" t="s">
        <v>1160</v>
      </c>
      <c r="B545" s="2">
        <v>20038.536</v>
      </c>
      <c r="AF545"/>
      <c r="AG545"/>
    </row>
    <row r="546" spans="1:33" x14ac:dyDescent="0.3">
      <c r="A546" s="15" t="s">
        <v>1100</v>
      </c>
      <c r="B546" s="2">
        <v>19547.329920000004</v>
      </c>
      <c r="AF546"/>
      <c r="AG546"/>
    </row>
    <row r="547" spans="1:33" x14ac:dyDescent="0.3">
      <c r="A547" s="15" t="s">
        <v>825</v>
      </c>
      <c r="B547" s="2">
        <v>19510.808000000001</v>
      </c>
      <c r="AF547"/>
      <c r="AG547"/>
    </row>
    <row r="548" spans="1:33" x14ac:dyDescent="0.3">
      <c r="A548" s="15" t="s">
        <v>1207</v>
      </c>
      <c r="B548" s="2">
        <v>19233.355499999998</v>
      </c>
      <c r="AF548"/>
      <c r="AG548"/>
    </row>
    <row r="549" spans="1:33" x14ac:dyDescent="0.3">
      <c r="A549" s="15" t="s">
        <v>1105</v>
      </c>
      <c r="B549" s="2">
        <v>16873.45</v>
      </c>
      <c r="AF549"/>
      <c r="AG549"/>
    </row>
    <row r="550" spans="1:33" x14ac:dyDescent="0.3">
      <c r="A550" s="15" t="s">
        <v>1146</v>
      </c>
      <c r="B550" s="2">
        <v>16134.22069</v>
      </c>
      <c r="AF550"/>
      <c r="AG550"/>
    </row>
    <row r="551" spans="1:33" x14ac:dyDescent="0.3">
      <c r="A551" s="15" t="s">
        <v>856</v>
      </c>
      <c r="B551" s="2">
        <v>16061.972879999999</v>
      </c>
      <c r="AF551"/>
      <c r="AG551"/>
    </row>
    <row r="552" spans="1:33" x14ac:dyDescent="0.3">
      <c r="A552" s="15" t="s">
        <v>934</v>
      </c>
      <c r="B552" s="2">
        <v>14963.769179999999</v>
      </c>
      <c r="AF552"/>
      <c r="AG552"/>
    </row>
    <row r="553" spans="1:33" x14ac:dyDescent="0.3">
      <c r="A553" s="15" t="s">
        <v>1153</v>
      </c>
      <c r="B553" s="2">
        <v>14527.748400000002</v>
      </c>
      <c r="AF553"/>
      <c r="AG553"/>
    </row>
    <row r="554" spans="1:33" x14ac:dyDescent="0.3">
      <c r="A554" s="15" t="s">
        <v>1362</v>
      </c>
      <c r="B554" s="2">
        <v>12769.38768</v>
      </c>
      <c r="AF554"/>
      <c r="AG554"/>
    </row>
    <row r="555" spans="1:33" x14ac:dyDescent="0.3">
      <c r="A555" s="15" t="s">
        <v>1174</v>
      </c>
      <c r="B555" s="2">
        <v>12668.50728</v>
      </c>
      <c r="AF555"/>
      <c r="AG555"/>
    </row>
    <row r="556" spans="1:33" x14ac:dyDescent="0.3">
      <c r="A556" s="15" t="s">
        <v>1182</v>
      </c>
      <c r="B556" s="2">
        <v>12289.2</v>
      </c>
      <c r="AF556"/>
      <c r="AG556"/>
    </row>
    <row r="557" spans="1:33" x14ac:dyDescent="0.3">
      <c r="A557" s="15" t="s">
        <v>978</v>
      </c>
      <c r="B557" s="2">
        <v>12248.675999999999</v>
      </c>
      <c r="AF557"/>
      <c r="AG557"/>
    </row>
    <row r="558" spans="1:33" x14ac:dyDescent="0.3">
      <c r="A558" s="15" t="s">
        <v>799</v>
      </c>
      <c r="B558" s="2">
        <v>12153.267360000002</v>
      </c>
      <c r="AF558"/>
      <c r="AG558"/>
    </row>
    <row r="559" spans="1:33" x14ac:dyDescent="0.3">
      <c r="A559" s="15" t="s">
        <v>1186</v>
      </c>
      <c r="B559" s="2">
        <v>11984.891250000001</v>
      </c>
      <c r="AF559"/>
      <c r="AG559"/>
    </row>
    <row r="560" spans="1:33" x14ac:dyDescent="0.3">
      <c r="A560" s="15" t="s">
        <v>1266</v>
      </c>
      <c r="B560" s="2">
        <v>11924.0978</v>
      </c>
      <c r="AF560"/>
      <c r="AG560"/>
    </row>
    <row r="561" spans="1:33" x14ac:dyDescent="0.3">
      <c r="A561" s="15" t="s">
        <v>931</v>
      </c>
      <c r="B561" s="2">
        <v>11326.846439999999</v>
      </c>
      <c r="AF561"/>
      <c r="AG561"/>
    </row>
    <row r="562" spans="1:33" x14ac:dyDescent="0.3">
      <c r="A562" s="15" t="s">
        <v>1126</v>
      </c>
      <c r="B562" s="2">
        <v>11285.764020000001</v>
      </c>
      <c r="AF562"/>
      <c r="AG562"/>
    </row>
    <row r="563" spans="1:33" x14ac:dyDescent="0.3">
      <c r="A563" s="15" t="s">
        <v>796</v>
      </c>
      <c r="B563" s="2">
        <v>10947.904</v>
      </c>
      <c r="AF563"/>
      <c r="AG563"/>
    </row>
    <row r="564" spans="1:33" x14ac:dyDescent="0.3">
      <c r="A564" s="15" t="s">
        <v>745</v>
      </c>
      <c r="B564" s="2">
        <v>10370.549999999999</v>
      </c>
      <c r="AF564"/>
      <c r="AG564"/>
    </row>
    <row r="565" spans="1:33" x14ac:dyDescent="0.3">
      <c r="A565" s="15" t="s">
        <v>1154</v>
      </c>
      <c r="B565" s="2">
        <v>9984.7160999999978</v>
      </c>
      <c r="AF565"/>
      <c r="AG565"/>
    </row>
    <row r="566" spans="1:33" x14ac:dyDescent="0.3">
      <c r="A566" s="15" t="s">
        <v>975</v>
      </c>
      <c r="B566" s="2">
        <v>9684.8756000000012</v>
      </c>
      <c r="AF566"/>
      <c r="AG566"/>
    </row>
    <row r="567" spans="1:33" x14ac:dyDescent="0.3">
      <c r="A567" s="15" t="s">
        <v>1222</v>
      </c>
      <c r="B567" s="2">
        <v>9614.4403999999995</v>
      </c>
      <c r="AF567"/>
      <c r="AG567"/>
    </row>
    <row r="568" spans="1:33" x14ac:dyDescent="0.3">
      <c r="A568" s="15" t="s">
        <v>1050</v>
      </c>
      <c r="B568" s="2">
        <v>9062.34692</v>
      </c>
      <c r="AF568"/>
      <c r="AG568"/>
    </row>
    <row r="569" spans="1:33" x14ac:dyDescent="0.3">
      <c r="A569" s="15" t="s">
        <v>1077</v>
      </c>
      <c r="B569" s="2">
        <v>8938.8996600000009</v>
      </c>
      <c r="AF569"/>
      <c r="AG569"/>
    </row>
    <row r="570" spans="1:33" x14ac:dyDescent="0.3">
      <c r="A570" s="15" t="s">
        <v>875</v>
      </c>
      <c r="B570" s="2">
        <v>8211.6342000000004</v>
      </c>
      <c r="AF570"/>
      <c r="AG570"/>
    </row>
    <row r="571" spans="1:33" x14ac:dyDescent="0.3">
      <c r="A571" s="15" t="s">
        <v>896</v>
      </c>
      <c r="B571" s="2">
        <v>8154.5511600000009</v>
      </c>
      <c r="AF571"/>
      <c r="AG571"/>
    </row>
    <row r="572" spans="1:33" x14ac:dyDescent="0.3">
      <c r="A572" s="15" t="s">
        <v>1037</v>
      </c>
      <c r="B572" s="2">
        <v>8093.4784</v>
      </c>
      <c r="AF572"/>
      <c r="AG572"/>
    </row>
    <row r="573" spans="1:33" x14ac:dyDescent="0.3">
      <c r="A573" s="15" t="s">
        <v>1234</v>
      </c>
      <c r="B573" s="2">
        <v>7428.1108999999988</v>
      </c>
      <c r="AF573"/>
      <c r="AG573"/>
    </row>
    <row r="574" spans="1:33" x14ac:dyDescent="0.3">
      <c r="A574" s="15" t="s">
        <v>1312</v>
      </c>
      <c r="B574" s="2">
        <v>7173.3342799999991</v>
      </c>
      <c r="AF574"/>
      <c r="AG574"/>
    </row>
    <row r="575" spans="1:33" x14ac:dyDescent="0.3">
      <c r="A575" s="15" t="s">
        <v>1002</v>
      </c>
      <c r="B575" s="2">
        <v>6946.8</v>
      </c>
      <c r="AF575"/>
      <c r="AG575"/>
    </row>
    <row r="576" spans="1:33" x14ac:dyDescent="0.3">
      <c r="A576" s="15" t="s">
        <v>972</v>
      </c>
      <c r="B576" s="2">
        <v>6684.1875</v>
      </c>
      <c r="AF576"/>
      <c r="AG576"/>
    </row>
    <row r="577" spans="1:33" x14ac:dyDescent="0.3">
      <c r="A577" s="15" t="s">
        <v>965</v>
      </c>
      <c r="B577" s="2">
        <v>5814.6927299999998</v>
      </c>
      <c r="AF577"/>
      <c r="AG577"/>
    </row>
    <row r="578" spans="1:33" x14ac:dyDescent="0.3">
      <c r="A578" s="15" t="s">
        <v>828</v>
      </c>
      <c r="B578" s="2">
        <v>5487.6023999999998</v>
      </c>
      <c r="AF578"/>
      <c r="AG578"/>
    </row>
    <row r="579" spans="1:33" x14ac:dyDescent="0.3">
      <c r="A579" s="15" t="s">
        <v>737</v>
      </c>
      <c r="B579" s="2">
        <v>5225.2710400000005</v>
      </c>
      <c r="AF579"/>
      <c r="AG579"/>
    </row>
    <row r="580" spans="1:33" x14ac:dyDescent="0.3">
      <c r="A580" s="15" t="s">
        <v>1246</v>
      </c>
      <c r="B580" s="2">
        <v>5189.8836000000001</v>
      </c>
      <c r="AF580"/>
      <c r="AG580"/>
    </row>
    <row r="581" spans="1:33" x14ac:dyDescent="0.3">
      <c r="A581" s="15" t="s">
        <v>1219</v>
      </c>
      <c r="B581" s="2">
        <v>5159.7893599999998</v>
      </c>
      <c r="AF581"/>
      <c r="AG581"/>
    </row>
    <row r="582" spans="1:33" x14ac:dyDescent="0.3">
      <c r="A582" s="15" t="s">
        <v>1216</v>
      </c>
      <c r="B582" s="2">
        <v>5127.0390600000001</v>
      </c>
      <c r="AF582"/>
      <c r="AG582"/>
    </row>
    <row r="583" spans="1:33" x14ac:dyDescent="0.3">
      <c r="A583" s="15" t="s">
        <v>1068</v>
      </c>
      <c r="B583" s="2">
        <v>4856.35725</v>
      </c>
      <c r="AF583"/>
      <c r="AG583"/>
    </row>
    <row r="584" spans="1:33" x14ac:dyDescent="0.3">
      <c r="A584" s="15" t="s">
        <v>1095</v>
      </c>
      <c r="B584" s="2">
        <v>4804.4682400000002</v>
      </c>
      <c r="AF584"/>
      <c r="AG584"/>
    </row>
    <row r="585" spans="1:33" x14ac:dyDescent="0.3">
      <c r="A585" s="15" t="s">
        <v>871</v>
      </c>
      <c r="B585" s="2">
        <v>4336.2427499999994</v>
      </c>
      <c r="AF585"/>
      <c r="AG585"/>
    </row>
    <row r="586" spans="1:33" x14ac:dyDescent="0.3">
      <c r="A586" s="15" t="s">
        <v>761</v>
      </c>
      <c r="B586" s="2">
        <v>3980.7075</v>
      </c>
      <c r="AF586"/>
      <c r="AG586"/>
    </row>
    <row r="587" spans="1:33" x14ac:dyDescent="0.3">
      <c r="A587" s="15" t="s">
        <v>1019</v>
      </c>
      <c r="B587" s="2">
        <v>3978.6474000000003</v>
      </c>
      <c r="AF587"/>
      <c r="AG587"/>
    </row>
    <row r="588" spans="1:33" x14ac:dyDescent="0.3">
      <c r="A588" s="15" t="s">
        <v>762</v>
      </c>
      <c r="B588" s="2">
        <v>3913.2000000000003</v>
      </c>
      <c r="AF588"/>
      <c r="AG588"/>
    </row>
    <row r="589" spans="1:33" x14ac:dyDescent="0.3">
      <c r="A589" s="15" t="s">
        <v>1061</v>
      </c>
      <c r="B589" s="2">
        <v>3799.8031499999997</v>
      </c>
      <c r="AF589"/>
      <c r="AG589"/>
    </row>
    <row r="590" spans="1:33" x14ac:dyDescent="0.3">
      <c r="A590" s="15" t="s">
        <v>867</v>
      </c>
      <c r="B590" s="2">
        <v>3494.4040799999998</v>
      </c>
      <c r="AF590"/>
      <c r="AG590"/>
    </row>
    <row r="591" spans="1:33" x14ac:dyDescent="0.3">
      <c r="A591" s="15" t="s">
        <v>979</v>
      </c>
      <c r="B591" s="2">
        <v>2909.8689199999999</v>
      </c>
      <c r="AF591"/>
      <c r="AG591"/>
    </row>
    <row r="592" spans="1:33" x14ac:dyDescent="0.3">
      <c r="A592" s="15" t="s">
        <v>862</v>
      </c>
      <c r="B592" s="2">
        <v>2642.1686999999997</v>
      </c>
      <c r="AF592"/>
      <c r="AG592"/>
    </row>
    <row r="593" spans="1:33" x14ac:dyDescent="0.3">
      <c r="A593" s="15" t="s">
        <v>1064</v>
      </c>
      <c r="B593" s="2">
        <v>2537.2908000000002</v>
      </c>
      <c r="AF593"/>
      <c r="AG593"/>
    </row>
    <row r="594" spans="1:33" x14ac:dyDescent="0.3">
      <c r="A594" s="15" t="s">
        <v>1081</v>
      </c>
      <c r="B594" s="2">
        <v>2206.8000000000002</v>
      </c>
      <c r="AF594"/>
      <c r="AG594"/>
    </row>
    <row r="595" spans="1:33" x14ac:dyDescent="0.3">
      <c r="A595" s="15" t="s">
        <v>1145</v>
      </c>
      <c r="B595" s="2">
        <v>2059.0056</v>
      </c>
      <c r="AF595"/>
      <c r="AG595"/>
    </row>
    <row r="596" spans="1:33" x14ac:dyDescent="0.3">
      <c r="A596" s="15" t="s">
        <v>1304</v>
      </c>
      <c r="B596" s="2">
        <v>841.00536</v>
      </c>
      <c r="AF596"/>
      <c r="AG596"/>
    </row>
    <row r="597" spans="1:33" x14ac:dyDescent="0.3">
      <c r="A597" s="15" t="s">
        <v>1016</v>
      </c>
      <c r="B597" s="2">
        <v>667.74</v>
      </c>
      <c r="AF597"/>
      <c r="AG597"/>
    </row>
    <row r="598" spans="1:33" x14ac:dyDescent="0.3">
      <c r="A598" s="15" t="s">
        <v>1264</v>
      </c>
      <c r="B598" s="2">
        <v>618.19979999999987</v>
      </c>
      <c r="AF598"/>
      <c r="AG598"/>
    </row>
    <row r="599" spans="1:33" x14ac:dyDescent="0.3">
      <c r="A599" s="15" t="s">
        <v>997</v>
      </c>
      <c r="B599" s="2">
        <v>560.36831999999993</v>
      </c>
      <c r="AF599"/>
      <c r="AG599"/>
    </row>
    <row r="600" spans="1:33" x14ac:dyDescent="0.3">
      <c r="A600" s="15" t="s">
        <v>840</v>
      </c>
      <c r="B600" s="2">
        <v>518.65436999999997</v>
      </c>
      <c r="AF600"/>
      <c r="AG600"/>
    </row>
    <row r="601" spans="1:33" x14ac:dyDescent="0.3">
      <c r="A601" s="15" t="s">
        <v>1318</v>
      </c>
      <c r="B601" s="2">
        <v>370.86</v>
      </c>
      <c r="AF601"/>
      <c r="AG601"/>
    </row>
    <row r="602" spans="1:33" x14ac:dyDescent="0.3">
      <c r="A602" s="15" t="s">
        <v>1226</v>
      </c>
      <c r="B602" s="2">
        <v>110.14919999999999</v>
      </c>
      <c r="AF602"/>
      <c r="AG602"/>
    </row>
    <row r="603" spans="1:33" x14ac:dyDescent="0.3">
      <c r="A603" s="15" t="s">
        <v>1020</v>
      </c>
      <c r="B603" s="2">
        <v>76.138720000000006</v>
      </c>
      <c r="AF603"/>
      <c r="AG603"/>
    </row>
    <row r="604" spans="1:33" x14ac:dyDescent="0.3">
      <c r="A604" s="14" t="s">
        <v>728</v>
      </c>
      <c r="B604" s="2">
        <v>1616910.1886599993</v>
      </c>
      <c r="AF604"/>
      <c r="AG604"/>
    </row>
    <row r="605" spans="1:33" x14ac:dyDescent="0.3">
      <c r="A605" s="15" t="s">
        <v>1271</v>
      </c>
      <c r="B605" s="2">
        <v>66260.314239999992</v>
      </c>
      <c r="AF605"/>
      <c r="AG605"/>
    </row>
    <row r="606" spans="1:33" x14ac:dyDescent="0.3">
      <c r="A606" s="15" t="s">
        <v>1157</v>
      </c>
      <c r="B606" s="2">
        <v>58091.634960000003</v>
      </c>
      <c r="AF606"/>
      <c r="AG606"/>
    </row>
    <row r="607" spans="1:33" x14ac:dyDescent="0.3">
      <c r="A607" s="15" t="s">
        <v>933</v>
      </c>
      <c r="B607" s="2">
        <v>55880.483749999999</v>
      </c>
      <c r="AF607"/>
      <c r="AG607"/>
    </row>
    <row r="608" spans="1:33" x14ac:dyDescent="0.3">
      <c r="A608" s="15" t="s">
        <v>1289</v>
      </c>
      <c r="B608" s="2">
        <v>50545.319219999998</v>
      </c>
      <c r="AF608"/>
      <c r="AG608"/>
    </row>
    <row r="609" spans="1:33" x14ac:dyDescent="0.3">
      <c r="A609" s="15" t="s">
        <v>1090</v>
      </c>
      <c r="B609" s="2">
        <v>43907.94</v>
      </c>
      <c r="AF609"/>
      <c r="AG609"/>
    </row>
    <row r="610" spans="1:33" x14ac:dyDescent="0.3">
      <c r="A610" s="15" t="s">
        <v>829</v>
      </c>
      <c r="B610" s="2">
        <v>43209.006119999991</v>
      </c>
      <c r="AF610"/>
      <c r="AG610"/>
    </row>
    <row r="611" spans="1:33" x14ac:dyDescent="0.3">
      <c r="A611" s="15" t="s">
        <v>1047</v>
      </c>
      <c r="B611" s="2">
        <v>40325.31</v>
      </c>
      <c r="AF611"/>
      <c r="AG611"/>
    </row>
    <row r="612" spans="1:33" x14ac:dyDescent="0.3">
      <c r="A612" s="15" t="s">
        <v>1335</v>
      </c>
      <c r="B612" s="2">
        <v>39810.328000000001</v>
      </c>
      <c r="AF612"/>
      <c r="AG612"/>
    </row>
    <row r="613" spans="1:33" x14ac:dyDescent="0.3">
      <c r="A613" s="15" t="s">
        <v>1071</v>
      </c>
      <c r="B613" s="2">
        <v>38535.955099999999</v>
      </c>
      <c r="AF613"/>
      <c r="AG613"/>
    </row>
    <row r="614" spans="1:33" x14ac:dyDescent="0.3">
      <c r="A614" s="15" t="s">
        <v>1115</v>
      </c>
      <c r="B614" s="2">
        <v>37562.28</v>
      </c>
      <c r="AF614"/>
      <c r="AG614"/>
    </row>
    <row r="615" spans="1:33" x14ac:dyDescent="0.3">
      <c r="A615" s="15" t="s">
        <v>1204</v>
      </c>
      <c r="B615" s="2">
        <v>36549.429260000004</v>
      </c>
      <c r="AF615"/>
      <c r="AG615"/>
    </row>
    <row r="616" spans="1:33" x14ac:dyDescent="0.3">
      <c r="A616" s="15" t="s">
        <v>872</v>
      </c>
      <c r="B616" s="2">
        <v>35567.737920000007</v>
      </c>
      <c r="AF616"/>
      <c r="AG616"/>
    </row>
    <row r="617" spans="1:33" x14ac:dyDescent="0.3">
      <c r="A617" s="15" t="s">
        <v>783</v>
      </c>
      <c r="B617" s="2">
        <v>34444.462359999998</v>
      </c>
      <c r="AF617"/>
      <c r="AG617"/>
    </row>
    <row r="618" spans="1:33" x14ac:dyDescent="0.3">
      <c r="A618" s="15" t="s">
        <v>1262</v>
      </c>
      <c r="B618" s="2">
        <v>33421.1</v>
      </c>
      <c r="AF618"/>
      <c r="AG618"/>
    </row>
    <row r="619" spans="1:33" x14ac:dyDescent="0.3">
      <c r="A619" s="15" t="s">
        <v>1280</v>
      </c>
      <c r="B619" s="2">
        <v>31822.023930000003</v>
      </c>
      <c r="AF619"/>
      <c r="AG619"/>
    </row>
    <row r="620" spans="1:33" x14ac:dyDescent="0.3">
      <c r="A620" s="15" t="s">
        <v>776</v>
      </c>
      <c r="B620" s="2">
        <v>31404.1</v>
      </c>
      <c r="AF620"/>
      <c r="AG620"/>
    </row>
    <row r="621" spans="1:33" x14ac:dyDescent="0.3">
      <c r="A621" s="15" t="s">
        <v>887</v>
      </c>
      <c r="B621" s="2">
        <v>29654.83008</v>
      </c>
      <c r="AF621"/>
      <c r="AG621"/>
    </row>
    <row r="622" spans="1:33" x14ac:dyDescent="0.3">
      <c r="A622" s="15" t="s">
        <v>1220</v>
      </c>
      <c r="B622" s="2">
        <v>28856.475000000002</v>
      </c>
      <c r="AF622"/>
      <c r="AG622"/>
    </row>
    <row r="623" spans="1:33" x14ac:dyDescent="0.3">
      <c r="A623" s="15" t="s">
        <v>953</v>
      </c>
      <c r="B623" s="2">
        <v>28211.92124</v>
      </c>
      <c r="AF623"/>
      <c r="AG623"/>
    </row>
    <row r="624" spans="1:33" x14ac:dyDescent="0.3">
      <c r="A624" s="15" t="s">
        <v>1208</v>
      </c>
      <c r="B624" s="2">
        <v>27194.152039999997</v>
      </c>
      <c r="AF624"/>
      <c r="AG624"/>
    </row>
    <row r="625" spans="1:33" x14ac:dyDescent="0.3">
      <c r="A625" s="15" t="s">
        <v>750</v>
      </c>
      <c r="B625" s="2">
        <v>25948.414799999995</v>
      </c>
      <c r="AF625"/>
      <c r="AG625"/>
    </row>
    <row r="626" spans="1:33" x14ac:dyDescent="0.3">
      <c r="A626" s="15" t="s">
        <v>987</v>
      </c>
      <c r="B626" s="2">
        <v>25483.91488</v>
      </c>
      <c r="AF626"/>
      <c r="AG626"/>
    </row>
    <row r="627" spans="1:33" x14ac:dyDescent="0.3">
      <c r="A627" s="15" t="s">
        <v>1350</v>
      </c>
      <c r="B627" s="2">
        <v>25174.028880000002</v>
      </c>
      <c r="AF627"/>
      <c r="AG627"/>
    </row>
    <row r="628" spans="1:33" x14ac:dyDescent="0.3">
      <c r="A628" s="15" t="s">
        <v>1139</v>
      </c>
      <c r="B628" s="2">
        <v>22457.143800000002</v>
      </c>
      <c r="AF628"/>
      <c r="AG628"/>
    </row>
    <row r="629" spans="1:33" x14ac:dyDescent="0.3">
      <c r="A629" s="15" t="s">
        <v>1249</v>
      </c>
      <c r="B629" s="2">
        <v>22201.762229999997</v>
      </c>
      <c r="AF629"/>
      <c r="AG629"/>
    </row>
    <row r="630" spans="1:33" x14ac:dyDescent="0.3">
      <c r="A630" s="15" t="s">
        <v>1177</v>
      </c>
      <c r="B630" s="2">
        <v>21664.440000000002</v>
      </c>
      <c r="AF630"/>
      <c r="AG630"/>
    </row>
    <row r="631" spans="1:33" x14ac:dyDescent="0.3">
      <c r="A631" s="15" t="s">
        <v>747</v>
      </c>
      <c r="B631" s="2">
        <v>21585.15</v>
      </c>
      <c r="AF631"/>
      <c r="AG631"/>
    </row>
    <row r="632" spans="1:33" x14ac:dyDescent="0.3">
      <c r="A632" s="15" t="s">
        <v>1173</v>
      </c>
      <c r="B632" s="2">
        <v>20672.289000000001</v>
      </c>
      <c r="AF632"/>
      <c r="AG632"/>
    </row>
    <row r="633" spans="1:33" x14ac:dyDescent="0.3">
      <c r="A633" s="15" t="s">
        <v>1076</v>
      </c>
      <c r="B633" s="2">
        <v>20053.439999999999</v>
      </c>
      <c r="AF633"/>
      <c r="AG633"/>
    </row>
    <row r="634" spans="1:33" x14ac:dyDescent="0.3">
      <c r="A634" s="15" t="s">
        <v>1148</v>
      </c>
      <c r="B634" s="2">
        <v>18411.4084</v>
      </c>
      <c r="AF634"/>
      <c r="AG634"/>
    </row>
    <row r="635" spans="1:33" x14ac:dyDescent="0.3">
      <c r="A635" s="15" t="s">
        <v>815</v>
      </c>
      <c r="B635" s="2">
        <v>18258.868320000001</v>
      </c>
      <c r="AF635"/>
      <c r="AG635"/>
    </row>
    <row r="636" spans="1:33" x14ac:dyDescent="0.3">
      <c r="A636" s="15" t="s">
        <v>1343</v>
      </c>
      <c r="B636" s="2">
        <v>18003.847679999999</v>
      </c>
      <c r="AF636"/>
      <c r="AG636"/>
    </row>
    <row r="637" spans="1:33" x14ac:dyDescent="0.3">
      <c r="A637" s="15" t="s">
        <v>735</v>
      </c>
      <c r="B637" s="2">
        <v>17960.432489999999</v>
      </c>
      <c r="AF637"/>
      <c r="AG637"/>
    </row>
    <row r="638" spans="1:33" x14ac:dyDescent="0.3">
      <c r="A638" s="15" t="s">
        <v>1134</v>
      </c>
      <c r="B638" s="2">
        <v>17427.164800000002</v>
      </c>
      <c r="AF638"/>
      <c r="AG638"/>
    </row>
    <row r="639" spans="1:33" x14ac:dyDescent="0.3">
      <c r="A639" s="15" t="s">
        <v>969</v>
      </c>
      <c r="B639" s="2">
        <v>17359.804799999998</v>
      </c>
      <c r="AF639"/>
      <c r="AG639"/>
    </row>
    <row r="640" spans="1:33" x14ac:dyDescent="0.3">
      <c r="A640" s="15" t="s">
        <v>962</v>
      </c>
      <c r="B640" s="2">
        <v>16609.090809999998</v>
      </c>
      <c r="AF640"/>
      <c r="AG640"/>
    </row>
    <row r="641" spans="1:33" x14ac:dyDescent="0.3">
      <c r="A641" s="15" t="s">
        <v>1202</v>
      </c>
      <c r="B641" s="2">
        <v>16252.219979999998</v>
      </c>
      <c r="AF641"/>
      <c r="AG641"/>
    </row>
    <row r="642" spans="1:33" x14ac:dyDescent="0.3">
      <c r="A642" s="15" t="s">
        <v>1069</v>
      </c>
      <c r="B642" s="2">
        <v>16219.34496</v>
      </c>
      <c r="AF642"/>
      <c r="AG642"/>
    </row>
    <row r="643" spans="1:33" x14ac:dyDescent="0.3">
      <c r="A643" s="15" t="s">
        <v>942</v>
      </c>
      <c r="B643" s="2">
        <v>15825.399369999997</v>
      </c>
      <c r="AF643"/>
      <c r="AG643"/>
    </row>
    <row r="644" spans="1:33" x14ac:dyDescent="0.3">
      <c r="A644" s="15" t="s">
        <v>910</v>
      </c>
      <c r="B644" s="2">
        <v>15656.47056</v>
      </c>
      <c r="AF644"/>
      <c r="AG644"/>
    </row>
    <row r="645" spans="1:33" x14ac:dyDescent="0.3">
      <c r="A645" s="15" t="s">
        <v>772</v>
      </c>
      <c r="B645" s="2">
        <v>14968.239</v>
      </c>
    </row>
    <row r="646" spans="1:33" x14ac:dyDescent="0.3">
      <c r="A646" s="15" t="s">
        <v>882</v>
      </c>
      <c r="B646" s="2">
        <v>14877.464000000002</v>
      </c>
    </row>
    <row r="647" spans="1:33" x14ac:dyDescent="0.3">
      <c r="A647" s="15" t="s">
        <v>1093</v>
      </c>
      <c r="B647" s="2">
        <v>14813.731920000002</v>
      </c>
    </row>
    <row r="648" spans="1:33" x14ac:dyDescent="0.3">
      <c r="A648" s="15" t="s">
        <v>1292</v>
      </c>
      <c r="B648" s="2">
        <v>13251.48</v>
      </c>
    </row>
    <row r="649" spans="1:33" x14ac:dyDescent="0.3">
      <c r="A649" s="15" t="s">
        <v>1163</v>
      </c>
      <c r="B649" s="2">
        <v>12955.824749999998</v>
      </c>
    </row>
    <row r="650" spans="1:33" x14ac:dyDescent="0.3">
      <c r="A650" s="15" t="s">
        <v>1098</v>
      </c>
      <c r="B650" s="2">
        <v>12717.311040000001</v>
      </c>
    </row>
    <row r="651" spans="1:33" x14ac:dyDescent="0.3">
      <c r="A651" s="15" t="s">
        <v>999</v>
      </c>
      <c r="B651" s="2">
        <v>12597.52224</v>
      </c>
    </row>
    <row r="652" spans="1:33" x14ac:dyDescent="0.3">
      <c r="A652" s="15" t="s">
        <v>1183</v>
      </c>
      <c r="B652" s="2">
        <v>12462.65055</v>
      </c>
    </row>
    <row r="653" spans="1:33" x14ac:dyDescent="0.3">
      <c r="A653" s="15" t="s">
        <v>868</v>
      </c>
      <c r="B653" s="2">
        <v>12031.491680000001</v>
      </c>
    </row>
    <row r="654" spans="1:33" x14ac:dyDescent="0.3">
      <c r="A654" s="15" t="s">
        <v>898</v>
      </c>
      <c r="B654" s="2">
        <v>11851.806399999999</v>
      </c>
    </row>
    <row r="655" spans="1:33" x14ac:dyDescent="0.3">
      <c r="A655" s="15" t="s">
        <v>1008</v>
      </c>
      <c r="B655" s="2">
        <v>11417.429099999999</v>
      </c>
    </row>
    <row r="656" spans="1:33" x14ac:dyDescent="0.3">
      <c r="A656" s="15" t="s">
        <v>1260</v>
      </c>
      <c r="B656" s="2">
        <v>11406.96</v>
      </c>
    </row>
    <row r="657" spans="1:2" x14ac:dyDescent="0.3">
      <c r="A657" s="15" t="s">
        <v>738</v>
      </c>
      <c r="B657" s="2">
        <v>10957.9797</v>
      </c>
    </row>
    <row r="658" spans="1:2" x14ac:dyDescent="0.3">
      <c r="A658" s="15" t="s">
        <v>1235</v>
      </c>
      <c r="B658" s="2">
        <v>10869.182940000001</v>
      </c>
    </row>
    <row r="659" spans="1:2" x14ac:dyDescent="0.3">
      <c r="A659" s="15" t="s">
        <v>777</v>
      </c>
      <c r="B659" s="2">
        <v>10666.229420000001</v>
      </c>
    </row>
    <row r="660" spans="1:2" x14ac:dyDescent="0.3">
      <c r="A660" s="15" t="s">
        <v>1347</v>
      </c>
      <c r="B660" s="2">
        <v>10464.138360000001</v>
      </c>
    </row>
    <row r="661" spans="1:2" x14ac:dyDescent="0.3">
      <c r="A661" s="15" t="s">
        <v>1203</v>
      </c>
      <c r="B661" s="2">
        <v>10428.057360000001</v>
      </c>
    </row>
    <row r="662" spans="1:2" x14ac:dyDescent="0.3">
      <c r="A662" s="15" t="s">
        <v>1342</v>
      </c>
      <c r="B662" s="2">
        <v>10260.060159999999</v>
      </c>
    </row>
    <row r="663" spans="1:2" x14ac:dyDescent="0.3">
      <c r="A663" s="15" t="s">
        <v>826</v>
      </c>
      <c r="B663" s="2">
        <v>10161.46624</v>
      </c>
    </row>
    <row r="664" spans="1:2" x14ac:dyDescent="0.3">
      <c r="A664" s="15" t="s">
        <v>877</v>
      </c>
      <c r="B664" s="2">
        <v>9969.4201499999999</v>
      </c>
    </row>
    <row r="665" spans="1:2" x14ac:dyDescent="0.3">
      <c r="A665" s="15" t="s">
        <v>1035</v>
      </c>
      <c r="B665" s="2">
        <v>9866.3104799999983</v>
      </c>
    </row>
    <row r="666" spans="1:2" x14ac:dyDescent="0.3">
      <c r="A666" s="15" t="s">
        <v>1119</v>
      </c>
      <c r="B666" s="2">
        <v>9586.8057599999993</v>
      </c>
    </row>
    <row r="667" spans="1:2" x14ac:dyDescent="0.3">
      <c r="A667" s="15" t="s">
        <v>1258</v>
      </c>
      <c r="B667" s="2">
        <v>8326.6852500000005</v>
      </c>
    </row>
    <row r="668" spans="1:2" x14ac:dyDescent="0.3">
      <c r="A668" s="15" t="s">
        <v>884</v>
      </c>
      <c r="B668" s="2">
        <v>7901.5041599999995</v>
      </c>
    </row>
    <row r="669" spans="1:2" x14ac:dyDescent="0.3">
      <c r="A669" s="15" t="s">
        <v>1003</v>
      </c>
      <c r="B669" s="2">
        <v>7678.2113999999992</v>
      </c>
    </row>
    <row r="670" spans="1:2" x14ac:dyDescent="0.3">
      <c r="A670" s="15" t="s">
        <v>1333</v>
      </c>
      <c r="B670" s="2">
        <v>7466.3063999999986</v>
      </c>
    </row>
    <row r="671" spans="1:2" x14ac:dyDescent="0.3">
      <c r="A671" s="15" t="s">
        <v>963</v>
      </c>
      <c r="B671" s="2">
        <v>7446.5209000000004</v>
      </c>
    </row>
    <row r="672" spans="1:2" x14ac:dyDescent="0.3">
      <c r="A672" s="15" t="s">
        <v>780</v>
      </c>
      <c r="B672" s="2">
        <v>7135.57</v>
      </c>
    </row>
    <row r="673" spans="1:2" x14ac:dyDescent="0.3">
      <c r="A673" s="15" t="s">
        <v>946</v>
      </c>
      <c r="B673" s="2">
        <v>6984.8246399999998</v>
      </c>
    </row>
    <row r="674" spans="1:2" x14ac:dyDescent="0.3">
      <c r="A674" s="15" t="s">
        <v>1144</v>
      </c>
      <c r="B674" s="2">
        <v>6899.8804600000003</v>
      </c>
    </row>
    <row r="675" spans="1:2" x14ac:dyDescent="0.3">
      <c r="A675" s="15" t="s">
        <v>769</v>
      </c>
      <c r="B675" s="2">
        <v>6631.6443100000006</v>
      </c>
    </row>
    <row r="676" spans="1:2" x14ac:dyDescent="0.3">
      <c r="A676" s="15" t="s">
        <v>952</v>
      </c>
      <c r="B676" s="2">
        <v>6535.6324800000002</v>
      </c>
    </row>
    <row r="677" spans="1:2" x14ac:dyDescent="0.3">
      <c r="A677" s="15" t="s">
        <v>1176</v>
      </c>
      <c r="B677" s="2">
        <v>5960.04288</v>
      </c>
    </row>
    <row r="678" spans="1:2" x14ac:dyDescent="0.3">
      <c r="A678" s="15" t="s">
        <v>1336</v>
      </c>
      <c r="B678" s="2">
        <v>5457.4317000000001</v>
      </c>
    </row>
    <row r="679" spans="1:2" x14ac:dyDescent="0.3">
      <c r="A679" s="15" t="s">
        <v>1042</v>
      </c>
      <c r="B679" s="2">
        <v>5334.9141999999993</v>
      </c>
    </row>
    <row r="680" spans="1:2" x14ac:dyDescent="0.3">
      <c r="A680" s="15" t="s">
        <v>1214</v>
      </c>
      <c r="B680" s="2">
        <v>4738.5261</v>
      </c>
    </row>
    <row r="681" spans="1:2" x14ac:dyDescent="0.3">
      <c r="A681" s="15" t="s">
        <v>935</v>
      </c>
      <c r="B681" s="2">
        <v>4637.7968000000001</v>
      </c>
    </row>
    <row r="682" spans="1:2" x14ac:dyDescent="0.3">
      <c r="A682" s="15" t="s">
        <v>1103</v>
      </c>
      <c r="B682" s="2">
        <v>4569.5735999999997</v>
      </c>
    </row>
    <row r="683" spans="1:2" x14ac:dyDescent="0.3">
      <c r="A683" s="15" t="s">
        <v>974</v>
      </c>
      <c r="B683" s="2">
        <v>4436.6291200000005</v>
      </c>
    </row>
    <row r="684" spans="1:2" x14ac:dyDescent="0.3">
      <c r="A684" s="15" t="s">
        <v>913</v>
      </c>
      <c r="B684" s="2">
        <v>4420.5961799999995</v>
      </c>
    </row>
    <row r="685" spans="1:2" x14ac:dyDescent="0.3">
      <c r="A685" s="15" t="s">
        <v>1330</v>
      </c>
      <c r="B685" s="2">
        <v>4409.5168800000001</v>
      </c>
    </row>
    <row r="686" spans="1:2" x14ac:dyDescent="0.3">
      <c r="A686" s="15" t="s">
        <v>927</v>
      </c>
      <c r="B686" s="2">
        <v>4402.1164799999997</v>
      </c>
    </row>
    <row r="687" spans="1:2" x14ac:dyDescent="0.3">
      <c r="A687" s="15" t="s">
        <v>1030</v>
      </c>
      <c r="B687" s="2">
        <v>4241.88105</v>
      </c>
    </row>
    <row r="688" spans="1:2" x14ac:dyDescent="0.3">
      <c r="A688" s="15" t="s">
        <v>886</v>
      </c>
      <c r="B688" s="2">
        <v>4139.8127999999997</v>
      </c>
    </row>
    <row r="689" spans="1:2" x14ac:dyDescent="0.3">
      <c r="A689" s="15" t="s">
        <v>1084</v>
      </c>
      <c r="B689" s="2">
        <v>4132.0325200000007</v>
      </c>
    </row>
    <row r="690" spans="1:2" x14ac:dyDescent="0.3">
      <c r="A690" s="15" t="s">
        <v>1107</v>
      </c>
      <c r="B690" s="2">
        <v>4117.4880599999997</v>
      </c>
    </row>
    <row r="691" spans="1:2" x14ac:dyDescent="0.3">
      <c r="A691" s="15" t="s">
        <v>1195</v>
      </c>
      <c r="B691" s="2">
        <v>4055.5175999999997</v>
      </c>
    </row>
    <row r="692" spans="1:2" x14ac:dyDescent="0.3">
      <c r="A692" s="15" t="s">
        <v>1221</v>
      </c>
      <c r="B692" s="2">
        <v>4025.8565599999993</v>
      </c>
    </row>
    <row r="693" spans="1:2" x14ac:dyDescent="0.3">
      <c r="A693" s="15" t="s">
        <v>773</v>
      </c>
      <c r="B693" s="2">
        <v>3562.1983800000003</v>
      </c>
    </row>
    <row r="694" spans="1:2" x14ac:dyDescent="0.3">
      <c r="A694" s="15" t="s">
        <v>1329</v>
      </c>
      <c r="B694" s="2">
        <v>3116.21</v>
      </c>
    </row>
    <row r="695" spans="1:2" x14ac:dyDescent="0.3">
      <c r="A695" s="15" t="s">
        <v>966</v>
      </c>
      <c r="B695" s="2">
        <v>2879.9836</v>
      </c>
    </row>
    <row r="696" spans="1:2" x14ac:dyDescent="0.3">
      <c r="A696" s="15" t="s">
        <v>1340</v>
      </c>
      <c r="B696" s="2">
        <v>2736.27018</v>
      </c>
    </row>
    <row r="697" spans="1:2" x14ac:dyDescent="0.3">
      <c r="A697" s="15" t="s">
        <v>1124</v>
      </c>
      <c r="B697" s="2">
        <v>2525.0635000000002</v>
      </c>
    </row>
    <row r="698" spans="1:2" x14ac:dyDescent="0.3">
      <c r="A698" s="15" t="s">
        <v>1259</v>
      </c>
      <c r="B698" s="2">
        <v>2146.5580500000001</v>
      </c>
    </row>
    <row r="699" spans="1:2" x14ac:dyDescent="0.3">
      <c r="A699" s="15" t="s">
        <v>908</v>
      </c>
      <c r="B699" s="2">
        <v>1952.6356799999999</v>
      </c>
    </row>
    <row r="700" spans="1:2" x14ac:dyDescent="0.3">
      <c r="A700" s="15" t="s">
        <v>1178</v>
      </c>
      <c r="B700" s="2">
        <v>1925.29872</v>
      </c>
    </row>
    <row r="701" spans="1:2" x14ac:dyDescent="0.3">
      <c r="A701" s="15" t="s">
        <v>760</v>
      </c>
      <c r="B701" s="2">
        <v>1756.6999999999998</v>
      </c>
    </row>
    <row r="702" spans="1:2" x14ac:dyDescent="0.3">
      <c r="A702" s="15" t="s">
        <v>1088</v>
      </c>
      <c r="B702" s="2">
        <v>1122.0896000000002</v>
      </c>
    </row>
    <row r="703" spans="1:2" x14ac:dyDescent="0.3">
      <c r="A703" s="15" t="s">
        <v>1025</v>
      </c>
      <c r="B703" s="2">
        <v>1098.9470800000001</v>
      </c>
    </row>
    <row r="704" spans="1:2" x14ac:dyDescent="0.3">
      <c r="A704" s="15" t="s">
        <v>850</v>
      </c>
      <c r="B704" s="2">
        <v>765.99195000000009</v>
      </c>
    </row>
    <row r="705" spans="1:2" x14ac:dyDescent="0.3">
      <c r="A705" s="15" t="s">
        <v>977</v>
      </c>
      <c r="B705" s="2">
        <v>748.22303999999997</v>
      </c>
    </row>
    <row r="706" spans="1:2" x14ac:dyDescent="0.3">
      <c r="A706" s="15" t="s">
        <v>1151</v>
      </c>
      <c r="B706" s="2">
        <v>741.43835999999999</v>
      </c>
    </row>
    <row r="707" spans="1:2" x14ac:dyDescent="0.3">
      <c r="A707" s="15" t="s">
        <v>741</v>
      </c>
      <c r="B707" s="2">
        <v>685.06776000000002</v>
      </c>
    </row>
    <row r="708" spans="1:2" x14ac:dyDescent="0.3">
      <c r="A708" s="14" t="s">
        <v>1373</v>
      </c>
      <c r="B708" s="2">
        <v>10919008.6252</v>
      </c>
    </row>
  </sheetData>
  <mergeCells count="1">
    <mergeCell ref="AD18:AG18"/>
  </mergeCells>
  <conditionalFormatting sqref="AG19">
    <cfRule type="top10" dxfId="8" priority="1" bottom="1" rank="3"/>
    <cfRule type="top10" dxfId="7" priority="2" rank="3"/>
  </conditionalFormatting>
  <pageMargins left="0.7" right="0.7" top="0.75" bottom="0.75" header="0.3" footer="0.3"/>
  <pictur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3AD5E-12F4-4BFD-8368-9C766DEF22B3}">
  <dimension ref="A1:IM180"/>
  <sheetViews>
    <sheetView workbookViewId="0">
      <selection activeCell="J9" sqref="J9"/>
    </sheetView>
  </sheetViews>
  <sheetFormatPr defaultRowHeight="14.4" x14ac:dyDescent="0.3"/>
  <cols>
    <col min="1" max="1" width="19.5546875" style="2" bestFit="1" customWidth="1"/>
    <col min="2" max="2" width="15.5546875" style="2" bestFit="1" customWidth="1"/>
    <col min="3" max="4" width="7" style="2" bestFit="1" customWidth="1"/>
    <col min="5" max="5" width="10.77734375" style="2" bestFit="1" customWidth="1"/>
    <col min="6" max="6" width="7" style="2" bestFit="1" customWidth="1"/>
    <col min="7" max="7" width="7" style="8" bestFit="1" customWidth="1"/>
    <col min="8" max="8" width="10.77734375" style="2" bestFit="1" customWidth="1"/>
    <col min="9" max="9" width="9.88671875" style="2" bestFit="1" customWidth="1"/>
    <col min="10" max="10" width="11.5546875" style="2" bestFit="1" customWidth="1"/>
    <col min="11" max="12" width="7" style="2" bestFit="1" customWidth="1"/>
    <col min="13" max="13" width="11.33203125" style="2" bestFit="1" customWidth="1"/>
    <col min="14" max="14" width="9.109375" style="2" bestFit="1" customWidth="1"/>
    <col min="15" max="15" width="9.88671875" style="2" bestFit="1" customWidth="1"/>
    <col min="16" max="16" width="11.5546875" style="2" bestFit="1" customWidth="1"/>
    <col min="17" max="17" width="6.44140625" style="2" bestFit="1" customWidth="1"/>
    <col min="18" max="18" width="7" style="2" bestFit="1" customWidth="1"/>
    <col min="19" max="19" width="11.77734375" style="2" bestFit="1" customWidth="1"/>
    <col min="20" max="20" width="8.6640625" style="2" bestFit="1" customWidth="1"/>
    <col min="21" max="21" width="9.88671875" style="2" bestFit="1" customWidth="1"/>
    <col min="22" max="22" width="11.5546875" style="2" bestFit="1" customWidth="1"/>
    <col min="23" max="23" width="6.44140625" style="2" bestFit="1" customWidth="1"/>
    <col min="24" max="24" width="7" style="2" bestFit="1" customWidth="1"/>
    <col min="25" max="25" width="11.33203125" style="2" bestFit="1" customWidth="1"/>
    <col min="26" max="26" width="9.44140625" style="2" bestFit="1" customWidth="1"/>
    <col min="27" max="27" width="9.88671875" style="2" bestFit="1" customWidth="1"/>
    <col min="28" max="28" width="11.5546875" style="2" bestFit="1" customWidth="1"/>
    <col min="29" max="29" width="6.44140625" style="2" bestFit="1" customWidth="1"/>
    <col min="30" max="30" width="7" style="2" bestFit="1" customWidth="1"/>
    <col min="31" max="31" width="12.109375" style="2" bestFit="1" customWidth="1"/>
    <col min="32" max="32" width="8.5546875" style="2" bestFit="1" customWidth="1"/>
    <col min="33" max="33" width="9.88671875" style="2" bestFit="1" customWidth="1"/>
    <col min="34" max="34" width="11.5546875" style="2" bestFit="1" customWidth="1"/>
    <col min="35" max="35" width="7" style="2" bestFit="1" customWidth="1"/>
    <col min="36" max="36" width="6" style="2" bestFit="1" customWidth="1"/>
    <col min="37" max="37" width="11.21875" style="2" bestFit="1" customWidth="1"/>
    <col min="38" max="38" width="7.88671875" style="2" bestFit="1" customWidth="1"/>
    <col min="39" max="39" width="9.88671875" style="2" bestFit="1" customWidth="1"/>
    <col min="40" max="40" width="11.5546875" style="2" bestFit="1" customWidth="1"/>
    <col min="41" max="42" width="7" style="2" bestFit="1" customWidth="1"/>
    <col min="43" max="43" width="10.5546875" style="2" bestFit="1" customWidth="1"/>
    <col min="44" max="44" width="9" style="2" bestFit="1" customWidth="1"/>
    <col min="45" max="45" width="9.88671875" style="2" bestFit="1" customWidth="1"/>
    <col min="46" max="46" width="11.5546875" style="2" bestFit="1" customWidth="1"/>
    <col min="47" max="48" width="7" style="2" bestFit="1" customWidth="1"/>
    <col min="49" max="49" width="11.6640625" style="2" bestFit="1" customWidth="1"/>
    <col min="50" max="50" width="8.77734375" style="2" bestFit="1" customWidth="1"/>
    <col min="51" max="51" width="11.5546875" style="2" bestFit="1" customWidth="1"/>
    <col min="52" max="52" width="7" style="2" bestFit="1" customWidth="1"/>
    <col min="53" max="53" width="6" style="2" bestFit="1" customWidth="1"/>
    <col min="54" max="54" width="11.44140625" style="2" bestFit="1" customWidth="1"/>
    <col min="55" max="55" width="8.5546875" style="2" bestFit="1" customWidth="1"/>
    <col min="56" max="56" width="9.88671875" style="2" bestFit="1" customWidth="1"/>
    <col min="57" max="57" width="11.5546875" style="2" bestFit="1" customWidth="1"/>
    <col min="58" max="58" width="12.109375" style="2" bestFit="1" customWidth="1"/>
    <col min="59" max="60" width="7" style="2" bestFit="1" customWidth="1"/>
    <col min="61" max="61" width="11.21875" style="2" bestFit="1" customWidth="1"/>
    <col min="62" max="62" width="9.109375" style="2" bestFit="1" customWidth="1"/>
    <col min="63" max="63" width="11.5546875" style="2" bestFit="1" customWidth="1"/>
    <col min="64" max="64" width="6" style="2" bestFit="1" customWidth="1"/>
    <col min="65" max="65" width="11.77734375" style="2" bestFit="1" customWidth="1"/>
    <col min="66" max="66" width="8.77734375" style="2" bestFit="1" customWidth="1"/>
    <col min="67" max="67" width="9.88671875" style="2" bestFit="1" customWidth="1"/>
    <col min="68" max="68" width="11.5546875" style="2" bestFit="1" customWidth="1"/>
    <col min="69" max="69" width="7" style="2" bestFit="1" customWidth="1"/>
    <col min="70" max="70" width="11.44140625" style="2" bestFit="1" customWidth="1"/>
    <col min="71" max="71" width="8.44140625" style="2" bestFit="1" customWidth="1"/>
    <col min="72" max="72" width="9.88671875" style="2" bestFit="1" customWidth="1"/>
    <col min="73" max="73" width="11.5546875" style="2" bestFit="1" customWidth="1"/>
    <col min="74" max="74" width="6.44140625" style="2" bestFit="1" customWidth="1"/>
    <col min="75" max="75" width="7" style="2" bestFit="1" customWidth="1"/>
    <col min="76" max="76" width="11.109375" style="2" bestFit="1" customWidth="1"/>
    <col min="77" max="77" width="8.6640625" style="2" bestFit="1" customWidth="1"/>
    <col min="78" max="78" width="9.88671875" style="2" bestFit="1" customWidth="1"/>
    <col min="79" max="79" width="11.5546875" style="2" bestFit="1" customWidth="1"/>
    <col min="80" max="80" width="7" style="2" bestFit="1" customWidth="1"/>
    <col min="81" max="81" width="6" style="2" bestFit="1" customWidth="1"/>
    <col min="82" max="82" width="11.33203125" style="2" bestFit="1" customWidth="1"/>
    <col min="83" max="83" width="9.109375" style="2" bestFit="1" customWidth="1"/>
    <col min="84" max="84" width="9.88671875" style="2" bestFit="1" customWidth="1"/>
    <col min="85" max="85" width="11.5546875" style="2" bestFit="1" customWidth="1"/>
    <col min="86" max="86" width="7" style="2" bestFit="1" customWidth="1"/>
    <col min="87" max="87" width="6" style="2" bestFit="1" customWidth="1"/>
    <col min="88" max="88" width="11.77734375" style="2" bestFit="1" customWidth="1"/>
    <col min="89" max="89" width="8.6640625" style="2" bestFit="1" customWidth="1"/>
    <col min="90" max="90" width="9.88671875" style="2" bestFit="1" customWidth="1"/>
    <col min="91" max="91" width="11.5546875" style="2" bestFit="1" customWidth="1"/>
    <col min="92" max="93" width="7" style="2" bestFit="1" customWidth="1"/>
    <col min="94" max="94" width="11.33203125" style="2" bestFit="1" customWidth="1"/>
    <col min="95" max="95" width="9.44140625" style="2" bestFit="1" customWidth="1"/>
    <col min="96" max="96" width="9.88671875" style="2" bestFit="1" customWidth="1"/>
    <col min="97" max="97" width="11.5546875" style="2" bestFit="1" customWidth="1"/>
    <col min="98" max="99" width="7" style="2" bestFit="1" customWidth="1"/>
    <col min="100" max="100" width="12.109375" style="2" bestFit="1" customWidth="1"/>
    <col min="101" max="101" width="8.5546875" style="2" bestFit="1" customWidth="1"/>
    <col min="102" max="102" width="9.88671875" style="2" bestFit="1" customWidth="1"/>
    <col min="103" max="103" width="11.5546875" style="2" bestFit="1" customWidth="1"/>
    <col min="104" max="104" width="6.44140625" style="2" bestFit="1" customWidth="1"/>
    <col min="105" max="105" width="7" style="2" bestFit="1" customWidth="1"/>
    <col min="106" max="106" width="11.21875" style="2" bestFit="1" customWidth="1"/>
    <col min="107" max="107" width="7.88671875" style="2" bestFit="1" customWidth="1"/>
    <col min="108" max="108" width="11.5546875" style="2" bestFit="1" customWidth="1"/>
    <col min="109" max="110" width="7" style="2" bestFit="1" customWidth="1"/>
    <col min="111" max="111" width="10.5546875" style="2" bestFit="1" customWidth="1"/>
    <col min="112" max="112" width="9" style="2" bestFit="1" customWidth="1"/>
    <col min="113" max="113" width="9.88671875" style="2" bestFit="1" customWidth="1"/>
    <col min="114" max="114" width="11.5546875" style="2" bestFit="1" customWidth="1"/>
    <col min="115" max="116" width="7" style="2" bestFit="1" customWidth="1"/>
    <col min="117" max="117" width="11.6640625" style="2" bestFit="1" customWidth="1"/>
    <col min="118" max="118" width="8.77734375" style="2" bestFit="1" customWidth="1"/>
    <col min="119" max="119" width="9.88671875" style="2" bestFit="1" customWidth="1"/>
    <col min="120" max="120" width="11.5546875" style="2" bestFit="1" customWidth="1"/>
    <col min="121" max="122" width="7" style="2" bestFit="1" customWidth="1"/>
    <col min="123" max="123" width="11.44140625" style="2" bestFit="1" customWidth="1"/>
    <col min="124" max="124" width="8.5546875" style="2" bestFit="1" customWidth="1"/>
    <col min="125" max="125" width="9.88671875" style="2" bestFit="1" customWidth="1"/>
    <col min="126" max="126" width="11.5546875" style="2" bestFit="1" customWidth="1"/>
    <col min="127" max="127" width="12.109375" style="2" bestFit="1" customWidth="1"/>
    <col min="128" max="128" width="7" style="2" bestFit="1" customWidth="1"/>
    <col min="129" max="129" width="6" style="2" bestFit="1" customWidth="1"/>
    <col min="130" max="130" width="11.21875" style="2" bestFit="1" customWidth="1"/>
    <col min="131" max="131" width="9.109375" style="2" bestFit="1" customWidth="1"/>
    <col min="132" max="132" width="9.88671875" style="2" bestFit="1" customWidth="1"/>
    <col min="133" max="133" width="11.5546875" style="2" bestFit="1" customWidth="1"/>
    <col min="134" max="135" width="7" style="2" bestFit="1" customWidth="1"/>
    <col min="136" max="136" width="11.77734375" style="2" bestFit="1" customWidth="1"/>
    <col min="137" max="137" width="8.77734375" style="2" bestFit="1" customWidth="1"/>
    <col min="138" max="138" width="9.88671875" style="2" bestFit="1" customWidth="1"/>
    <col min="139" max="139" width="11.5546875" style="2" bestFit="1" customWidth="1"/>
    <col min="140" max="141" width="7" style="2" bestFit="1" customWidth="1"/>
    <col min="142" max="142" width="11.44140625" style="2" bestFit="1" customWidth="1"/>
    <col min="143" max="143" width="8.44140625" style="2" bestFit="1" customWidth="1"/>
    <col min="144" max="144" width="9.88671875" style="2" bestFit="1" customWidth="1"/>
    <col min="145" max="145" width="11.5546875" style="2" bestFit="1" customWidth="1"/>
    <col min="146" max="146" width="12.109375" style="2" bestFit="1" customWidth="1"/>
    <col min="147" max="147" width="6.44140625" style="2" bestFit="1" customWidth="1"/>
    <col min="148" max="148" width="7" style="2" bestFit="1" customWidth="1"/>
    <col min="149" max="149" width="11.109375" style="2" bestFit="1" customWidth="1"/>
    <col min="150" max="150" width="8.6640625" style="2" bestFit="1" customWidth="1"/>
    <col min="151" max="151" width="9.88671875" style="2" bestFit="1" customWidth="1"/>
    <col min="152" max="152" width="11.5546875" style="2" bestFit="1" customWidth="1"/>
    <col min="153" max="153" width="6" style="2" bestFit="1" customWidth="1"/>
    <col min="154" max="154" width="11.33203125" style="2" bestFit="1" customWidth="1"/>
    <col min="155" max="155" width="9.109375" style="2" bestFit="1" customWidth="1"/>
    <col min="156" max="156" width="9.88671875" style="2" bestFit="1" customWidth="1"/>
    <col min="157" max="157" width="11.5546875" style="2" bestFit="1" customWidth="1"/>
    <col min="158" max="158" width="6.44140625" style="2" bestFit="1" customWidth="1"/>
    <col min="159" max="159" width="7" style="2" bestFit="1" customWidth="1"/>
    <col min="160" max="160" width="11.77734375" style="2" bestFit="1" customWidth="1"/>
    <col min="161" max="161" width="8.6640625" style="2" bestFit="1" customWidth="1"/>
    <col min="162" max="162" width="9.88671875" style="2" bestFit="1" customWidth="1"/>
    <col min="163" max="163" width="11.5546875" style="2" bestFit="1" customWidth="1"/>
    <col min="164" max="164" width="12.109375" style="2" bestFit="1" customWidth="1"/>
    <col min="165" max="165" width="7" style="2" bestFit="1" customWidth="1"/>
    <col min="166" max="166" width="6" style="2" bestFit="1" customWidth="1"/>
    <col min="167" max="167" width="11.33203125" style="2" bestFit="1" customWidth="1"/>
    <col min="168" max="168" width="9.44140625" style="2" bestFit="1" customWidth="1"/>
    <col min="169" max="169" width="9.88671875" style="2" bestFit="1" customWidth="1"/>
    <col min="170" max="170" width="11.5546875" style="2" bestFit="1" customWidth="1"/>
    <col min="171" max="172" width="7" style="2" bestFit="1" customWidth="1"/>
    <col min="173" max="173" width="12.109375" style="2" bestFit="1" customWidth="1"/>
    <col min="174" max="174" width="8.5546875" style="2" bestFit="1" customWidth="1"/>
    <col min="175" max="175" width="9.88671875" style="2" bestFit="1" customWidth="1"/>
    <col min="176" max="176" width="11.5546875" style="2" bestFit="1" customWidth="1"/>
    <col min="177" max="177" width="12.109375" style="2" bestFit="1" customWidth="1"/>
    <col min="178" max="178" width="7" style="2" bestFit="1" customWidth="1"/>
    <col min="179" max="179" width="6" style="2" bestFit="1" customWidth="1"/>
    <col min="180" max="180" width="11.21875" style="2" bestFit="1" customWidth="1"/>
    <col min="181" max="181" width="7.88671875" style="2" bestFit="1" customWidth="1"/>
    <col min="182" max="182" width="9.88671875" style="2" bestFit="1" customWidth="1"/>
    <col min="183" max="183" width="11.5546875" style="2" bestFit="1" customWidth="1"/>
    <col min="184" max="184" width="7" style="2" bestFit="1" customWidth="1"/>
    <col min="185" max="185" width="6" style="2" bestFit="1" customWidth="1"/>
    <col min="186" max="186" width="10.5546875" style="2" bestFit="1" customWidth="1"/>
    <col min="187" max="187" width="9" style="2" bestFit="1" customWidth="1"/>
    <col min="188" max="188" width="9.88671875" style="2" bestFit="1" customWidth="1"/>
    <col min="189" max="189" width="11.5546875" style="2" bestFit="1" customWidth="1"/>
    <col min="190" max="190" width="12.109375" style="2" bestFit="1" customWidth="1"/>
    <col min="191" max="192" width="7" style="2" bestFit="1" customWidth="1"/>
    <col min="193" max="193" width="11.6640625" style="2" bestFit="1" customWidth="1"/>
    <col min="194" max="194" width="8.77734375" style="2" bestFit="1" customWidth="1"/>
    <col min="195" max="195" width="9.88671875" style="2" bestFit="1" customWidth="1"/>
    <col min="196" max="196" width="11.5546875" style="2" bestFit="1" customWidth="1"/>
    <col min="197" max="198" width="7" style="2" bestFit="1" customWidth="1"/>
    <col min="199" max="199" width="11.44140625" style="2" bestFit="1" customWidth="1"/>
    <col min="200" max="200" width="10.77734375" style="2" bestFit="1" customWidth="1"/>
    <col min="201" max="201" width="11.44140625" style="2" bestFit="1" customWidth="1"/>
    <col min="202" max="202" width="9.6640625" style="2" bestFit="1" customWidth="1"/>
    <col min="203" max="203" width="10.77734375" style="2" bestFit="1" customWidth="1"/>
    <col min="204" max="204" width="6" style="2" bestFit="1" customWidth="1"/>
    <col min="205" max="205" width="11.6640625" style="2" bestFit="1" customWidth="1"/>
    <col min="206" max="206" width="8.77734375" style="2" bestFit="1" customWidth="1"/>
    <col min="207" max="207" width="9.88671875" style="2" bestFit="1" customWidth="1"/>
    <col min="208" max="208" width="11.5546875" style="2" bestFit="1" customWidth="1"/>
    <col min="209" max="209" width="6.44140625" style="2" bestFit="1" customWidth="1"/>
    <col min="210" max="210" width="6" style="2" bestFit="1" customWidth="1"/>
    <col min="211" max="211" width="11.44140625" style="2" bestFit="1" customWidth="1"/>
    <col min="212" max="212" width="9.33203125" style="2" bestFit="1" customWidth="1"/>
    <col min="213" max="213" width="9.6640625" style="2" bestFit="1" customWidth="1"/>
    <col min="214" max="214" width="10.77734375" style="2" bestFit="1" customWidth="1"/>
    <col min="215" max="215" width="9.88671875" style="2" bestFit="1" customWidth="1"/>
    <col min="216" max="216" width="11.5546875" style="2" bestFit="1" customWidth="1"/>
    <col min="217" max="217" width="12.109375" style="2" bestFit="1" customWidth="1"/>
    <col min="218" max="218" width="6.44140625" style="2" bestFit="1" customWidth="1"/>
    <col min="219" max="219" width="6" style="2" bestFit="1" customWidth="1"/>
    <col min="220" max="220" width="11.21875" style="2" bestFit="1" customWidth="1"/>
    <col min="221" max="221" width="8.5546875" style="2" bestFit="1" customWidth="1"/>
    <col min="222" max="222" width="9.33203125" style="2" bestFit="1" customWidth="1"/>
    <col min="223" max="223" width="7.88671875" style="2" bestFit="1" customWidth="1"/>
    <col min="224" max="224" width="9.88671875" style="2" bestFit="1" customWidth="1"/>
    <col min="225" max="225" width="11.5546875" style="2" bestFit="1" customWidth="1"/>
    <col min="226" max="226" width="6.44140625" style="2" bestFit="1" customWidth="1"/>
    <col min="227" max="227" width="6" style="2" bestFit="1" customWidth="1"/>
    <col min="228" max="228" width="10.5546875" style="2" bestFit="1" customWidth="1"/>
    <col min="229" max="229" width="7.88671875" style="2" bestFit="1" customWidth="1"/>
    <col min="230" max="230" width="9" style="2" bestFit="1" customWidth="1"/>
    <col min="231" max="231" width="9.88671875" style="2" bestFit="1" customWidth="1"/>
    <col min="232" max="232" width="11.5546875" style="2" bestFit="1" customWidth="1"/>
    <col min="233" max="233" width="12.109375" style="2" bestFit="1" customWidth="1"/>
    <col min="234" max="234" width="6.44140625" style="2" bestFit="1" customWidth="1"/>
    <col min="235" max="235" width="6" style="2" bestFit="1" customWidth="1"/>
    <col min="236" max="236" width="11.6640625" style="2" bestFit="1" customWidth="1"/>
    <col min="237" max="237" width="9" style="2" bestFit="1" customWidth="1"/>
    <col min="238" max="238" width="8.77734375" style="2" bestFit="1" customWidth="1"/>
    <col min="239" max="239" width="9.88671875" style="2" bestFit="1" customWidth="1"/>
    <col min="240" max="240" width="11.5546875" style="2" bestFit="1" customWidth="1"/>
    <col min="241" max="241" width="6.44140625" style="2" bestFit="1" customWidth="1"/>
    <col min="242" max="242" width="6" style="2" bestFit="1" customWidth="1"/>
    <col min="243" max="243" width="11.44140625" style="2" bestFit="1" customWidth="1"/>
    <col min="244" max="244" width="8.77734375" style="2" bestFit="1" customWidth="1"/>
    <col min="245" max="245" width="9.33203125" style="2" bestFit="1" customWidth="1"/>
    <col min="246" max="246" width="9.6640625" style="2" bestFit="1" customWidth="1"/>
    <col min="247" max="247" width="10.77734375" style="2" bestFit="1" customWidth="1"/>
    <col min="248" max="16384" width="8.88671875" style="2"/>
  </cols>
  <sheetData>
    <row r="1" spans="1:7" x14ac:dyDescent="0.3">
      <c r="A1" s="80" t="s">
        <v>1445</v>
      </c>
      <c r="B1" s="56"/>
    </row>
    <row r="2" spans="1:7" x14ac:dyDescent="0.3">
      <c r="A2" s="13" t="s">
        <v>1372</v>
      </c>
      <c r="B2" s="2" t="s">
        <v>1429</v>
      </c>
      <c r="C2" s="2" t="s">
        <v>1412</v>
      </c>
      <c r="D2" s="2" t="s">
        <v>1433</v>
      </c>
      <c r="E2" s="12" t="s">
        <v>1476</v>
      </c>
      <c r="F2" s="12" t="s">
        <v>1477</v>
      </c>
      <c r="G2" s="86" t="s">
        <v>1478</v>
      </c>
    </row>
    <row r="3" spans="1:7" x14ac:dyDescent="0.3">
      <c r="A3" s="14" t="s">
        <v>720</v>
      </c>
      <c r="B3" s="83">
        <v>46</v>
      </c>
      <c r="C3" s="83">
        <v>877449.32372999971</v>
      </c>
      <c r="D3" s="83">
        <v>282234.27373000002</v>
      </c>
      <c r="E3" s="2">
        <f>IF(B5=0,"",C5/B5)</f>
        <v>18642.604448378377</v>
      </c>
      <c r="F3" s="2">
        <f>IF(B3=0,"",D3/B3)</f>
        <v>6135.5276897826088</v>
      </c>
      <c r="G3" s="87">
        <f>B3/33</f>
        <v>1.393939393939394</v>
      </c>
    </row>
    <row r="4" spans="1:7" x14ac:dyDescent="0.3">
      <c r="A4" s="14" t="s">
        <v>717</v>
      </c>
      <c r="B4" s="83">
        <v>47</v>
      </c>
      <c r="C4" s="83">
        <v>866976.37309999997</v>
      </c>
      <c r="D4" s="83">
        <v>320763.18309999997</v>
      </c>
      <c r="E4" s="2">
        <f t="shared" ref="E4:E19" si="0">IF(B6=0,"",C6/B6)</f>
        <v>15179.478708157894</v>
      </c>
      <c r="F4" s="2">
        <f t="shared" ref="F4:F17" si="1">IF(B4=0,"",D4/B4)</f>
        <v>6824.7485765957435</v>
      </c>
      <c r="G4" s="8">
        <f t="shared" ref="G4:G17" si="2">B4/33</f>
        <v>1.4242424242424243</v>
      </c>
    </row>
    <row r="5" spans="1:7" x14ac:dyDescent="0.3">
      <c r="A5" s="14" t="s">
        <v>712</v>
      </c>
      <c r="B5" s="83">
        <v>37</v>
      </c>
      <c r="C5" s="83">
        <v>689776.36459000001</v>
      </c>
      <c r="D5" s="83">
        <v>230359.52458999999</v>
      </c>
      <c r="E5" s="2">
        <f t="shared" si="0"/>
        <v>15995.483545000001</v>
      </c>
      <c r="F5" s="2">
        <f t="shared" si="1"/>
        <v>6225.9330970270266</v>
      </c>
      <c r="G5" s="8">
        <f t="shared" si="2"/>
        <v>1.1212121212121211</v>
      </c>
    </row>
    <row r="6" spans="1:7" x14ac:dyDescent="0.3">
      <c r="A6" s="14" t="s">
        <v>726</v>
      </c>
      <c r="B6" s="83">
        <v>38</v>
      </c>
      <c r="C6" s="83">
        <v>576820.19091</v>
      </c>
      <c r="D6" s="83">
        <v>151076.93091000005</v>
      </c>
      <c r="E6" s="2">
        <f t="shared" si="0"/>
        <v>15934.062202352938</v>
      </c>
      <c r="F6" s="2">
        <f t="shared" si="1"/>
        <v>3975.7087081578961</v>
      </c>
      <c r="G6" s="8">
        <f t="shared" si="2"/>
        <v>1.1515151515151516</v>
      </c>
    </row>
    <row r="7" spans="1:7" x14ac:dyDescent="0.3">
      <c r="A7" s="14" t="s">
        <v>718</v>
      </c>
      <c r="B7" s="83">
        <v>34</v>
      </c>
      <c r="C7" s="83">
        <v>543846.44053000002</v>
      </c>
      <c r="D7" s="83">
        <v>204981.34053000004</v>
      </c>
      <c r="E7" s="2">
        <f t="shared" si="0"/>
        <v>17021.790435000006</v>
      </c>
      <c r="F7" s="2">
        <f t="shared" si="1"/>
        <v>6028.8629567647076</v>
      </c>
      <c r="G7" s="8">
        <f t="shared" si="2"/>
        <v>1.0303030303030303</v>
      </c>
    </row>
    <row r="8" spans="1:7" x14ac:dyDescent="0.3">
      <c r="A8" s="14" t="s">
        <v>721</v>
      </c>
      <c r="B8" s="83">
        <v>51</v>
      </c>
      <c r="C8" s="83">
        <v>812637.17231999978</v>
      </c>
      <c r="D8" s="83">
        <v>251733.01232000004</v>
      </c>
      <c r="E8" s="2">
        <f t="shared" si="0"/>
        <v>15526.673340222223</v>
      </c>
      <c r="F8" s="2">
        <f t="shared" si="1"/>
        <v>4935.9414180392168</v>
      </c>
      <c r="G8" s="8">
        <f t="shared" si="2"/>
        <v>1.5454545454545454</v>
      </c>
    </row>
    <row r="9" spans="1:7" x14ac:dyDescent="0.3">
      <c r="A9" s="14" t="s">
        <v>715</v>
      </c>
      <c r="B9" s="83">
        <v>30</v>
      </c>
      <c r="C9" s="83">
        <v>510653.71305000014</v>
      </c>
      <c r="D9" s="83">
        <v>172441.87305000005</v>
      </c>
      <c r="E9" s="2">
        <f t="shared" si="0"/>
        <v>14241.201889999998</v>
      </c>
      <c r="F9" s="2">
        <f t="shared" si="1"/>
        <v>5748.0624350000016</v>
      </c>
      <c r="G9" s="8">
        <f t="shared" si="2"/>
        <v>0.90909090909090906</v>
      </c>
    </row>
    <row r="10" spans="1:7" x14ac:dyDescent="0.3">
      <c r="A10" s="14" t="s">
        <v>722</v>
      </c>
      <c r="B10" s="83">
        <v>45</v>
      </c>
      <c r="C10" s="83">
        <v>698700.30031000008</v>
      </c>
      <c r="D10" s="83">
        <v>138152.81030999997</v>
      </c>
      <c r="E10" s="2">
        <f t="shared" si="0"/>
        <v>16047.693245599994</v>
      </c>
      <c r="F10" s="2">
        <f t="shared" si="1"/>
        <v>3070.0624513333328</v>
      </c>
      <c r="G10" s="8">
        <f t="shared" si="2"/>
        <v>1.3636363636363635</v>
      </c>
    </row>
    <row r="11" spans="1:7" x14ac:dyDescent="0.3">
      <c r="A11" s="14" t="s">
        <v>714</v>
      </c>
      <c r="B11" s="83">
        <v>38</v>
      </c>
      <c r="C11" s="83">
        <v>541165.67181999993</v>
      </c>
      <c r="D11" s="83">
        <v>140021.69181999998</v>
      </c>
      <c r="E11" s="2">
        <f t="shared" si="0"/>
        <v>20076.093849090907</v>
      </c>
      <c r="F11" s="2">
        <f t="shared" si="1"/>
        <v>3684.7813636842097</v>
      </c>
      <c r="G11" s="8">
        <f t="shared" si="2"/>
        <v>1.1515151515151516</v>
      </c>
    </row>
    <row r="12" spans="1:7" x14ac:dyDescent="0.3">
      <c r="A12" s="14" t="s">
        <v>713</v>
      </c>
      <c r="B12" s="83">
        <v>50</v>
      </c>
      <c r="C12" s="83">
        <v>802384.6622799997</v>
      </c>
      <c r="D12" s="83">
        <v>273113.11228</v>
      </c>
      <c r="E12" s="2">
        <f t="shared" si="0"/>
        <v>18553.841327173912</v>
      </c>
      <c r="F12" s="2">
        <f t="shared" si="1"/>
        <v>5462.2622455999999</v>
      </c>
      <c r="G12" s="8">
        <f t="shared" si="2"/>
        <v>1.5151515151515151</v>
      </c>
    </row>
    <row r="13" spans="1:7" x14ac:dyDescent="0.3">
      <c r="A13" s="14" t="s">
        <v>723</v>
      </c>
      <c r="B13" s="83">
        <v>44</v>
      </c>
      <c r="C13" s="83">
        <v>883348.1293599999</v>
      </c>
      <c r="D13" s="83">
        <v>278762.26935999998</v>
      </c>
      <c r="E13" s="2">
        <f t="shared" si="0"/>
        <v>20347.847857291657</v>
      </c>
      <c r="F13" s="2">
        <f t="shared" si="1"/>
        <v>6335.5061218181809</v>
      </c>
      <c r="G13" s="8">
        <f t="shared" si="2"/>
        <v>1.3333333333333333</v>
      </c>
    </row>
    <row r="14" spans="1:7" x14ac:dyDescent="0.3">
      <c r="A14" s="14" t="s">
        <v>716</v>
      </c>
      <c r="B14" s="83">
        <v>46</v>
      </c>
      <c r="C14" s="83">
        <v>853476.70104999992</v>
      </c>
      <c r="D14" s="83">
        <v>270154.73105000006</v>
      </c>
      <c r="E14" s="2">
        <f t="shared" si="0"/>
        <v>12135.1605184375</v>
      </c>
      <c r="F14" s="2">
        <f t="shared" si="1"/>
        <v>5872.9289358695669</v>
      </c>
      <c r="G14" s="8">
        <f t="shared" si="2"/>
        <v>1.393939393939394</v>
      </c>
    </row>
    <row r="15" spans="1:7" x14ac:dyDescent="0.3">
      <c r="A15" s="14" t="s">
        <v>724</v>
      </c>
      <c r="B15" s="83">
        <v>48</v>
      </c>
      <c r="C15" s="83">
        <v>976696.69714999956</v>
      </c>
      <c r="D15" s="83">
        <v>313054.76714999985</v>
      </c>
      <c r="E15" s="2">
        <f t="shared" si="0"/>
        <v>17506.078295675678</v>
      </c>
      <c r="F15" s="2">
        <f t="shared" si="1"/>
        <v>6521.974315624997</v>
      </c>
      <c r="G15" s="8">
        <f t="shared" si="2"/>
        <v>1.4545454545454546</v>
      </c>
    </row>
    <row r="16" spans="1:7" x14ac:dyDescent="0.3">
      <c r="A16" s="14" t="s">
        <v>725</v>
      </c>
      <c r="B16" s="83">
        <v>32</v>
      </c>
      <c r="C16" s="83">
        <v>388325.13659000001</v>
      </c>
      <c r="D16" s="83">
        <v>110646.45659</v>
      </c>
      <c r="E16" s="2">
        <f t="shared" si="0"/>
        <v>31128.356433749999</v>
      </c>
      <c r="F16" s="2">
        <f t="shared" si="1"/>
        <v>3457.7017684375</v>
      </c>
      <c r="G16" s="8">
        <f t="shared" si="2"/>
        <v>0.96969696969696972</v>
      </c>
    </row>
    <row r="17" spans="1:9" x14ac:dyDescent="0.3">
      <c r="A17" s="14" t="s">
        <v>719</v>
      </c>
      <c r="B17" s="83">
        <v>37</v>
      </c>
      <c r="C17" s="83">
        <v>647724.89694000001</v>
      </c>
      <c r="D17" s="83">
        <v>185219.43694000004</v>
      </c>
      <c r="E17" s="2">
        <f t="shared" si="0"/>
        <v>17304.292591442132</v>
      </c>
      <c r="F17" s="2">
        <f t="shared" si="1"/>
        <v>5005.9307281081092</v>
      </c>
      <c r="G17" s="8">
        <f t="shared" si="2"/>
        <v>1.1212121212121211</v>
      </c>
    </row>
    <row r="18" spans="1:9" x14ac:dyDescent="0.3">
      <c r="A18" s="14" t="s">
        <v>1438</v>
      </c>
      <c r="B18" s="83">
        <v>8</v>
      </c>
      <c r="C18" s="83">
        <v>249026.85146999999</v>
      </c>
      <c r="D18" s="83">
        <v>100098.00146999997</v>
      </c>
      <c r="E18" s="2" t="str">
        <f t="shared" si="0"/>
        <v/>
      </c>
    </row>
    <row r="19" spans="1:9" x14ac:dyDescent="0.3">
      <c r="A19" s="14" t="s">
        <v>1373</v>
      </c>
      <c r="B19" s="83">
        <v>631</v>
      </c>
      <c r="C19" s="83">
        <v>10919008.625199985</v>
      </c>
      <c r="D19" s="83">
        <v>3422813.4151999983</v>
      </c>
      <c r="E19" s="2" t="str">
        <f t="shared" si="0"/>
        <v/>
      </c>
    </row>
    <row r="23" spans="1:9" ht="28.8" x14ac:dyDescent="0.3">
      <c r="A23" s="89" t="s">
        <v>1479</v>
      </c>
      <c r="B23" s="88" t="s">
        <v>1480</v>
      </c>
    </row>
    <row r="24" spans="1:9" ht="28.8" x14ac:dyDescent="0.3">
      <c r="A24" s="89" t="s">
        <v>1481</v>
      </c>
      <c r="B24" s="88" t="s">
        <v>1482</v>
      </c>
    </row>
    <row r="25" spans="1:9" ht="28.8" x14ac:dyDescent="0.3">
      <c r="A25" s="89" t="s">
        <v>1483</v>
      </c>
      <c r="B25" s="88" t="s">
        <v>1484</v>
      </c>
    </row>
    <row r="27" spans="1:9" x14ac:dyDescent="0.3">
      <c r="A27" s="56" t="s">
        <v>1489</v>
      </c>
    </row>
    <row r="28" spans="1:9" x14ac:dyDescent="0.3">
      <c r="A28" s="13" t="s">
        <v>1412</v>
      </c>
      <c r="B28" s="13" t="s">
        <v>1411</v>
      </c>
      <c r="G28" s="2"/>
    </row>
    <row r="29" spans="1:9" x14ac:dyDescent="0.3">
      <c r="A29" s="13" t="s">
        <v>1372</v>
      </c>
      <c r="B29" s="2" t="s">
        <v>711</v>
      </c>
      <c r="C29" s="2" t="s">
        <v>710</v>
      </c>
      <c r="D29" s="2" t="s">
        <v>709</v>
      </c>
      <c r="E29" s="2" t="s">
        <v>1440</v>
      </c>
      <c r="F29" s="2" t="s">
        <v>708</v>
      </c>
      <c r="G29" s="2" t="s">
        <v>707</v>
      </c>
      <c r="H29" s="2" t="s">
        <v>1373</v>
      </c>
    </row>
    <row r="30" spans="1:9" x14ac:dyDescent="0.3">
      <c r="A30" s="14" t="s">
        <v>646</v>
      </c>
      <c r="B30" s="90">
        <v>0.17716109829662022</v>
      </c>
      <c r="C30" s="90">
        <v>0.24321571118294991</v>
      </c>
      <c r="D30" s="90">
        <v>0.20216228975179579</v>
      </c>
      <c r="E30" s="90">
        <v>1.2539395544212323E-2</v>
      </c>
      <c r="F30" s="90">
        <v>0.16611138148720239</v>
      </c>
      <c r="G30" s="90">
        <v>0.19881012373721935</v>
      </c>
      <c r="H30" s="90">
        <v>1</v>
      </c>
      <c r="I30" s="2" t="s">
        <v>1485</v>
      </c>
    </row>
    <row r="31" spans="1:9" x14ac:dyDescent="0.3">
      <c r="A31" s="14" t="s">
        <v>648</v>
      </c>
      <c r="B31" s="90">
        <v>0.27959652887305259</v>
      </c>
      <c r="C31" s="90">
        <v>0.21153722604622074</v>
      </c>
      <c r="D31" s="90">
        <v>0.13624034482391922</v>
      </c>
      <c r="E31" s="90">
        <v>3.4419829759956924E-3</v>
      </c>
      <c r="F31" s="90">
        <v>0.25656495690482312</v>
      </c>
      <c r="G31" s="90">
        <v>0.11261896037598858</v>
      </c>
      <c r="H31" s="90">
        <v>1</v>
      </c>
      <c r="I31" s="2" t="s">
        <v>1486</v>
      </c>
    </row>
    <row r="32" spans="1:9" x14ac:dyDescent="0.3">
      <c r="A32" s="14" t="s">
        <v>647</v>
      </c>
      <c r="B32" s="90">
        <v>0.23912684264464432</v>
      </c>
      <c r="C32" s="90">
        <v>0.18066408359148334</v>
      </c>
      <c r="D32" s="90">
        <v>0.19367518969910263</v>
      </c>
      <c r="E32" s="90">
        <v>3.4990619120041644E-3</v>
      </c>
      <c r="F32" s="90">
        <v>0.14670400206363879</v>
      </c>
      <c r="G32" s="90">
        <v>0.23633082008912662</v>
      </c>
      <c r="H32" s="90">
        <v>1</v>
      </c>
      <c r="I32" s="2" t="s">
        <v>1487</v>
      </c>
    </row>
    <row r="33" spans="1:247" x14ac:dyDescent="0.3">
      <c r="A33" s="14" t="s">
        <v>649</v>
      </c>
      <c r="B33" s="90">
        <v>0.3008275905823079</v>
      </c>
      <c r="C33" s="90">
        <v>0.11379437522820593</v>
      </c>
      <c r="D33" s="90">
        <v>0.20810337051302416</v>
      </c>
      <c r="E33" s="90">
        <v>1.7250864946184294E-3</v>
      </c>
      <c r="F33" s="90">
        <v>0.20900008716349927</v>
      </c>
      <c r="G33" s="90">
        <v>0.16654949001834424</v>
      </c>
      <c r="H33" s="90">
        <v>1</v>
      </c>
      <c r="I33" s="2" t="s">
        <v>1488</v>
      </c>
    </row>
    <row r="34" spans="1:247" x14ac:dyDescent="0.3">
      <c r="A34" s="14" t="s">
        <v>1373</v>
      </c>
      <c r="B34" s="90">
        <v>0.25011473722230687</v>
      </c>
      <c r="C34" s="90">
        <v>0.18606089474929668</v>
      </c>
      <c r="D34" s="90">
        <v>0.18525904177705949</v>
      </c>
      <c r="E34" s="90">
        <v>5.1901526150650856E-3</v>
      </c>
      <c r="F34" s="90">
        <v>0.1943790041709143</v>
      </c>
      <c r="G34" s="90">
        <v>0.17899616946535757</v>
      </c>
      <c r="H34" s="90">
        <v>1</v>
      </c>
    </row>
    <row r="35" spans="1:247" x14ac:dyDescent="0.3">
      <c r="A35" s="14"/>
      <c r="B35" s="90"/>
      <c r="C35" s="90"/>
      <c r="D35" s="90"/>
      <c r="E35" s="90"/>
      <c r="F35" s="90"/>
      <c r="G35" s="90"/>
      <c r="H35" s="90"/>
    </row>
    <row r="36" spans="1:247" x14ac:dyDescent="0.3">
      <c r="A36" s="14"/>
      <c r="B36" s="90"/>
      <c r="C36" s="90"/>
      <c r="D36" s="90"/>
      <c r="E36" s="90"/>
      <c r="F36" s="90"/>
      <c r="G36" s="90"/>
      <c r="H36" s="90"/>
    </row>
    <row r="37" spans="1:247" x14ac:dyDescent="0.3">
      <c r="A37" s="14"/>
      <c r="B37" s="90"/>
      <c r="C37" s="90"/>
      <c r="D37" s="90"/>
      <c r="E37" s="90"/>
      <c r="F37" s="90"/>
      <c r="G37" s="90"/>
      <c r="H37" s="90"/>
    </row>
    <row r="38" spans="1:247" x14ac:dyDescent="0.3">
      <c r="A38" s="14"/>
      <c r="B38" s="90"/>
      <c r="C38" s="90"/>
      <c r="D38" s="90"/>
      <c r="E38" s="90"/>
      <c r="F38" s="90"/>
      <c r="G38" s="90"/>
      <c r="H38" s="90"/>
    </row>
    <row r="40" spans="1:247" x14ac:dyDescent="0.3">
      <c r="A40"/>
      <c r="B40"/>
      <c r="C40"/>
    </row>
    <row r="41" spans="1:247" x14ac:dyDescent="0.3">
      <c r="A41" s="80" t="s">
        <v>1490</v>
      </c>
    </row>
    <row r="42" spans="1:247" x14ac:dyDescent="0.3">
      <c r="A42" s="13" t="s">
        <v>1412</v>
      </c>
      <c r="B42" s="13" t="s">
        <v>1411</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row>
    <row r="43" spans="1:247" x14ac:dyDescent="0.3">
      <c r="B43" s="2" t="s">
        <v>1414</v>
      </c>
      <c r="C43" s="2" t="s">
        <v>1415</v>
      </c>
      <c r="D43" s="2" t="s">
        <v>1416</v>
      </c>
      <c r="E43" s="2" t="s">
        <v>1373</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row>
    <row r="44" spans="1:247" x14ac:dyDescent="0.3">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row>
    <row r="45" spans="1:247" x14ac:dyDescent="0.3">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row>
    <row r="46" spans="1:247" x14ac:dyDescent="0.3">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row>
    <row r="47" spans="1:247" x14ac:dyDescent="0.3">
      <c r="A47" s="13" t="s">
        <v>1372</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row>
    <row r="48" spans="1:247" x14ac:dyDescent="0.3">
      <c r="A48" s="14" t="s">
        <v>646</v>
      </c>
      <c r="B48" s="90">
        <v>0.33667896094589017</v>
      </c>
      <c r="C48" s="90">
        <v>0.39027996273869875</v>
      </c>
      <c r="D48" s="90">
        <v>0.27304107631541097</v>
      </c>
      <c r="E48" s="90">
        <v>1</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row>
    <row r="49" spans="1:247" x14ac:dyDescent="0.3">
      <c r="A49" s="14" t="s">
        <v>648</v>
      </c>
      <c r="B49" s="90">
        <v>0.34022146061426073</v>
      </c>
      <c r="C49" s="90">
        <v>0.39390738998763336</v>
      </c>
      <c r="D49" s="90">
        <v>0.26587114939810591</v>
      </c>
      <c r="E49" s="90">
        <v>1</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row>
    <row r="50" spans="1:247" x14ac:dyDescent="0.3">
      <c r="A50" s="14" t="s">
        <v>647</v>
      </c>
      <c r="B50" s="90">
        <v>0.34292093674172325</v>
      </c>
      <c r="C50" s="90">
        <v>0.41392726928525736</v>
      </c>
      <c r="D50" s="90">
        <v>0.24315179397301945</v>
      </c>
      <c r="E50" s="90">
        <v>1</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row>
    <row r="51" spans="1:247" x14ac:dyDescent="0.3">
      <c r="A51" s="14" t="s">
        <v>649</v>
      </c>
      <c r="B51" s="90">
        <v>0.32689298453184451</v>
      </c>
      <c r="C51" s="90">
        <v>0.43695194347871363</v>
      </c>
      <c r="D51" s="90">
        <v>0.23615507198944191</v>
      </c>
      <c r="E51" s="90">
        <v>1</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row>
    <row r="52" spans="1:247" x14ac:dyDescent="0.3">
      <c r="A52" s="14" t="s">
        <v>1373</v>
      </c>
      <c r="B52" s="90">
        <v>0.33665300214035399</v>
      </c>
      <c r="C52" s="90">
        <v>0.4092524578455628</v>
      </c>
      <c r="D52" s="90">
        <v>0.25409454001408305</v>
      </c>
      <c r="E52" s="90">
        <v>1</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row>
    <row r="53" spans="1:247" x14ac:dyDescent="0.3">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row>
    <row r="54" spans="1:247" x14ac:dyDescent="0.3">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row>
    <row r="55" spans="1:247" x14ac:dyDescent="0.3">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row>
    <row r="56" spans="1:247" x14ac:dyDescent="0.3">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row>
    <row r="57" spans="1:247" x14ac:dyDescent="0.3">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row>
    <row r="58" spans="1:247" x14ac:dyDescent="0.3">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row>
    <row r="59" spans="1:247" x14ac:dyDescent="0.3">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row>
    <row r="60" spans="1:247" x14ac:dyDescent="0.3">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row>
    <row r="61" spans="1:247" x14ac:dyDescent="0.3">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row>
    <row r="62" spans="1:247" x14ac:dyDescent="0.3">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row>
    <row r="63" spans="1:247" x14ac:dyDescent="0.3">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row>
    <row r="64" spans="1:247" x14ac:dyDescent="0.3">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row>
    <row r="65" spans="1:200" x14ac:dyDescent="0.3">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row>
    <row r="66" spans="1:200" x14ac:dyDescent="0.3">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row>
    <row r="67" spans="1:200" x14ac:dyDescent="0.3">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row>
    <row r="68" spans="1:200" x14ac:dyDescent="0.3">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row>
    <row r="69" spans="1:200" x14ac:dyDescent="0.3">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row>
    <row r="70" spans="1:200" x14ac:dyDescent="0.3">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row>
    <row r="71" spans="1:200" x14ac:dyDescent="0.3">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row>
    <row r="72" spans="1:200" x14ac:dyDescent="0.3">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row>
    <row r="73" spans="1:200" x14ac:dyDescent="0.3">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row>
    <row r="74" spans="1:200" x14ac:dyDescent="0.3">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row>
    <row r="75" spans="1:200" x14ac:dyDescent="0.3">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row>
    <row r="76" spans="1:200" x14ac:dyDescent="0.3">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row>
    <row r="77" spans="1:200" x14ac:dyDescent="0.3">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row>
    <row r="78" spans="1:200" x14ac:dyDescent="0.3">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row>
    <row r="79" spans="1:200" x14ac:dyDescent="0.3">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row>
    <row r="80" spans="1:200" x14ac:dyDescent="0.3">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row>
    <row r="81" spans="1:200" x14ac:dyDescent="0.3">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row>
    <row r="82" spans="1:200" x14ac:dyDescent="0.3">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row>
    <row r="83" spans="1:200" x14ac:dyDescent="0.3">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row>
    <row r="84" spans="1:200" x14ac:dyDescent="0.3">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row>
    <row r="85" spans="1:200" x14ac:dyDescent="0.3">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row>
    <row r="86" spans="1:200" x14ac:dyDescent="0.3">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row>
    <row r="87" spans="1:200" x14ac:dyDescent="0.3">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row>
    <row r="88" spans="1:200" x14ac:dyDescent="0.3">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row>
    <row r="89" spans="1:200" x14ac:dyDescent="0.3">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row>
    <row r="90" spans="1:200" x14ac:dyDescent="0.3">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row>
    <row r="91" spans="1:200" x14ac:dyDescent="0.3">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row>
    <row r="92" spans="1:200" x14ac:dyDescent="0.3">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row>
    <row r="93" spans="1:200" x14ac:dyDescent="0.3">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row>
    <row r="94" spans="1:200" x14ac:dyDescent="0.3">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row>
    <row r="95" spans="1:200" x14ac:dyDescent="0.3">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row>
    <row r="96" spans="1:200" x14ac:dyDescent="0.3">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row>
    <row r="97" spans="1:200" x14ac:dyDescent="0.3">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row>
    <row r="98" spans="1:200" x14ac:dyDescent="0.3">
      <c r="A98"/>
      <c r="B98"/>
      <c r="C98"/>
      <c r="D98"/>
      <c r="E98"/>
      <c r="F98"/>
      <c r="G98"/>
      <c r="H98"/>
    </row>
    <row r="99" spans="1:200" x14ac:dyDescent="0.3">
      <c r="A99"/>
      <c r="B99"/>
      <c r="C99"/>
      <c r="D99"/>
      <c r="E99"/>
      <c r="F99"/>
      <c r="G99"/>
      <c r="H99"/>
    </row>
    <row r="100" spans="1:200" x14ac:dyDescent="0.3">
      <c r="A100"/>
      <c r="B100"/>
      <c r="C100"/>
      <c r="D100"/>
      <c r="E100"/>
      <c r="F100"/>
      <c r="G100"/>
      <c r="H100"/>
    </row>
    <row r="101" spans="1:200" x14ac:dyDescent="0.3">
      <c r="A101"/>
      <c r="B101"/>
      <c r="C101"/>
      <c r="D101"/>
      <c r="E101"/>
      <c r="F101"/>
      <c r="G101"/>
      <c r="H101"/>
    </row>
    <row r="102" spans="1:200" x14ac:dyDescent="0.3">
      <c r="A102"/>
      <c r="B102"/>
      <c r="C102"/>
      <c r="D102"/>
      <c r="E102"/>
      <c r="F102"/>
      <c r="G102"/>
      <c r="H102"/>
    </row>
    <row r="103" spans="1:200" x14ac:dyDescent="0.3">
      <c r="A103"/>
      <c r="B103"/>
      <c r="C103"/>
      <c r="D103"/>
      <c r="E103"/>
      <c r="F103"/>
      <c r="G103"/>
      <c r="H103"/>
    </row>
    <row r="104" spans="1:200" x14ac:dyDescent="0.3">
      <c r="A104"/>
      <c r="B104"/>
      <c r="C104"/>
      <c r="D104"/>
      <c r="E104"/>
      <c r="F104"/>
      <c r="G104"/>
      <c r="H104"/>
    </row>
    <row r="105" spans="1:200" x14ac:dyDescent="0.3">
      <c r="A105"/>
      <c r="B105"/>
      <c r="C105"/>
      <c r="D105"/>
      <c r="E105"/>
      <c r="F105"/>
      <c r="G105"/>
      <c r="H105"/>
    </row>
    <row r="106" spans="1:200" x14ac:dyDescent="0.3">
      <c r="A106"/>
      <c r="B106"/>
      <c r="C106"/>
      <c r="D106"/>
      <c r="E106"/>
      <c r="F106"/>
      <c r="G106"/>
      <c r="H106"/>
    </row>
    <row r="107" spans="1:200" x14ac:dyDescent="0.3">
      <c r="A107"/>
      <c r="B107"/>
      <c r="C107"/>
      <c r="D107"/>
      <c r="E107"/>
      <c r="F107"/>
      <c r="G107"/>
      <c r="H107"/>
    </row>
    <row r="108" spans="1:200" x14ac:dyDescent="0.3">
      <c r="A108"/>
      <c r="B108"/>
      <c r="C108"/>
      <c r="D108"/>
      <c r="E108"/>
      <c r="F108"/>
      <c r="G108"/>
      <c r="H108"/>
    </row>
    <row r="109" spans="1:200" x14ac:dyDescent="0.3">
      <c r="A109"/>
      <c r="B109"/>
      <c r="C109"/>
      <c r="D109"/>
      <c r="E109"/>
      <c r="F109"/>
      <c r="G109"/>
      <c r="H109"/>
    </row>
    <row r="110" spans="1:200" x14ac:dyDescent="0.3">
      <c r="A110"/>
      <c r="B110"/>
      <c r="C110"/>
      <c r="D110"/>
      <c r="E110"/>
      <c r="F110"/>
      <c r="G110"/>
      <c r="H110"/>
    </row>
    <row r="111" spans="1:200" x14ac:dyDescent="0.3">
      <c r="A111"/>
      <c r="B111"/>
      <c r="C111"/>
      <c r="D111"/>
      <c r="E111"/>
      <c r="F111"/>
      <c r="G111"/>
      <c r="H111"/>
    </row>
    <row r="112" spans="1:200" x14ac:dyDescent="0.3">
      <c r="A112"/>
      <c r="B112"/>
      <c r="C112"/>
      <c r="D112"/>
      <c r="E112"/>
      <c r="F112"/>
      <c r="G112"/>
      <c r="H112"/>
    </row>
    <row r="113" spans="1:8" x14ac:dyDescent="0.3">
      <c r="A113"/>
      <c r="B113"/>
      <c r="C113"/>
      <c r="D113"/>
      <c r="E113"/>
      <c r="F113"/>
      <c r="G113"/>
      <c r="H113"/>
    </row>
    <row r="114" spans="1:8" x14ac:dyDescent="0.3">
      <c r="A114"/>
      <c r="B114"/>
      <c r="C114"/>
      <c r="D114"/>
      <c r="E114"/>
      <c r="F114"/>
      <c r="G114"/>
      <c r="H114"/>
    </row>
    <row r="115" spans="1:8" x14ac:dyDescent="0.3">
      <c r="A115"/>
      <c r="B115"/>
      <c r="C115"/>
      <c r="D115"/>
      <c r="E115"/>
      <c r="F115"/>
      <c r="G115"/>
      <c r="H115"/>
    </row>
    <row r="116" spans="1:8" x14ac:dyDescent="0.3">
      <c r="A116"/>
      <c r="B116"/>
      <c r="C116"/>
      <c r="D116"/>
      <c r="E116"/>
      <c r="F116"/>
      <c r="G116"/>
      <c r="H116"/>
    </row>
    <row r="117" spans="1:8" x14ac:dyDescent="0.3">
      <c r="A117"/>
      <c r="B117"/>
      <c r="C117"/>
      <c r="D117"/>
      <c r="E117"/>
      <c r="F117"/>
      <c r="G117"/>
      <c r="H117"/>
    </row>
    <row r="118" spans="1:8" x14ac:dyDescent="0.3">
      <c r="A118"/>
      <c r="B118"/>
      <c r="C118"/>
      <c r="D118"/>
      <c r="E118"/>
      <c r="F118"/>
      <c r="G118"/>
      <c r="H118"/>
    </row>
    <row r="119" spans="1:8" x14ac:dyDescent="0.3">
      <c r="A119"/>
      <c r="B119"/>
      <c r="C119"/>
      <c r="D119"/>
      <c r="E119"/>
      <c r="F119"/>
      <c r="G119"/>
      <c r="H119"/>
    </row>
    <row r="120" spans="1:8" x14ac:dyDescent="0.3">
      <c r="A120"/>
      <c r="B120"/>
      <c r="C120"/>
      <c r="D120"/>
      <c r="E120"/>
      <c r="F120"/>
      <c r="G120"/>
      <c r="H120"/>
    </row>
    <row r="121" spans="1:8" x14ac:dyDescent="0.3">
      <c r="A121"/>
      <c r="B121"/>
      <c r="C121"/>
      <c r="D121"/>
      <c r="E121"/>
      <c r="F121"/>
      <c r="G121"/>
      <c r="H121"/>
    </row>
    <row r="122" spans="1:8" x14ac:dyDescent="0.3">
      <c r="A122"/>
      <c r="B122"/>
      <c r="C122"/>
      <c r="D122"/>
      <c r="E122"/>
      <c r="F122"/>
      <c r="G122"/>
      <c r="H122"/>
    </row>
    <row r="123" spans="1:8" x14ac:dyDescent="0.3">
      <c r="A123"/>
      <c r="B123"/>
      <c r="C123"/>
      <c r="D123"/>
      <c r="E123"/>
      <c r="F123"/>
      <c r="G123"/>
      <c r="H123"/>
    </row>
    <row r="124" spans="1:8" x14ac:dyDescent="0.3">
      <c r="A124"/>
      <c r="B124"/>
      <c r="C124"/>
      <c r="D124"/>
      <c r="E124"/>
      <c r="F124"/>
      <c r="G124"/>
      <c r="H124"/>
    </row>
    <row r="125" spans="1:8" x14ac:dyDescent="0.3">
      <c r="A125"/>
      <c r="B125"/>
      <c r="C125"/>
      <c r="D125"/>
      <c r="E125"/>
      <c r="F125"/>
      <c r="G125"/>
      <c r="H125"/>
    </row>
    <row r="126" spans="1:8" x14ac:dyDescent="0.3">
      <c r="A126"/>
      <c r="B126"/>
      <c r="C126"/>
      <c r="D126"/>
      <c r="E126"/>
      <c r="F126"/>
      <c r="G126"/>
      <c r="H126"/>
    </row>
    <row r="127" spans="1:8" x14ac:dyDescent="0.3">
      <c r="A127"/>
      <c r="B127"/>
      <c r="C127"/>
      <c r="D127"/>
      <c r="E127"/>
      <c r="F127"/>
      <c r="G127"/>
      <c r="H127"/>
    </row>
    <row r="128" spans="1:8" x14ac:dyDescent="0.3">
      <c r="A128"/>
      <c r="B128"/>
      <c r="C128"/>
      <c r="D128"/>
      <c r="E128"/>
      <c r="F128"/>
      <c r="G128"/>
      <c r="H128"/>
    </row>
    <row r="129" spans="1:8" x14ac:dyDescent="0.3">
      <c r="A129"/>
      <c r="B129"/>
      <c r="C129"/>
      <c r="D129"/>
      <c r="E129"/>
      <c r="F129"/>
      <c r="G129"/>
      <c r="H129"/>
    </row>
    <row r="130" spans="1:8" x14ac:dyDescent="0.3">
      <c r="A130"/>
      <c r="B130"/>
      <c r="C130"/>
      <c r="D130"/>
      <c r="E130"/>
      <c r="F130"/>
      <c r="G130"/>
      <c r="H130"/>
    </row>
    <row r="131" spans="1:8" x14ac:dyDescent="0.3">
      <c r="A131"/>
      <c r="B131"/>
      <c r="C131"/>
      <c r="D131"/>
      <c r="E131"/>
      <c r="F131"/>
      <c r="G131"/>
      <c r="H131"/>
    </row>
    <row r="132" spans="1:8" x14ac:dyDescent="0.3">
      <c r="A132"/>
      <c r="B132"/>
      <c r="C132"/>
      <c r="D132"/>
      <c r="E132"/>
      <c r="F132"/>
      <c r="G132"/>
      <c r="H132"/>
    </row>
    <row r="133" spans="1:8" x14ac:dyDescent="0.3">
      <c r="A133"/>
      <c r="B133"/>
      <c r="C133"/>
      <c r="D133"/>
      <c r="E133"/>
      <c r="F133"/>
      <c r="G133"/>
      <c r="H133"/>
    </row>
    <row r="134" spans="1:8" x14ac:dyDescent="0.3">
      <c r="A134"/>
      <c r="B134"/>
      <c r="C134"/>
      <c r="D134"/>
      <c r="E134"/>
      <c r="F134"/>
      <c r="G134"/>
      <c r="H134"/>
    </row>
    <row r="135" spans="1:8" x14ac:dyDescent="0.3">
      <c r="A135"/>
      <c r="B135"/>
      <c r="C135"/>
      <c r="D135"/>
      <c r="E135"/>
      <c r="F135"/>
      <c r="G135"/>
      <c r="H135"/>
    </row>
    <row r="136" spans="1:8" x14ac:dyDescent="0.3">
      <c r="A136"/>
      <c r="B136"/>
      <c r="C136"/>
      <c r="D136"/>
      <c r="E136"/>
      <c r="F136"/>
      <c r="G136"/>
      <c r="H136"/>
    </row>
    <row r="137" spans="1:8" x14ac:dyDescent="0.3">
      <c r="A137"/>
      <c r="B137"/>
      <c r="C137"/>
      <c r="D137"/>
      <c r="E137"/>
      <c r="F137"/>
      <c r="G137"/>
      <c r="H137"/>
    </row>
    <row r="138" spans="1:8" x14ac:dyDescent="0.3">
      <c r="A138"/>
      <c r="B138"/>
      <c r="C138"/>
      <c r="D138"/>
      <c r="E138"/>
      <c r="F138"/>
      <c r="G138"/>
      <c r="H138"/>
    </row>
    <row r="139" spans="1:8" x14ac:dyDescent="0.3">
      <c r="A139"/>
      <c r="B139"/>
      <c r="C139"/>
      <c r="D139"/>
      <c r="E139"/>
      <c r="F139"/>
      <c r="G139"/>
      <c r="H139"/>
    </row>
    <row r="140" spans="1:8" x14ac:dyDescent="0.3">
      <c r="A140"/>
      <c r="B140"/>
      <c r="C140"/>
      <c r="D140"/>
      <c r="E140"/>
      <c r="F140"/>
      <c r="G140"/>
      <c r="H140"/>
    </row>
    <row r="141" spans="1:8" x14ac:dyDescent="0.3">
      <c r="A141"/>
      <c r="B141"/>
      <c r="C141"/>
      <c r="D141"/>
      <c r="E141"/>
      <c r="F141"/>
      <c r="G141"/>
      <c r="H141"/>
    </row>
    <row r="142" spans="1:8" x14ac:dyDescent="0.3">
      <c r="A142"/>
      <c r="B142"/>
      <c r="C142"/>
      <c r="D142"/>
      <c r="E142"/>
      <c r="F142"/>
      <c r="G142"/>
      <c r="H142"/>
    </row>
    <row r="143" spans="1:8" x14ac:dyDescent="0.3">
      <c r="A143"/>
      <c r="B143"/>
      <c r="C143"/>
      <c r="D143"/>
      <c r="E143"/>
      <c r="F143"/>
      <c r="G143"/>
      <c r="H143"/>
    </row>
    <row r="144" spans="1:8" x14ac:dyDescent="0.3">
      <c r="A144"/>
      <c r="B144"/>
      <c r="C144"/>
      <c r="D144"/>
      <c r="E144"/>
      <c r="F144"/>
      <c r="G144"/>
      <c r="H144"/>
    </row>
    <row r="145" spans="1:8" x14ac:dyDescent="0.3">
      <c r="A145"/>
      <c r="B145"/>
      <c r="C145"/>
      <c r="D145"/>
      <c r="E145"/>
      <c r="F145"/>
      <c r="G145"/>
      <c r="H145"/>
    </row>
    <row r="146" spans="1:8" x14ac:dyDescent="0.3">
      <c r="A146"/>
      <c r="B146"/>
      <c r="C146"/>
      <c r="D146"/>
      <c r="E146"/>
      <c r="F146"/>
      <c r="G146"/>
      <c r="H146"/>
    </row>
    <row r="147" spans="1:8" x14ac:dyDescent="0.3">
      <c r="A147"/>
      <c r="B147"/>
      <c r="C147"/>
      <c r="D147"/>
      <c r="E147"/>
      <c r="F147"/>
      <c r="G147"/>
      <c r="H147"/>
    </row>
    <row r="148" spans="1:8" x14ac:dyDescent="0.3">
      <c r="A148"/>
      <c r="B148"/>
      <c r="C148"/>
      <c r="D148"/>
      <c r="E148"/>
      <c r="F148"/>
      <c r="G148"/>
      <c r="H148"/>
    </row>
    <row r="149" spans="1:8" x14ac:dyDescent="0.3">
      <c r="A149"/>
      <c r="B149"/>
      <c r="C149"/>
      <c r="D149"/>
      <c r="E149"/>
      <c r="F149"/>
      <c r="G149"/>
      <c r="H149"/>
    </row>
    <row r="150" spans="1:8" x14ac:dyDescent="0.3">
      <c r="A150"/>
      <c r="B150"/>
      <c r="C150"/>
      <c r="D150"/>
      <c r="E150"/>
      <c r="F150"/>
      <c r="G150"/>
      <c r="H150"/>
    </row>
    <row r="151" spans="1:8" x14ac:dyDescent="0.3">
      <c r="A151"/>
      <c r="B151"/>
      <c r="C151"/>
      <c r="D151"/>
      <c r="E151"/>
      <c r="F151"/>
      <c r="G151"/>
      <c r="H151"/>
    </row>
    <row r="152" spans="1:8" x14ac:dyDescent="0.3">
      <c r="A152"/>
      <c r="B152"/>
      <c r="C152"/>
      <c r="D152"/>
      <c r="E152"/>
      <c r="F152"/>
      <c r="G152"/>
      <c r="H152"/>
    </row>
    <row r="153" spans="1:8" x14ac:dyDescent="0.3">
      <c r="A153"/>
      <c r="B153"/>
      <c r="C153"/>
      <c r="D153"/>
      <c r="E153"/>
      <c r="F153"/>
      <c r="G153"/>
      <c r="H153"/>
    </row>
    <row r="154" spans="1:8" x14ac:dyDescent="0.3">
      <c r="A154"/>
      <c r="B154"/>
      <c r="C154"/>
      <c r="D154"/>
      <c r="E154"/>
      <c r="F154"/>
      <c r="G154"/>
      <c r="H154"/>
    </row>
    <row r="155" spans="1:8" x14ac:dyDescent="0.3">
      <c r="A155"/>
      <c r="B155"/>
      <c r="C155"/>
      <c r="D155"/>
      <c r="E155"/>
      <c r="F155"/>
      <c r="G155"/>
      <c r="H155"/>
    </row>
    <row r="156" spans="1:8" x14ac:dyDescent="0.3">
      <c r="A156"/>
      <c r="B156"/>
      <c r="C156"/>
      <c r="D156"/>
      <c r="E156"/>
      <c r="F156"/>
      <c r="G156"/>
      <c r="H156"/>
    </row>
    <row r="157" spans="1:8" x14ac:dyDescent="0.3">
      <c r="A157"/>
      <c r="B157"/>
      <c r="C157"/>
      <c r="D157"/>
      <c r="E157"/>
      <c r="F157"/>
      <c r="G157"/>
      <c r="H157"/>
    </row>
    <row r="158" spans="1:8" x14ac:dyDescent="0.3">
      <c r="A158"/>
      <c r="B158"/>
      <c r="C158"/>
      <c r="D158"/>
      <c r="E158"/>
      <c r="F158"/>
      <c r="G158"/>
      <c r="H158"/>
    </row>
    <row r="159" spans="1:8" x14ac:dyDescent="0.3">
      <c r="A159"/>
      <c r="B159"/>
      <c r="C159"/>
      <c r="D159"/>
      <c r="E159"/>
      <c r="F159"/>
      <c r="G159"/>
      <c r="H159"/>
    </row>
    <row r="160" spans="1:8" x14ac:dyDescent="0.3">
      <c r="A160"/>
      <c r="B160"/>
      <c r="C160"/>
      <c r="D160"/>
      <c r="E160"/>
      <c r="F160"/>
      <c r="G160"/>
      <c r="H160"/>
    </row>
    <row r="161" spans="1:8" x14ac:dyDescent="0.3">
      <c r="A161"/>
      <c r="B161"/>
      <c r="C161"/>
      <c r="D161"/>
      <c r="E161"/>
      <c r="F161"/>
      <c r="G161"/>
      <c r="H161"/>
    </row>
    <row r="162" spans="1:8" x14ac:dyDescent="0.3">
      <c r="A162"/>
      <c r="B162"/>
      <c r="C162"/>
      <c r="D162"/>
      <c r="E162"/>
      <c r="F162"/>
      <c r="G162"/>
      <c r="H162"/>
    </row>
    <row r="163" spans="1:8" x14ac:dyDescent="0.3">
      <c r="A163"/>
      <c r="B163"/>
      <c r="C163"/>
      <c r="D163"/>
      <c r="E163"/>
      <c r="F163"/>
      <c r="G163"/>
      <c r="H163"/>
    </row>
    <row r="164" spans="1:8" x14ac:dyDescent="0.3">
      <c r="A164"/>
      <c r="B164"/>
      <c r="C164"/>
      <c r="D164"/>
      <c r="E164"/>
      <c r="F164"/>
      <c r="G164"/>
      <c r="H164"/>
    </row>
    <row r="165" spans="1:8" x14ac:dyDescent="0.3">
      <c r="A165"/>
      <c r="B165"/>
      <c r="C165"/>
      <c r="D165"/>
      <c r="E165"/>
      <c r="F165"/>
      <c r="G165"/>
      <c r="H165"/>
    </row>
    <row r="166" spans="1:8" x14ac:dyDescent="0.3">
      <c r="A166"/>
      <c r="B166"/>
      <c r="C166"/>
      <c r="D166"/>
      <c r="E166"/>
      <c r="F166"/>
      <c r="G166"/>
      <c r="H166"/>
    </row>
    <row r="167" spans="1:8" x14ac:dyDescent="0.3">
      <c r="A167"/>
      <c r="B167"/>
      <c r="C167"/>
      <c r="D167"/>
      <c r="E167"/>
      <c r="F167"/>
      <c r="G167"/>
      <c r="H167"/>
    </row>
    <row r="168" spans="1:8" x14ac:dyDescent="0.3">
      <c r="A168"/>
      <c r="B168"/>
      <c r="C168"/>
      <c r="D168"/>
      <c r="E168"/>
      <c r="F168"/>
      <c r="G168"/>
      <c r="H168"/>
    </row>
    <row r="169" spans="1:8" x14ac:dyDescent="0.3">
      <c r="A169"/>
      <c r="B169"/>
      <c r="C169"/>
      <c r="D169"/>
      <c r="E169"/>
      <c r="F169"/>
      <c r="G169"/>
      <c r="H169"/>
    </row>
    <row r="170" spans="1:8" x14ac:dyDescent="0.3">
      <c r="A170"/>
      <c r="B170"/>
      <c r="C170"/>
      <c r="D170"/>
      <c r="E170"/>
      <c r="F170"/>
      <c r="G170"/>
      <c r="H170"/>
    </row>
    <row r="171" spans="1:8" x14ac:dyDescent="0.3">
      <c r="A171"/>
      <c r="B171"/>
      <c r="C171"/>
      <c r="D171"/>
      <c r="E171"/>
      <c r="F171"/>
      <c r="G171"/>
      <c r="H171"/>
    </row>
    <row r="172" spans="1:8" x14ac:dyDescent="0.3">
      <c r="A172"/>
      <c r="B172"/>
      <c r="C172"/>
      <c r="D172"/>
      <c r="E172"/>
      <c r="F172"/>
      <c r="G172"/>
      <c r="H172"/>
    </row>
    <row r="173" spans="1:8" x14ac:dyDescent="0.3">
      <c r="A173"/>
      <c r="B173"/>
      <c r="C173"/>
      <c r="D173"/>
      <c r="E173"/>
      <c r="F173"/>
      <c r="G173"/>
      <c r="H173"/>
    </row>
    <row r="174" spans="1:8" x14ac:dyDescent="0.3">
      <c r="A174"/>
      <c r="B174"/>
      <c r="C174"/>
      <c r="D174"/>
      <c r="E174"/>
      <c r="F174"/>
      <c r="G174"/>
      <c r="H174"/>
    </row>
    <row r="175" spans="1:8" x14ac:dyDescent="0.3">
      <c r="A175"/>
      <c r="B175"/>
      <c r="C175"/>
      <c r="D175"/>
      <c r="E175"/>
      <c r="F175"/>
      <c r="G175"/>
      <c r="H175"/>
    </row>
    <row r="176" spans="1:8" x14ac:dyDescent="0.3">
      <c r="A176"/>
      <c r="B176"/>
      <c r="C176"/>
      <c r="D176"/>
      <c r="E176"/>
      <c r="F176"/>
      <c r="G176"/>
      <c r="H176"/>
    </row>
    <row r="177" spans="1:8" x14ac:dyDescent="0.3">
      <c r="A177"/>
      <c r="B177"/>
      <c r="C177"/>
      <c r="D177"/>
      <c r="E177"/>
      <c r="F177"/>
      <c r="G177"/>
      <c r="H177"/>
    </row>
    <row r="178" spans="1:8" x14ac:dyDescent="0.3">
      <c r="A178"/>
      <c r="B178"/>
      <c r="C178"/>
      <c r="D178"/>
      <c r="E178"/>
      <c r="F178"/>
      <c r="G178"/>
      <c r="H178"/>
    </row>
    <row r="179" spans="1:8" x14ac:dyDescent="0.3">
      <c r="A179"/>
      <c r="B179"/>
      <c r="C179"/>
      <c r="D179"/>
      <c r="E179"/>
      <c r="F179"/>
      <c r="G179"/>
      <c r="H179"/>
    </row>
    <row r="180" spans="1:8" x14ac:dyDescent="0.3">
      <c r="A180"/>
      <c r="B180"/>
      <c r="C180"/>
      <c r="D180"/>
      <c r="E180"/>
      <c r="F180"/>
      <c r="G180"/>
      <c r="H180"/>
    </row>
  </sheetData>
  <conditionalFormatting sqref="E181:E1048576 E39:E43 E1:E29">
    <cfRule type="top10" dxfId="6" priority="5" bottom="1" rank="3"/>
    <cfRule type="top10" dxfId="5" priority="6" rank="3"/>
  </conditionalFormatting>
  <conditionalFormatting sqref="F181:F1048576 F39:F43 F1:F29">
    <cfRule type="top10" dxfId="4" priority="3" bottom="1" rank="3"/>
    <cfRule type="top10" dxfId="3" priority="4" rank="3"/>
  </conditionalFormatting>
  <conditionalFormatting sqref="G181:G1048576 G39:G43 G1:G29">
    <cfRule type="top10" dxfId="2" priority="1" bottom="1" rank="3"/>
    <cfRule type="top10" dxfId="1" priority="2" rank="3"/>
  </conditionalFormatting>
  <pageMargins left="0.7" right="0.7" top="0.75" bottom="0.75" header="0.3" footer="0.3"/>
  <drawing r:id="rId4"/>
  <picture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1C51-3981-4417-AFDB-E1D28614F444}">
  <sheetPr>
    <tabColor theme="4"/>
  </sheetPr>
  <dimension ref="B2:AJ672"/>
  <sheetViews>
    <sheetView workbookViewId="0">
      <selection activeCell="F6" sqref="F6"/>
    </sheetView>
  </sheetViews>
  <sheetFormatPr defaultRowHeight="14.4" x14ac:dyDescent="0.3"/>
  <cols>
    <col min="1" max="1" width="8.88671875" style="2"/>
    <col min="2" max="2" width="14" style="2" bestFit="1" customWidth="1"/>
    <col min="3" max="3" width="13.6640625" style="2" bestFit="1" customWidth="1"/>
    <col min="4" max="4" width="6.6640625" style="2" bestFit="1" customWidth="1"/>
    <col min="5" max="5" width="7.109375" style="2" bestFit="1" customWidth="1"/>
    <col min="6" max="6" width="6.6640625" style="2" bestFit="1" customWidth="1"/>
    <col min="7" max="7" width="7.44140625" style="2" bestFit="1" customWidth="1"/>
    <col min="8" max="8" width="6.5546875" style="2" bestFit="1" customWidth="1"/>
    <col min="9" max="9" width="5.88671875" style="2" bestFit="1" customWidth="1"/>
    <col min="10" max="10" width="7" style="2" bestFit="1" customWidth="1"/>
    <col min="11" max="11" width="6.77734375" style="2" bestFit="1" customWidth="1"/>
    <col min="12" max="12" width="6.5546875" style="2" bestFit="1" customWidth="1"/>
    <col min="13" max="13" width="7.109375" style="2" bestFit="1" customWidth="1"/>
    <col min="14" max="14" width="6.77734375" style="2" bestFit="1" customWidth="1"/>
    <col min="15" max="15" width="6.44140625" style="2" bestFit="1" customWidth="1"/>
    <col min="16" max="16" width="6.6640625" style="2" bestFit="1" customWidth="1"/>
    <col min="17" max="17" width="7.109375" style="2" bestFit="1" customWidth="1"/>
    <col min="18" max="18" width="6.6640625" style="2" bestFit="1" customWidth="1"/>
    <col min="19" max="19" width="7.44140625" style="2" bestFit="1" customWidth="1"/>
    <col min="20" max="20" width="6.5546875" style="2" bestFit="1" customWidth="1"/>
    <col min="21" max="21" width="5.88671875" style="2" bestFit="1" customWidth="1"/>
    <col min="22" max="22" width="7" style="2" bestFit="1" customWidth="1"/>
    <col min="23" max="23" width="6.77734375" style="2" bestFit="1" customWidth="1"/>
    <col min="24" max="24" width="6.5546875" style="2" bestFit="1" customWidth="1"/>
    <col min="25" max="25" width="7.109375" style="2" bestFit="1" customWidth="1"/>
    <col min="26" max="26" width="6.77734375" style="2" bestFit="1" customWidth="1"/>
    <col min="27" max="27" width="6.44140625" style="2" bestFit="1" customWidth="1"/>
    <col min="28" max="28" width="6.6640625" style="2" bestFit="1" customWidth="1"/>
    <col min="29" max="29" width="7.109375" style="2" bestFit="1" customWidth="1"/>
    <col min="30" max="30" width="6.6640625" style="2" bestFit="1" customWidth="1"/>
    <col min="31" max="31" width="7.44140625" style="2" bestFit="1" customWidth="1"/>
    <col min="32" max="32" width="6.5546875" style="2" bestFit="1" customWidth="1"/>
    <col min="33" max="33" width="5.88671875" style="2" bestFit="1" customWidth="1"/>
    <col min="34" max="34" width="7" style="2" bestFit="1" customWidth="1"/>
    <col min="35" max="35" width="6.77734375" style="2" bestFit="1" customWidth="1"/>
    <col min="36" max="36" width="10.77734375" style="2" bestFit="1" customWidth="1"/>
    <col min="37" max="16384" width="8.88671875" style="2"/>
  </cols>
  <sheetData>
    <row r="2" spans="2:36" x14ac:dyDescent="0.3">
      <c r="B2" s="13" t="s">
        <v>1372</v>
      </c>
      <c r="C2" s="2" t="s">
        <v>1491</v>
      </c>
      <c r="D2"/>
      <c r="E2"/>
      <c r="F2"/>
      <c r="G2"/>
      <c r="H2"/>
      <c r="I2"/>
      <c r="J2"/>
      <c r="K2"/>
      <c r="L2"/>
      <c r="M2"/>
      <c r="N2"/>
      <c r="O2"/>
      <c r="P2"/>
      <c r="Q2"/>
      <c r="R2"/>
      <c r="S2"/>
      <c r="T2"/>
      <c r="U2"/>
      <c r="V2"/>
      <c r="W2"/>
      <c r="X2"/>
      <c r="Y2"/>
      <c r="Z2"/>
      <c r="AA2"/>
      <c r="AB2"/>
      <c r="AC2"/>
      <c r="AD2"/>
      <c r="AE2"/>
      <c r="AF2"/>
      <c r="AG2"/>
      <c r="AH2"/>
      <c r="AI2"/>
      <c r="AJ2"/>
    </row>
    <row r="3" spans="2:36" x14ac:dyDescent="0.3">
      <c r="B3" s="14" t="s">
        <v>655</v>
      </c>
      <c r="C3" s="46">
        <v>44927</v>
      </c>
      <c r="D3"/>
      <c r="E3"/>
      <c r="F3"/>
      <c r="G3"/>
      <c r="H3"/>
      <c r="I3"/>
      <c r="J3"/>
      <c r="K3"/>
      <c r="L3"/>
      <c r="M3"/>
      <c r="N3"/>
      <c r="O3"/>
      <c r="P3"/>
      <c r="Q3"/>
      <c r="R3"/>
      <c r="S3"/>
      <c r="T3"/>
      <c r="U3"/>
      <c r="V3"/>
      <c r="W3"/>
      <c r="X3"/>
      <c r="Y3"/>
      <c r="Z3"/>
      <c r="AA3"/>
      <c r="AB3"/>
      <c r="AC3"/>
      <c r="AD3"/>
      <c r="AE3"/>
      <c r="AF3"/>
      <c r="AG3"/>
      <c r="AH3"/>
      <c r="AI3"/>
      <c r="AJ3"/>
    </row>
    <row r="4" spans="2:36" x14ac:dyDescent="0.3">
      <c r="B4" s="14" t="s">
        <v>653</v>
      </c>
      <c r="C4" s="46">
        <v>44927</v>
      </c>
      <c r="D4"/>
      <c r="E4"/>
      <c r="F4"/>
      <c r="G4"/>
      <c r="H4"/>
      <c r="I4"/>
      <c r="J4"/>
      <c r="K4"/>
      <c r="L4"/>
      <c r="M4"/>
      <c r="N4"/>
      <c r="O4"/>
      <c r="P4"/>
      <c r="Q4"/>
      <c r="R4"/>
      <c r="S4"/>
      <c r="T4"/>
      <c r="U4"/>
      <c r="V4"/>
      <c r="W4"/>
      <c r="X4"/>
      <c r="Y4"/>
      <c r="Z4"/>
      <c r="AA4"/>
      <c r="AB4"/>
      <c r="AC4"/>
      <c r="AD4"/>
      <c r="AE4"/>
      <c r="AF4"/>
      <c r="AG4"/>
      <c r="AH4"/>
      <c r="AI4"/>
      <c r="AJ4"/>
    </row>
    <row r="5" spans="2:36" x14ac:dyDescent="0.3">
      <c r="B5" s="14" t="s">
        <v>659</v>
      </c>
      <c r="C5" s="46">
        <v>44927</v>
      </c>
      <c r="D5"/>
      <c r="E5"/>
      <c r="F5"/>
      <c r="G5"/>
      <c r="H5"/>
      <c r="I5"/>
      <c r="J5"/>
      <c r="K5"/>
      <c r="L5"/>
      <c r="M5"/>
      <c r="N5"/>
      <c r="O5"/>
      <c r="P5"/>
      <c r="Q5"/>
      <c r="R5"/>
      <c r="S5"/>
      <c r="T5"/>
      <c r="U5"/>
      <c r="V5"/>
      <c r="W5"/>
      <c r="X5"/>
      <c r="Y5"/>
      <c r="Z5"/>
      <c r="AA5"/>
      <c r="AB5"/>
      <c r="AC5"/>
      <c r="AD5"/>
      <c r="AE5"/>
      <c r="AF5"/>
      <c r="AG5"/>
      <c r="AH5"/>
      <c r="AI5"/>
      <c r="AJ5"/>
    </row>
    <row r="6" spans="2:36" x14ac:dyDescent="0.3">
      <c r="B6" s="14" t="s">
        <v>657</v>
      </c>
      <c r="C6" s="46">
        <v>44927</v>
      </c>
      <c r="D6"/>
      <c r="E6"/>
      <c r="F6"/>
      <c r="G6"/>
      <c r="H6"/>
      <c r="I6"/>
      <c r="J6"/>
      <c r="K6"/>
      <c r="L6"/>
      <c r="M6"/>
      <c r="N6"/>
      <c r="O6"/>
      <c r="P6"/>
      <c r="Q6"/>
      <c r="R6"/>
      <c r="S6"/>
      <c r="T6"/>
      <c r="U6"/>
      <c r="V6"/>
      <c r="W6"/>
      <c r="X6"/>
      <c r="Y6"/>
      <c r="Z6"/>
      <c r="AA6"/>
      <c r="AB6"/>
      <c r="AC6"/>
      <c r="AD6"/>
      <c r="AE6"/>
      <c r="AF6"/>
      <c r="AG6"/>
      <c r="AH6"/>
      <c r="AI6"/>
      <c r="AJ6"/>
    </row>
    <row r="7" spans="2:36" x14ac:dyDescent="0.3">
      <c r="B7" s="14" t="s">
        <v>656</v>
      </c>
      <c r="C7" s="46">
        <v>44927</v>
      </c>
      <c r="D7"/>
      <c r="E7"/>
      <c r="F7"/>
      <c r="G7"/>
      <c r="H7"/>
      <c r="I7"/>
      <c r="J7"/>
      <c r="K7"/>
      <c r="L7"/>
      <c r="M7"/>
      <c r="N7"/>
      <c r="O7"/>
      <c r="P7"/>
      <c r="Q7"/>
      <c r="R7"/>
      <c r="S7"/>
      <c r="T7"/>
      <c r="U7"/>
      <c r="V7"/>
      <c r="W7"/>
      <c r="X7"/>
      <c r="Y7"/>
      <c r="Z7"/>
      <c r="AA7"/>
      <c r="AB7"/>
      <c r="AC7"/>
      <c r="AD7"/>
      <c r="AE7"/>
      <c r="AF7"/>
      <c r="AG7"/>
      <c r="AH7"/>
      <c r="AI7"/>
      <c r="AJ7"/>
    </row>
    <row r="8" spans="2:36" x14ac:dyDescent="0.3">
      <c r="B8" s="14" t="s">
        <v>654</v>
      </c>
      <c r="C8" s="46">
        <v>44958</v>
      </c>
      <c r="D8"/>
      <c r="E8"/>
      <c r="F8"/>
      <c r="G8"/>
      <c r="H8"/>
      <c r="I8"/>
      <c r="J8"/>
      <c r="K8"/>
      <c r="L8"/>
      <c r="M8"/>
      <c r="N8"/>
      <c r="O8"/>
      <c r="P8"/>
      <c r="Q8"/>
      <c r="R8"/>
      <c r="S8"/>
      <c r="T8"/>
      <c r="U8"/>
      <c r="V8"/>
      <c r="W8"/>
      <c r="X8"/>
      <c r="Y8"/>
      <c r="Z8"/>
      <c r="AA8"/>
      <c r="AB8"/>
      <c r="AC8"/>
      <c r="AD8"/>
      <c r="AE8"/>
      <c r="AF8"/>
      <c r="AG8"/>
      <c r="AH8"/>
      <c r="AI8"/>
      <c r="AJ8"/>
    </row>
    <row r="9" spans="2:36" x14ac:dyDescent="0.3">
      <c r="B9" s="14" t="s">
        <v>652</v>
      </c>
      <c r="C9" s="46">
        <v>44986</v>
      </c>
      <c r="D9"/>
      <c r="E9"/>
      <c r="F9"/>
      <c r="G9"/>
      <c r="H9"/>
      <c r="I9"/>
      <c r="J9"/>
      <c r="K9"/>
      <c r="L9"/>
      <c r="M9"/>
      <c r="N9"/>
      <c r="O9"/>
      <c r="P9"/>
      <c r="Q9"/>
      <c r="R9"/>
      <c r="S9"/>
      <c r="T9"/>
      <c r="U9"/>
      <c r="V9"/>
      <c r="W9"/>
      <c r="X9"/>
      <c r="Y9"/>
      <c r="Z9"/>
      <c r="AA9"/>
      <c r="AB9"/>
      <c r="AC9"/>
      <c r="AD9"/>
      <c r="AE9"/>
      <c r="AF9"/>
      <c r="AG9"/>
      <c r="AH9"/>
      <c r="AI9"/>
      <c r="AJ9"/>
    </row>
    <row r="10" spans="2:36" x14ac:dyDescent="0.3">
      <c r="B10" s="14" t="s">
        <v>650</v>
      </c>
      <c r="C10" s="46">
        <v>44927</v>
      </c>
      <c r="D10"/>
      <c r="E10"/>
      <c r="F10"/>
      <c r="G10"/>
      <c r="H10"/>
      <c r="I10"/>
      <c r="J10"/>
      <c r="K10"/>
      <c r="L10"/>
      <c r="M10"/>
      <c r="N10"/>
      <c r="O10"/>
      <c r="P10"/>
      <c r="Q10"/>
      <c r="R10"/>
      <c r="S10"/>
      <c r="T10"/>
      <c r="U10"/>
      <c r="V10"/>
      <c r="W10"/>
      <c r="X10"/>
      <c r="Y10"/>
      <c r="Z10"/>
      <c r="AA10"/>
      <c r="AB10"/>
      <c r="AC10"/>
      <c r="AD10"/>
      <c r="AE10"/>
      <c r="AF10"/>
      <c r="AG10"/>
      <c r="AH10"/>
      <c r="AI10"/>
      <c r="AJ10"/>
    </row>
    <row r="11" spans="2:36" x14ac:dyDescent="0.3">
      <c r="B11" s="14" t="s">
        <v>651</v>
      </c>
      <c r="C11" s="46">
        <v>44927</v>
      </c>
      <c r="D11"/>
      <c r="E11"/>
      <c r="F11"/>
      <c r="G11"/>
      <c r="H11"/>
      <c r="I11"/>
      <c r="J11"/>
      <c r="K11"/>
      <c r="L11"/>
      <c r="M11"/>
      <c r="N11"/>
      <c r="O11"/>
      <c r="P11"/>
      <c r="Q11"/>
      <c r="R11"/>
      <c r="S11"/>
      <c r="T11"/>
      <c r="U11"/>
      <c r="V11"/>
      <c r="W11"/>
      <c r="X11"/>
      <c r="Y11"/>
      <c r="Z11"/>
      <c r="AA11"/>
      <c r="AB11"/>
      <c r="AC11"/>
      <c r="AD11"/>
      <c r="AE11"/>
      <c r="AF11"/>
      <c r="AG11"/>
      <c r="AH11"/>
      <c r="AI11"/>
      <c r="AJ11"/>
    </row>
    <row r="12" spans="2:36" x14ac:dyDescent="0.3">
      <c r="B12" s="14" t="s">
        <v>661</v>
      </c>
      <c r="C12" s="46">
        <v>44927</v>
      </c>
      <c r="D12"/>
      <c r="E12"/>
      <c r="F12"/>
      <c r="G12"/>
      <c r="H12"/>
      <c r="I12"/>
      <c r="J12"/>
      <c r="K12"/>
      <c r="L12"/>
      <c r="M12"/>
      <c r="N12"/>
      <c r="O12"/>
      <c r="P12"/>
      <c r="Q12"/>
      <c r="R12"/>
      <c r="S12"/>
      <c r="T12"/>
      <c r="U12"/>
      <c r="V12"/>
      <c r="W12"/>
      <c r="X12"/>
      <c r="Y12"/>
      <c r="Z12"/>
      <c r="AA12"/>
      <c r="AB12"/>
      <c r="AC12"/>
      <c r="AD12"/>
      <c r="AE12"/>
      <c r="AF12"/>
      <c r="AG12"/>
      <c r="AH12"/>
      <c r="AI12"/>
      <c r="AJ12"/>
    </row>
    <row r="13" spans="2:36" x14ac:dyDescent="0.3">
      <c r="B13" s="14" t="s">
        <v>658</v>
      </c>
      <c r="C13" s="46">
        <v>44927</v>
      </c>
      <c r="D13"/>
      <c r="E13"/>
      <c r="F13"/>
      <c r="G13"/>
      <c r="H13"/>
      <c r="I13"/>
      <c r="J13"/>
      <c r="K13"/>
      <c r="L13"/>
      <c r="M13"/>
      <c r="N13"/>
      <c r="O13"/>
      <c r="P13"/>
      <c r="Q13"/>
      <c r="R13"/>
      <c r="S13"/>
      <c r="T13"/>
      <c r="U13"/>
      <c r="V13"/>
      <c r="W13"/>
      <c r="X13"/>
      <c r="Y13"/>
      <c r="Z13"/>
      <c r="AA13"/>
      <c r="AB13"/>
      <c r="AC13"/>
      <c r="AD13"/>
      <c r="AE13"/>
      <c r="AF13"/>
      <c r="AG13"/>
      <c r="AH13"/>
      <c r="AI13"/>
      <c r="AJ13"/>
    </row>
    <row r="14" spans="2:36" x14ac:dyDescent="0.3">
      <c r="B14" s="14" t="s">
        <v>660</v>
      </c>
      <c r="C14" s="46">
        <v>44927</v>
      </c>
      <c r="D14"/>
      <c r="E14"/>
      <c r="F14"/>
      <c r="G14"/>
      <c r="H14"/>
      <c r="I14"/>
      <c r="J14"/>
      <c r="K14"/>
      <c r="L14"/>
      <c r="M14"/>
      <c r="N14"/>
      <c r="O14"/>
      <c r="P14"/>
      <c r="Q14"/>
      <c r="R14"/>
      <c r="S14"/>
      <c r="T14"/>
      <c r="U14"/>
      <c r="V14"/>
      <c r="W14"/>
      <c r="X14"/>
      <c r="Y14"/>
      <c r="Z14"/>
      <c r="AA14"/>
      <c r="AB14"/>
      <c r="AC14"/>
      <c r="AD14"/>
      <c r="AE14"/>
      <c r="AF14"/>
      <c r="AG14"/>
      <c r="AH14"/>
      <c r="AI14"/>
      <c r="AJ14"/>
    </row>
    <row r="15" spans="2:36" x14ac:dyDescent="0.3">
      <c r="B15" s="14" t="s">
        <v>1373</v>
      </c>
      <c r="C15" s="46">
        <v>44927</v>
      </c>
      <c r="D15"/>
      <c r="E15"/>
      <c r="F15"/>
      <c r="G15"/>
      <c r="H15"/>
      <c r="I15"/>
      <c r="J15"/>
      <c r="K15"/>
      <c r="L15"/>
      <c r="M15"/>
      <c r="N15"/>
      <c r="O15"/>
      <c r="P15"/>
      <c r="Q15"/>
      <c r="R15"/>
      <c r="S15"/>
      <c r="T15"/>
      <c r="U15"/>
      <c r="V15"/>
      <c r="W15"/>
      <c r="X15"/>
      <c r="Y15"/>
      <c r="Z15"/>
      <c r="AA15"/>
      <c r="AB15"/>
      <c r="AC15"/>
      <c r="AD15"/>
      <c r="AE15"/>
      <c r="AF15"/>
      <c r="AG15"/>
      <c r="AH15"/>
      <c r="AI15"/>
      <c r="AJ15"/>
    </row>
    <row r="16" spans="2:36" x14ac:dyDescent="0.3">
      <c r="B16"/>
      <c r="C16"/>
      <c r="D16"/>
      <c r="E16"/>
      <c r="F16"/>
      <c r="G16"/>
      <c r="H16"/>
      <c r="I16"/>
      <c r="J16"/>
      <c r="K16"/>
      <c r="L16"/>
      <c r="M16"/>
      <c r="N16"/>
      <c r="O16"/>
      <c r="P16"/>
      <c r="Q16"/>
      <c r="R16"/>
      <c r="S16"/>
      <c r="T16"/>
      <c r="U16"/>
      <c r="V16"/>
      <c r="W16"/>
      <c r="X16"/>
      <c r="Y16"/>
      <c r="Z16"/>
      <c r="AA16"/>
      <c r="AB16"/>
      <c r="AC16"/>
      <c r="AD16"/>
      <c r="AE16"/>
      <c r="AF16"/>
      <c r="AG16"/>
      <c r="AH16"/>
      <c r="AI16"/>
      <c r="AJ16"/>
    </row>
    <row r="17" spans="2:18" x14ac:dyDescent="0.3">
      <c r="B17"/>
      <c r="C17"/>
      <c r="D17"/>
      <c r="E17"/>
      <c r="F17"/>
      <c r="G17"/>
      <c r="H17"/>
      <c r="I17"/>
      <c r="J17"/>
      <c r="K17"/>
      <c r="L17"/>
      <c r="M17"/>
      <c r="N17"/>
      <c r="O17"/>
      <c r="P17"/>
      <c r="Q17"/>
      <c r="R17"/>
    </row>
    <row r="18" spans="2:18" x14ac:dyDescent="0.3">
      <c r="B18"/>
      <c r="C18"/>
      <c r="D18"/>
      <c r="E18"/>
      <c r="F18"/>
    </row>
    <row r="19" spans="2:18" x14ac:dyDescent="0.3">
      <c r="B19"/>
      <c r="C19"/>
      <c r="D19"/>
      <c r="E19"/>
      <c r="F19"/>
    </row>
    <row r="20" spans="2:18" x14ac:dyDescent="0.3">
      <c r="B20"/>
      <c r="C20"/>
    </row>
    <row r="21" spans="2:18" x14ac:dyDescent="0.3">
      <c r="B21"/>
      <c r="C21"/>
    </row>
    <row r="22" spans="2:18" x14ac:dyDescent="0.3">
      <c r="B22"/>
      <c r="C22"/>
    </row>
    <row r="23" spans="2:18" x14ac:dyDescent="0.3">
      <c r="B23"/>
      <c r="C23"/>
    </row>
    <row r="24" spans="2:18" x14ac:dyDescent="0.3">
      <c r="B24"/>
      <c r="C24"/>
    </row>
    <row r="25" spans="2:18" x14ac:dyDescent="0.3">
      <c r="B25"/>
      <c r="C25"/>
    </row>
    <row r="26" spans="2:18" x14ac:dyDescent="0.3">
      <c r="B26"/>
      <c r="C26"/>
    </row>
    <row r="27" spans="2:18" x14ac:dyDescent="0.3">
      <c r="B27"/>
      <c r="C27"/>
    </row>
    <row r="28" spans="2:18" x14ac:dyDescent="0.3">
      <c r="B28"/>
      <c r="C28"/>
    </row>
    <row r="29" spans="2:18" x14ac:dyDescent="0.3">
      <c r="B29"/>
      <c r="C29"/>
    </row>
    <row r="30" spans="2:18" x14ac:dyDescent="0.3">
      <c r="B30"/>
      <c r="C30"/>
    </row>
    <row r="31" spans="2:18" x14ac:dyDescent="0.3">
      <c r="B31"/>
      <c r="C31"/>
    </row>
    <row r="32" spans="2:18"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row r="44" spans="2:3" x14ac:dyDescent="0.3">
      <c r="B44"/>
      <c r="C44"/>
    </row>
    <row r="45" spans="2:3" x14ac:dyDescent="0.3">
      <c r="B45"/>
      <c r="C45"/>
    </row>
    <row r="46" spans="2:3" x14ac:dyDescent="0.3">
      <c r="B46"/>
      <c r="C46"/>
    </row>
    <row r="47" spans="2:3" x14ac:dyDescent="0.3">
      <c r="B47"/>
      <c r="C47"/>
    </row>
    <row r="48" spans="2:3"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row r="58" spans="2:3" x14ac:dyDescent="0.3">
      <c r="B58"/>
      <c r="C58"/>
    </row>
    <row r="59" spans="2:3" x14ac:dyDescent="0.3">
      <c r="B59"/>
      <c r="C59"/>
    </row>
    <row r="60" spans="2:3" x14ac:dyDescent="0.3">
      <c r="B60"/>
      <c r="C60"/>
    </row>
    <row r="61" spans="2:3" x14ac:dyDescent="0.3">
      <c r="B61"/>
      <c r="C61"/>
    </row>
    <row r="62" spans="2:3" x14ac:dyDescent="0.3">
      <c r="B62"/>
      <c r="C62"/>
    </row>
    <row r="63" spans="2:3" x14ac:dyDescent="0.3">
      <c r="B63"/>
      <c r="C63"/>
    </row>
    <row r="64" spans="2:3" x14ac:dyDescent="0.3">
      <c r="B64"/>
      <c r="C64"/>
    </row>
    <row r="65" spans="2:3" x14ac:dyDescent="0.3">
      <c r="B65"/>
      <c r="C65"/>
    </row>
    <row r="66" spans="2:3" x14ac:dyDescent="0.3">
      <c r="B66"/>
      <c r="C66"/>
    </row>
    <row r="67" spans="2:3" x14ac:dyDescent="0.3">
      <c r="B67"/>
      <c r="C67"/>
    </row>
    <row r="68" spans="2:3" x14ac:dyDescent="0.3">
      <c r="B68"/>
      <c r="C68"/>
    </row>
    <row r="69" spans="2:3" x14ac:dyDescent="0.3">
      <c r="B69"/>
      <c r="C69"/>
    </row>
    <row r="70" spans="2:3" x14ac:dyDescent="0.3">
      <c r="B70"/>
      <c r="C70"/>
    </row>
    <row r="71" spans="2:3" x14ac:dyDescent="0.3">
      <c r="B71"/>
      <c r="C71"/>
    </row>
    <row r="72" spans="2:3" x14ac:dyDescent="0.3">
      <c r="B72"/>
      <c r="C72"/>
    </row>
    <row r="73" spans="2:3" x14ac:dyDescent="0.3">
      <c r="B73"/>
      <c r="C73"/>
    </row>
    <row r="74" spans="2:3" x14ac:dyDescent="0.3">
      <c r="B74"/>
      <c r="C74"/>
    </row>
    <row r="75" spans="2:3" x14ac:dyDescent="0.3">
      <c r="B75"/>
      <c r="C75"/>
    </row>
    <row r="76" spans="2:3" x14ac:dyDescent="0.3">
      <c r="B76"/>
      <c r="C76"/>
    </row>
    <row r="77" spans="2:3" x14ac:dyDescent="0.3">
      <c r="B77"/>
      <c r="C77"/>
    </row>
    <row r="78" spans="2:3" x14ac:dyDescent="0.3">
      <c r="B78"/>
      <c r="C78"/>
    </row>
    <row r="79" spans="2:3" x14ac:dyDescent="0.3">
      <c r="B79"/>
      <c r="C79"/>
    </row>
    <row r="80" spans="2: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row r="120" spans="2:3" x14ac:dyDescent="0.3">
      <c r="B120"/>
      <c r="C120"/>
    </row>
    <row r="121" spans="2:3" x14ac:dyDescent="0.3">
      <c r="B121"/>
      <c r="C121"/>
    </row>
    <row r="122" spans="2:3" x14ac:dyDescent="0.3">
      <c r="B122"/>
      <c r="C122"/>
    </row>
    <row r="123" spans="2:3" x14ac:dyDescent="0.3">
      <c r="B123"/>
      <c r="C123"/>
    </row>
    <row r="124" spans="2:3" x14ac:dyDescent="0.3">
      <c r="B124"/>
      <c r="C124"/>
    </row>
    <row r="125" spans="2:3" x14ac:dyDescent="0.3">
      <c r="B125"/>
      <c r="C125"/>
    </row>
    <row r="126" spans="2:3" x14ac:dyDescent="0.3">
      <c r="B126"/>
      <c r="C126"/>
    </row>
    <row r="127" spans="2:3" x14ac:dyDescent="0.3">
      <c r="B127"/>
      <c r="C127"/>
    </row>
    <row r="128" spans="2:3" x14ac:dyDescent="0.3">
      <c r="B128"/>
      <c r="C128"/>
    </row>
    <row r="129" spans="2:3" x14ac:dyDescent="0.3">
      <c r="B129"/>
      <c r="C129"/>
    </row>
    <row r="130" spans="2:3" x14ac:dyDescent="0.3">
      <c r="B130"/>
      <c r="C130"/>
    </row>
    <row r="131" spans="2:3" x14ac:dyDescent="0.3">
      <c r="B131"/>
      <c r="C131"/>
    </row>
    <row r="132" spans="2:3" x14ac:dyDescent="0.3">
      <c r="B132"/>
      <c r="C132"/>
    </row>
    <row r="133" spans="2:3" x14ac:dyDescent="0.3">
      <c r="B133"/>
      <c r="C133"/>
    </row>
    <row r="134" spans="2:3" x14ac:dyDescent="0.3">
      <c r="B134"/>
      <c r="C134"/>
    </row>
    <row r="135" spans="2:3" x14ac:dyDescent="0.3">
      <c r="B135"/>
      <c r="C135"/>
    </row>
    <row r="136" spans="2:3" x14ac:dyDescent="0.3">
      <c r="B136"/>
      <c r="C136"/>
    </row>
    <row r="137" spans="2:3" x14ac:dyDescent="0.3">
      <c r="B137"/>
      <c r="C137"/>
    </row>
    <row r="138" spans="2:3" x14ac:dyDescent="0.3">
      <c r="B138"/>
      <c r="C138"/>
    </row>
    <row r="139" spans="2:3" x14ac:dyDescent="0.3">
      <c r="B139"/>
      <c r="C139"/>
    </row>
    <row r="140" spans="2:3" x14ac:dyDescent="0.3">
      <c r="B140"/>
      <c r="C140"/>
    </row>
    <row r="141" spans="2:3" x14ac:dyDescent="0.3">
      <c r="B141"/>
      <c r="C141"/>
    </row>
    <row r="142" spans="2:3" x14ac:dyDescent="0.3">
      <c r="B142"/>
      <c r="C142"/>
    </row>
    <row r="143" spans="2:3" x14ac:dyDescent="0.3">
      <c r="B143"/>
      <c r="C143"/>
    </row>
    <row r="144" spans="2:3" x14ac:dyDescent="0.3">
      <c r="B144"/>
      <c r="C144"/>
    </row>
    <row r="145" spans="2:3" x14ac:dyDescent="0.3">
      <c r="B145"/>
      <c r="C145"/>
    </row>
    <row r="146" spans="2:3" x14ac:dyDescent="0.3">
      <c r="B146"/>
      <c r="C146"/>
    </row>
    <row r="147" spans="2:3" x14ac:dyDescent="0.3">
      <c r="B147"/>
      <c r="C147"/>
    </row>
    <row r="148" spans="2:3" x14ac:dyDescent="0.3">
      <c r="B148"/>
      <c r="C148"/>
    </row>
    <row r="149" spans="2:3" x14ac:dyDescent="0.3">
      <c r="B149"/>
      <c r="C149"/>
    </row>
    <row r="150" spans="2:3" x14ac:dyDescent="0.3">
      <c r="B150"/>
      <c r="C150"/>
    </row>
    <row r="151" spans="2:3" x14ac:dyDescent="0.3">
      <c r="B151"/>
      <c r="C151"/>
    </row>
    <row r="152" spans="2:3" x14ac:dyDescent="0.3">
      <c r="B152"/>
      <c r="C152"/>
    </row>
    <row r="153" spans="2:3" x14ac:dyDescent="0.3">
      <c r="B153"/>
      <c r="C153"/>
    </row>
    <row r="154" spans="2:3" x14ac:dyDescent="0.3">
      <c r="B154"/>
      <c r="C154"/>
    </row>
    <row r="155" spans="2:3" x14ac:dyDescent="0.3">
      <c r="B155"/>
      <c r="C155"/>
    </row>
    <row r="156" spans="2:3" x14ac:dyDescent="0.3">
      <c r="B156"/>
      <c r="C156"/>
    </row>
    <row r="157" spans="2:3" x14ac:dyDescent="0.3">
      <c r="B157"/>
      <c r="C157"/>
    </row>
    <row r="158" spans="2:3" x14ac:dyDescent="0.3">
      <c r="B158"/>
      <c r="C158"/>
    </row>
    <row r="159" spans="2:3" x14ac:dyDescent="0.3">
      <c r="B159"/>
      <c r="C159"/>
    </row>
    <row r="160" spans="2:3" x14ac:dyDescent="0.3">
      <c r="B160"/>
      <c r="C160"/>
    </row>
    <row r="161" spans="2:3" x14ac:dyDescent="0.3">
      <c r="B161"/>
      <c r="C161"/>
    </row>
    <row r="162" spans="2:3" x14ac:dyDescent="0.3">
      <c r="B162"/>
      <c r="C162"/>
    </row>
    <row r="163" spans="2:3" x14ac:dyDescent="0.3">
      <c r="B163"/>
      <c r="C163"/>
    </row>
    <row r="164" spans="2:3" x14ac:dyDescent="0.3">
      <c r="B164"/>
      <c r="C164"/>
    </row>
    <row r="165" spans="2:3" x14ac:dyDescent="0.3">
      <c r="B165"/>
      <c r="C165"/>
    </row>
    <row r="166" spans="2:3" x14ac:dyDescent="0.3">
      <c r="B166"/>
      <c r="C166"/>
    </row>
    <row r="167" spans="2:3" x14ac:dyDescent="0.3">
      <c r="B167"/>
      <c r="C167"/>
    </row>
    <row r="168" spans="2:3" x14ac:dyDescent="0.3">
      <c r="B168"/>
      <c r="C168"/>
    </row>
    <row r="169" spans="2:3" x14ac:dyDescent="0.3">
      <c r="B169"/>
      <c r="C169"/>
    </row>
    <row r="170" spans="2:3" x14ac:dyDescent="0.3">
      <c r="B170"/>
      <c r="C170"/>
    </row>
    <row r="171" spans="2:3" x14ac:dyDescent="0.3">
      <c r="B171"/>
      <c r="C171"/>
    </row>
    <row r="172" spans="2:3" x14ac:dyDescent="0.3">
      <c r="B172"/>
      <c r="C172"/>
    </row>
    <row r="173" spans="2:3" x14ac:dyDescent="0.3">
      <c r="B173"/>
      <c r="C173"/>
    </row>
    <row r="174" spans="2:3" x14ac:dyDescent="0.3">
      <c r="B174"/>
      <c r="C174"/>
    </row>
    <row r="175" spans="2:3" x14ac:dyDescent="0.3">
      <c r="B175"/>
      <c r="C175"/>
    </row>
    <row r="176" spans="2:3" x14ac:dyDescent="0.3">
      <c r="B176"/>
      <c r="C176"/>
    </row>
    <row r="177" spans="2:3" x14ac:dyDescent="0.3">
      <c r="B177"/>
      <c r="C177"/>
    </row>
    <row r="178" spans="2:3" x14ac:dyDescent="0.3">
      <c r="B178"/>
      <c r="C178"/>
    </row>
    <row r="179" spans="2:3" x14ac:dyDescent="0.3">
      <c r="B179"/>
      <c r="C179"/>
    </row>
    <row r="180" spans="2:3" x14ac:dyDescent="0.3">
      <c r="B180"/>
      <c r="C180"/>
    </row>
    <row r="181" spans="2:3" x14ac:dyDescent="0.3">
      <c r="B181"/>
      <c r="C181"/>
    </row>
    <row r="182" spans="2:3" x14ac:dyDescent="0.3">
      <c r="B182"/>
      <c r="C182"/>
    </row>
    <row r="183" spans="2:3" x14ac:dyDescent="0.3">
      <c r="B183"/>
      <c r="C183"/>
    </row>
    <row r="184" spans="2:3" x14ac:dyDescent="0.3">
      <c r="B184"/>
      <c r="C184"/>
    </row>
    <row r="185" spans="2:3" x14ac:dyDescent="0.3">
      <c r="B185"/>
      <c r="C185"/>
    </row>
    <row r="186" spans="2:3" x14ac:dyDescent="0.3">
      <c r="B186"/>
      <c r="C186"/>
    </row>
    <row r="187" spans="2:3" x14ac:dyDescent="0.3">
      <c r="B187"/>
      <c r="C187"/>
    </row>
    <row r="188" spans="2:3" x14ac:dyDescent="0.3">
      <c r="B188"/>
      <c r="C188"/>
    </row>
    <row r="189" spans="2:3" x14ac:dyDescent="0.3">
      <c r="B189"/>
      <c r="C189"/>
    </row>
    <row r="190" spans="2:3" x14ac:dyDescent="0.3">
      <c r="B190"/>
      <c r="C190"/>
    </row>
    <row r="191" spans="2:3" x14ac:dyDescent="0.3">
      <c r="B191"/>
      <c r="C191"/>
    </row>
    <row r="192" spans="2:3" x14ac:dyDescent="0.3">
      <c r="B192"/>
      <c r="C192"/>
    </row>
    <row r="193" spans="2:3" x14ac:dyDescent="0.3">
      <c r="B193"/>
      <c r="C193"/>
    </row>
    <row r="194" spans="2:3" x14ac:dyDescent="0.3">
      <c r="B194"/>
      <c r="C194"/>
    </row>
    <row r="195" spans="2:3" x14ac:dyDescent="0.3">
      <c r="B195"/>
      <c r="C195"/>
    </row>
    <row r="196" spans="2:3" x14ac:dyDescent="0.3">
      <c r="B196"/>
      <c r="C196"/>
    </row>
    <row r="197" spans="2:3" x14ac:dyDescent="0.3">
      <c r="B197"/>
      <c r="C197"/>
    </row>
    <row r="198" spans="2:3" x14ac:dyDescent="0.3">
      <c r="B198"/>
      <c r="C198"/>
    </row>
    <row r="199" spans="2:3" x14ac:dyDescent="0.3">
      <c r="B199"/>
      <c r="C199"/>
    </row>
    <row r="200" spans="2:3" x14ac:dyDescent="0.3">
      <c r="B200"/>
      <c r="C200"/>
    </row>
    <row r="201" spans="2:3" x14ac:dyDescent="0.3">
      <c r="B201"/>
      <c r="C201"/>
    </row>
    <row r="202" spans="2:3" x14ac:dyDescent="0.3">
      <c r="B202"/>
      <c r="C202"/>
    </row>
    <row r="203" spans="2:3" x14ac:dyDescent="0.3">
      <c r="B203"/>
      <c r="C203"/>
    </row>
    <row r="204" spans="2:3" x14ac:dyDescent="0.3">
      <c r="B204"/>
      <c r="C204"/>
    </row>
    <row r="205" spans="2:3" x14ac:dyDescent="0.3">
      <c r="B205"/>
      <c r="C205"/>
    </row>
    <row r="206" spans="2:3" x14ac:dyDescent="0.3">
      <c r="B206"/>
      <c r="C206"/>
    </row>
    <row r="207" spans="2:3" x14ac:dyDescent="0.3">
      <c r="B207"/>
      <c r="C207"/>
    </row>
    <row r="208" spans="2:3" x14ac:dyDescent="0.3">
      <c r="B208"/>
      <c r="C208"/>
    </row>
    <row r="209" spans="2:3" x14ac:dyDescent="0.3">
      <c r="B209"/>
      <c r="C209"/>
    </row>
    <row r="210" spans="2:3" x14ac:dyDescent="0.3">
      <c r="B210"/>
      <c r="C210"/>
    </row>
    <row r="211" spans="2:3" x14ac:dyDescent="0.3">
      <c r="B211"/>
      <c r="C211"/>
    </row>
    <row r="212" spans="2:3" x14ac:dyDescent="0.3">
      <c r="B212"/>
      <c r="C212"/>
    </row>
    <row r="213" spans="2:3" x14ac:dyDescent="0.3">
      <c r="B213"/>
      <c r="C213"/>
    </row>
    <row r="214" spans="2:3" x14ac:dyDescent="0.3">
      <c r="B214"/>
      <c r="C214"/>
    </row>
    <row r="215" spans="2:3" x14ac:dyDescent="0.3">
      <c r="B215"/>
      <c r="C215"/>
    </row>
    <row r="216" spans="2:3" x14ac:dyDescent="0.3">
      <c r="B216"/>
      <c r="C216"/>
    </row>
    <row r="217" spans="2:3" x14ac:dyDescent="0.3">
      <c r="B217"/>
      <c r="C217"/>
    </row>
    <row r="218" spans="2:3" x14ac:dyDescent="0.3">
      <c r="B218"/>
      <c r="C218"/>
    </row>
    <row r="219" spans="2:3" x14ac:dyDescent="0.3">
      <c r="B219"/>
      <c r="C219"/>
    </row>
    <row r="220" spans="2:3" x14ac:dyDescent="0.3">
      <c r="B220"/>
      <c r="C220"/>
    </row>
    <row r="221" spans="2:3" x14ac:dyDescent="0.3">
      <c r="B221"/>
      <c r="C221"/>
    </row>
    <row r="222" spans="2:3" x14ac:dyDescent="0.3">
      <c r="B222"/>
      <c r="C222"/>
    </row>
    <row r="223" spans="2:3" x14ac:dyDescent="0.3">
      <c r="B223"/>
      <c r="C223"/>
    </row>
    <row r="224" spans="2:3" x14ac:dyDescent="0.3">
      <c r="B224"/>
      <c r="C224"/>
    </row>
    <row r="225" spans="2:3" x14ac:dyDescent="0.3">
      <c r="B225"/>
      <c r="C225"/>
    </row>
    <row r="226" spans="2:3" x14ac:dyDescent="0.3">
      <c r="B226"/>
      <c r="C226"/>
    </row>
    <row r="227" spans="2:3" x14ac:dyDescent="0.3">
      <c r="B227"/>
      <c r="C227"/>
    </row>
    <row r="228" spans="2:3" x14ac:dyDescent="0.3">
      <c r="B228"/>
      <c r="C228"/>
    </row>
    <row r="229" spans="2:3" x14ac:dyDescent="0.3">
      <c r="B229"/>
      <c r="C229"/>
    </row>
    <row r="230" spans="2:3" x14ac:dyDescent="0.3">
      <c r="B230"/>
      <c r="C230"/>
    </row>
    <row r="231" spans="2:3" x14ac:dyDescent="0.3">
      <c r="B231"/>
      <c r="C231"/>
    </row>
    <row r="232" spans="2:3" x14ac:dyDescent="0.3">
      <c r="B232"/>
      <c r="C232"/>
    </row>
    <row r="233" spans="2:3" x14ac:dyDescent="0.3">
      <c r="B233"/>
      <c r="C233"/>
    </row>
    <row r="234" spans="2:3" x14ac:dyDescent="0.3">
      <c r="B234"/>
      <c r="C234"/>
    </row>
    <row r="235" spans="2:3" x14ac:dyDescent="0.3">
      <c r="B235"/>
      <c r="C235"/>
    </row>
    <row r="236" spans="2:3" x14ac:dyDescent="0.3">
      <c r="B236"/>
      <c r="C236"/>
    </row>
    <row r="237" spans="2:3" x14ac:dyDescent="0.3">
      <c r="B237"/>
      <c r="C237"/>
    </row>
    <row r="238" spans="2:3" x14ac:dyDescent="0.3">
      <c r="B238"/>
      <c r="C238"/>
    </row>
    <row r="239" spans="2:3" x14ac:dyDescent="0.3">
      <c r="B239"/>
      <c r="C239"/>
    </row>
    <row r="240" spans="2:3" x14ac:dyDescent="0.3">
      <c r="B240"/>
      <c r="C240"/>
    </row>
    <row r="241" spans="2:3" x14ac:dyDescent="0.3">
      <c r="B241"/>
      <c r="C241"/>
    </row>
    <row r="242" spans="2:3" x14ac:dyDescent="0.3">
      <c r="B242"/>
      <c r="C242"/>
    </row>
    <row r="243" spans="2:3" x14ac:dyDescent="0.3">
      <c r="B243"/>
      <c r="C243"/>
    </row>
    <row r="244" spans="2:3" x14ac:dyDescent="0.3">
      <c r="B244"/>
      <c r="C244"/>
    </row>
    <row r="245" spans="2:3" x14ac:dyDescent="0.3">
      <c r="B245"/>
      <c r="C245"/>
    </row>
    <row r="246" spans="2:3" x14ac:dyDescent="0.3">
      <c r="B246"/>
      <c r="C246"/>
    </row>
    <row r="247" spans="2:3" x14ac:dyDescent="0.3">
      <c r="B247"/>
      <c r="C247"/>
    </row>
    <row r="248" spans="2:3" x14ac:dyDescent="0.3">
      <c r="B248"/>
      <c r="C248"/>
    </row>
    <row r="249" spans="2:3" x14ac:dyDescent="0.3">
      <c r="B249"/>
      <c r="C249"/>
    </row>
    <row r="250" spans="2:3" x14ac:dyDescent="0.3">
      <c r="B250"/>
      <c r="C250"/>
    </row>
    <row r="251" spans="2:3" x14ac:dyDescent="0.3">
      <c r="B251"/>
      <c r="C251"/>
    </row>
    <row r="252" spans="2:3" x14ac:dyDescent="0.3">
      <c r="B252"/>
      <c r="C252"/>
    </row>
    <row r="253" spans="2:3" x14ac:dyDescent="0.3">
      <c r="B253"/>
      <c r="C253"/>
    </row>
    <row r="254" spans="2:3" x14ac:dyDescent="0.3">
      <c r="B254"/>
      <c r="C254"/>
    </row>
    <row r="255" spans="2:3" x14ac:dyDescent="0.3">
      <c r="B255"/>
      <c r="C255"/>
    </row>
    <row r="256" spans="2:3" x14ac:dyDescent="0.3">
      <c r="B256"/>
      <c r="C256"/>
    </row>
    <row r="257" spans="2:3" x14ac:dyDescent="0.3">
      <c r="B257"/>
      <c r="C257"/>
    </row>
    <row r="258" spans="2:3" x14ac:dyDescent="0.3">
      <c r="B258"/>
      <c r="C258"/>
    </row>
    <row r="259" spans="2:3" x14ac:dyDescent="0.3">
      <c r="B259"/>
      <c r="C259"/>
    </row>
    <row r="260" spans="2:3" x14ac:dyDescent="0.3">
      <c r="B260"/>
      <c r="C260"/>
    </row>
    <row r="261" spans="2:3" x14ac:dyDescent="0.3">
      <c r="B261"/>
      <c r="C261"/>
    </row>
    <row r="262" spans="2:3" x14ac:dyDescent="0.3">
      <c r="B262"/>
      <c r="C262"/>
    </row>
    <row r="263" spans="2:3" x14ac:dyDescent="0.3">
      <c r="B263"/>
      <c r="C263"/>
    </row>
    <row r="264" spans="2:3" x14ac:dyDescent="0.3">
      <c r="B264"/>
      <c r="C264"/>
    </row>
    <row r="265" spans="2:3" x14ac:dyDescent="0.3">
      <c r="B265"/>
      <c r="C265"/>
    </row>
    <row r="266" spans="2:3" x14ac:dyDescent="0.3">
      <c r="B266"/>
      <c r="C266"/>
    </row>
    <row r="267" spans="2:3" x14ac:dyDescent="0.3">
      <c r="B267"/>
      <c r="C267"/>
    </row>
    <row r="268" spans="2:3" x14ac:dyDescent="0.3">
      <c r="B268"/>
      <c r="C268"/>
    </row>
    <row r="269" spans="2:3" x14ac:dyDescent="0.3">
      <c r="B269"/>
      <c r="C269"/>
    </row>
    <row r="270" spans="2:3" x14ac:dyDescent="0.3">
      <c r="B270"/>
      <c r="C270"/>
    </row>
    <row r="271" spans="2:3" x14ac:dyDescent="0.3">
      <c r="B271"/>
      <c r="C271"/>
    </row>
    <row r="272" spans="2:3" x14ac:dyDescent="0.3">
      <c r="B272"/>
      <c r="C272"/>
    </row>
    <row r="273" spans="2:3" x14ac:dyDescent="0.3">
      <c r="B273"/>
      <c r="C273"/>
    </row>
    <row r="274" spans="2:3" x14ac:dyDescent="0.3">
      <c r="B274"/>
      <c r="C274"/>
    </row>
    <row r="275" spans="2:3" x14ac:dyDescent="0.3">
      <c r="B275"/>
      <c r="C275"/>
    </row>
    <row r="276" spans="2:3" x14ac:dyDescent="0.3">
      <c r="B276"/>
      <c r="C276"/>
    </row>
    <row r="277" spans="2:3" x14ac:dyDescent="0.3">
      <c r="B277"/>
      <c r="C277"/>
    </row>
    <row r="278" spans="2:3" x14ac:dyDescent="0.3">
      <c r="B278"/>
      <c r="C278"/>
    </row>
    <row r="279" spans="2:3" x14ac:dyDescent="0.3">
      <c r="B279"/>
      <c r="C279"/>
    </row>
    <row r="280" spans="2:3" x14ac:dyDescent="0.3">
      <c r="B280"/>
      <c r="C280"/>
    </row>
    <row r="281" spans="2:3" x14ac:dyDescent="0.3">
      <c r="B281"/>
      <c r="C281"/>
    </row>
    <row r="282" spans="2:3" x14ac:dyDescent="0.3">
      <c r="B282"/>
      <c r="C282"/>
    </row>
    <row r="283" spans="2:3" x14ac:dyDescent="0.3">
      <c r="B283"/>
      <c r="C283"/>
    </row>
    <row r="284" spans="2:3" x14ac:dyDescent="0.3">
      <c r="B284"/>
      <c r="C284"/>
    </row>
    <row r="285" spans="2:3" x14ac:dyDescent="0.3">
      <c r="B285"/>
      <c r="C285"/>
    </row>
    <row r="286" spans="2:3" x14ac:dyDescent="0.3">
      <c r="B286"/>
      <c r="C286"/>
    </row>
    <row r="287" spans="2:3" x14ac:dyDescent="0.3">
      <c r="B287"/>
      <c r="C287"/>
    </row>
    <row r="288" spans="2:3" x14ac:dyDescent="0.3">
      <c r="B288"/>
      <c r="C288"/>
    </row>
    <row r="289" spans="2:3" x14ac:dyDescent="0.3">
      <c r="B289"/>
      <c r="C289"/>
    </row>
    <row r="290" spans="2:3" x14ac:dyDescent="0.3">
      <c r="B290"/>
      <c r="C290"/>
    </row>
    <row r="291" spans="2:3" x14ac:dyDescent="0.3">
      <c r="B291"/>
      <c r="C291"/>
    </row>
    <row r="292" spans="2:3" x14ac:dyDescent="0.3">
      <c r="B292"/>
      <c r="C292"/>
    </row>
    <row r="293" spans="2:3" x14ac:dyDescent="0.3">
      <c r="B293"/>
      <c r="C293"/>
    </row>
    <row r="294" spans="2:3" x14ac:dyDescent="0.3">
      <c r="B294"/>
      <c r="C294"/>
    </row>
    <row r="295" spans="2:3" x14ac:dyDescent="0.3">
      <c r="B295"/>
      <c r="C295"/>
    </row>
    <row r="296" spans="2:3" x14ac:dyDescent="0.3">
      <c r="B296"/>
      <c r="C296"/>
    </row>
    <row r="297" spans="2:3" x14ac:dyDescent="0.3">
      <c r="B297"/>
      <c r="C297"/>
    </row>
    <row r="298" spans="2:3" x14ac:dyDescent="0.3">
      <c r="B298"/>
      <c r="C298"/>
    </row>
    <row r="299" spans="2:3" x14ac:dyDescent="0.3">
      <c r="B299"/>
      <c r="C299"/>
    </row>
    <row r="300" spans="2:3" x14ac:dyDescent="0.3">
      <c r="B300"/>
      <c r="C300"/>
    </row>
    <row r="301" spans="2:3" x14ac:dyDescent="0.3">
      <c r="B301"/>
      <c r="C301"/>
    </row>
    <row r="302" spans="2:3" x14ac:dyDescent="0.3">
      <c r="B302"/>
      <c r="C302"/>
    </row>
    <row r="303" spans="2:3" x14ac:dyDescent="0.3">
      <c r="B303"/>
      <c r="C303"/>
    </row>
    <row r="304" spans="2:3" x14ac:dyDescent="0.3">
      <c r="B304"/>
      <c r="C304"/>
    </row>
    <row r="305" spans="2:3" x14ac:dyDescent="0.3">
      <c r="B305"/>
      <c r="C305"/>
    </row>
    <row r="306" spans="2:3" x14ac:dyDescent="0.3">
      <c r="B306"/>
      <c r="C306"/>
    </row>
    <row r="307" spans="2:3" x14ac:dyDescent="0.3">
      <c r="B307"/>
      <c r="C307"/>
    </row>
    <row r="308" spans="2:3" x14ac:dyDescent="0.3">
      <c r="B308"/>
      <c r="C308"/>
    </row>
    <row r="309" spans="2:3" x14ac:dyDescent="0.3">
      <c r="B309"/>
      <c r="C309"/>
    </row>
    <row r="310" spans="2:3" x14ac:dyDescent="0.3">
      <c r="B310"/>
      <c r="C310"/>
    </row>
    <row r="311" spans="2:3" x14ac:dyDescent="0.3">
      <c r="B311"/>
      <c r="C311"/>
    </row>
    <row r="312" spans="2:3" x14ac:dyDescent="0.3">
      <c r="B312"/>
      <c r="C312"/>
    </row>
    <row r="313" spans="2:3" x14ac:dyDescent="0.3">
      <c r="B313"/>
      <c r="C313"/>
    </row>
    <row r="314" spans="2:3" x14ac:dyDescent="0.3">
      <c r="B314"/>
      <c r="C314"/>
    </row>
    <row r="315" spans="2:3" x14ac:dyDescent="0.3">
      <c r="B315"/>
      <c r="C315"/>
    </row>
    <row r="316" spans="2:3" x14ac:dyDescent="0.3">
      <c r="B316"/>
      <c r="C316"/>
    </row>
    <row r="317" spans="2:3" x14ac:dyDescent="0.3">
      <c r="B317"/>
      <c r="C317"/>
    </row>
    <row r="318" spans="2:3" x14ac:dyDescent="0.3">
      <c r="B318"/>
      <c r="C318"/>
    </row>
    <row r="319" spans="2:3" x14ac:dyDescent="0.3">
      <c r="B319"/>
      <c r="C319"/>
    </row>
    <row r="320" spans="2:3" x14ac:dyDescent="0.3">
      <c r="B320"/>
      <c r="C320"/>
    </row>
    <row r="321" spans="2:3" x14ac:dyDescent="0.3">
      <c r="B321"/>
      <c r="C321"/>
    </row>
    <row r="322" spans="2:3" x14ac:dyDescent="0.3">
      <c r="B322"/>
      <c r="C322"/>
    </row>
    <row r="323" spans="2:3" x14ac:dyDescent="0.3">
      <c r="B323"/>
      <c r="C323"/>
    </row>
    <row r="324" spans="2:3" x14ac:dyDescent="0.3">
      <c r="B324"/>
      <c r="C324"/>
    </row>
    <row r="325" spans="2:3" x14ac:dyDescent="0.3">
      <c r="B325"/>
      <c r="C325"/>
    </row>
    <row r="326" spans="2:3" x14ac:dyDescent="0.3">
      <c r="B326"/>
      <c r="C326"/>
    </row>
    <row r="327" spans="2:3" x14ac:dyDescent="0.3">
      <c r="B327"/>
      <c r="C327"/>
    </row>
    <row r="328" spans="2:3" x14ac:dyDescent="0.3">
      <c r="B328"/>
      <c r="C328"/>
    </row>
    <row r="329" spans="2:3" x14ac:dyDescent="0.3">
      <c r="B329"/>
      <c r="C329"/>
    </row>
    <row r="330" spans="2:3" x14ac:dyDescent="0.3">
      <c r="B330"/>
      <c r="C330"/>
    </row>
    <row r="331" spans="2:3" x14ac:dyDescent="0.3">
      <c r="B331"/>
      <c r="C331"/>
    </row>
    <row r="332" spans="2:3" x14ac:dyDescent="0.3">
      <c r="B332"/>
      <c r="C332"/>
    </row>
    <row r="333" spans="2:3" x14ac:dyDescent="0.3">
      <c r="B333"/>
      <c r="C333"/>
    </row>
    <row r="334" spans="2:3" x14ac:dyDescent="0.3">
      <c r="B334"/>
    </row>
    <row r="335" spans="2:3" x14ac:dyDescent="0.3">
      <c r="B335"/>
    </row>
    <row r="336" spans="2:3"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sheetData>
  <pageMargins left="0.7" right="0.7" top="0.75" bottom="0.75" header="0.3" footer="0.3"/>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FD748-00B1-4ED0-B53A-13A247717751}">
  <sheetPr>
    <tabColor rgb="FFFFFF00"/>
  </sheetPr>
  <dimension ref="A3:M640"/>
  <sheetViews>
    <sheetView topLeftCell="D64" workbookViewId="0">
      <selection activeCell="L452" sqref="L452"/>
    </sheetView>
  </sheetViews>
  <sheetFormatPr defaultRowHeight="14.4" x14ac:dyDescent="0.3"/>
  <cols>
    <col min="1" max="1" width="14" style="2" bestFit="1" customWidth="1"/>
    <col min="2" max="2" width="10" style="2" bestFit="1" customWidth="1"/>
    <col min="3" max="3" width="19.5546875" style="2" bestFit="1" customWidth="1"/>
    <col min="4" max="4" width="19.5546875" style="2" customWidth="1"/>
    <col min="5" max="5" width="8.88671875" style="2"/>
    <col min="6" max="6" width="17.88671875" style="2" customWidth="1"/>
    <col min="7" max="7" width="14.109375" style="2" customWidth="1"/>
    <col min="8" max="8" width="19.5546875" style="2" bestFit="1" customWidth="1"/>
    <col min="9" max="9" width="13.5546875" style="2" bestFit="1" customWidth="1"/>
    <col min="10" max="10" width="10.33203125" style="2" customWidth="1"/>
    <col min="11" max="11" width="13.5546875" style="2" customWidth="1"/>
    <col min="12" max="12" width="17.21875" style="2" customWidth="1"/>
    <col min="13" max="16384" width="8.88671875" style="2"/>
  </cols>
  <sheetData>
    <row r="3" spans="1:13" x14ac:dyDescent="0.3">
      <c r="A3" s="13" t="s">
        <v>9</v>
      </c>
      <c r="B3" s="13" t="s">
        <v>10</v>
      </c>
      <c r="C3" s="2" t="s">
        <v>1412</v>
      </c>
      <c r="E3" s="56"/>
      <c r="F3" s="57" t="s">
        <v>9</v>
      </c>
      <c r="G3" s="58" t="s">
        <v>10</v>
      </c>
      <c r="H3" s="58" t="s">
        <v>1412</v>
      </c>
      <c r="I3" s="58" t="s">
        <v>1447</v>
      </c>
      <c r="J3" s="58" t="s">
        <v>1448</v>
      </c>
      <c r="K3" s="58" t="s">
        <v>1449</v>
      </c>
      <c r="L3" s="58" t="s">
        <v>1450</v>
      </c>
      <c r="M3" s="49"/>
    </row>
    <row r="4" spans="1:13" x14ac:dyDescent="0.3">
      <c r="A4" s="2" t="s">
        <v>729</v>
      </c>
      <c r="B4" s="2" t="s">
        <v>781</v>
      </c>
      <c r="C4" s="83">
        <v>109244</v>
      </c>
      <c r="F4" s="50" t="s">
        <v>727</v>
      </c>
      <c r="G4" s="2" t="s">
        <v>971</v>
      </c>
      <c r="H4" s="2">
        <v>139277.83032000001</v>
      </c>
      <c r="I4" s="2">
        <f t="shared" ref="I4:I67" si="0">SUMIF(F4:F632, F4, H4:H632)</f>
        <v>1550200.534329999</v>
      </c>
      <c r="J4" s="51">
        <f t="shared" ref="J4:J67" si="1">H4/I4</f>
        <v>8.9845040841891002E-2</v>
      </c>
      <c r="K4" s="2">
        <f>IF(F4=F3, K3+J4, J4)</f>
        <v>8.9845040841891002E-2</v>
      </c>
      <c r="L4" s="2" t="str">
        <f>IF(K4&lt;=0.8,"A", IF(K4&lt;=0.95,"B","C"))</f>
        <v>A</v>
      </c>
      <c r="M4" s="52"/>
    </row>
    <row r="5" spans="1:13" x14ac:dyDescent="0.3">
      <c r="A5" s="2" t="s">
        <v>729</v>
      </c>
      <c r="B5" s="2" t="s">
        <v>1345</v>
      </c>
      <c r="C5" s="83">
        <v>82141.339799999987</v>
      </c>
      <c r="F5" s="50" t="s">
        <v>729</v>
      </c>
      <c r="G5" s="2" t="s">
        <v>781</v>
      </c>
      <c r="H5" s="2">
        <v>109244</v>
      </c>
      <c r="I5" s="2">
        <f t="shared" si="0"/>
        <v>1774683.0831999998</v>
      </c>
      <c r="J5" s="51">
        <f t="shared" si="1"/>
        <v>6.1556906150825486E-2</v>
      </c>
      <c r="K5" s="2">
        <f t="shared" ref="K5:K68" si="2">IF(F5=F4, K4+J5, J5)</f>
        <v>6.1556906150825486E-2</v>
      </c>
      <c r="L5" s="2" t="str">
        <f t="shared" ref="L5:L68" si="3">IF(K5&lt;=0.8,"A", IF(K5&lt;=0.95,"B","C"))</f>
        <v>A</v>
      </c>
      <c r="M5" s="52"/>
    </row>
    <row r="6" spans="1:13" x14ac:dyDescent="0.3">
      <c r="A6" s="2" t="s">
        <v>729</v>
      </c>
      <c r="B6" s="2" t="s">
        <v>1010</v>
      </c>
      <c r="C6" s="83">
        <v>79548.755999999994</v>
      </c>
      <c r="F6" s="50" t="s">
        <v>731</v>
      </c>
      <c r="G6" s="2" t="s">
        <v>1155</v>
      </c>
      <c r="H6" s="2">
        <v>102122.94203999999</v>
      </c>
      <c r="I6" s="2">
        <f t="shared" si="0"/>
        <v>1711094.3775999995</v>
      </c>
      <c r="J6" s="51">
        <f t="shared" si="1"/>
        <v>5.9682822512244355E-2</v>
      </c>
      <c r="K6" s="2">
        <f t="shared" si="2"/>
        <v>5.9682822512244355E-2</v>
      </c>
      <c r="L6" s="2" t="str">
        <f t="shared" si="3"/>
        <v>A</v>
      </c>
      <c r="M6" s="52"/>
    </row>
    <row r="7" spans="1:13" x14ac:dyDescent="0.3">
      <c r="A7" s="2" t="s">
        <v>729</v>
      </c>
      <c r="B7" s="2" t="s">
        <v>957</v>
      </c>
      <c r="C7" s="83">
        <v>66988.771199999988</v>
      </c>
      <c r="F7" s="50" t="s">
        <v>732</v>
      </c>
      <c r="G7" s="2" t="s">
        <v>909</v>
      </c>
      <c r="H7" s="2">
        <v>92715.25</v>
      </c>
      <c r="I7" s="2">
        <f t="shared" si="0"/>
        <v>1551590.8794699989</v>
      </c>
      <c r="J7" s="51">
        <f t="shared" si="1"/>
        <v>5.9754959394753719E-2</v>
      </c>
      <c r="K7" s="2">
        <f t="shared" si="2"/>
        <v>5.9754959394753719E-2</v>
      </c>
      <c r="L7" s="2" t="str">
        <f t="shared" si="3"/>
        <v>A</v>
      </c>
      <c r="M7" s="52"/>
    </row>
    <row r="8" spans="1:13" x14ac:dyDescent="0.3">
      <c r="A8" s="2" t="s">
        <v>729</v>
      </c>
      <c r="B8" s="2" t="s">
        <v>814</v>
      </c>
      <c r="C8" s="83">
        <v>60292.805299999993</v>
      </c>
      <c r="F8" s="50" t="s">
        <v>732</v>
      </c>
      <c r="G8" s="2" t="s">
        <v>874</v>
      </c>
      <c r="H8" s="2">
        <v>87404.929919999995</v>
      </c>
      <c r="I8" s="2">
        <f t="shared" si="0"/>
        <v>1458875.6294699989</v>
      </c>
      <c r="J8" s="51">
        <f t="shared" si="1"/>
        <v>5.9912530002131641E-2</v>
      </c>
      <c r="K8" s="2">
        <f t="shared" si="2"/>
        <v>0.11966748939688536</v>
      </c>
      <c r="L8" s="2" t="str">
        <f t="shared" si="3"/>
        <v>A</v>
      </c>
      <c r="M8" s="52"/>
    </row>
    <row r="9" spans="1:13" x14ac:dyDescent="0.3">
      <c r="A9" s="2" t="s">
        <v>729</v>
      </c>
      <c r="B9" s="2" t="s">
        <v>1324</v>
      </c>
      <c r="C9" s="83">
        <v>51768.181920000003</v>
      </c>
      <c r="F9" s="50" t="s">
        <v>732</v>
      </c>
      <c r="G9" s="2" t="s">
        <v>899</v>
      </c>
      <c r="H9" s="2">
        <v>85637.740319999997</v>
      </c>
      <c r="I9" s="2">
        <f t="shared" si="0"/>
        <v>1371470.6995499989</v>
      </c>
      <c r="J9" s="51">
        <f t="shared" si="1"/>
        <v>6.2442267522083476E-2</v>
      </c>
      <c r="K9" s="2">
        <f t="shared" si="2"/>
        <v>0.18210975691896883</v>
      </c>
      <c r="L9" s="2" t="str">
        <f t="shared" si="3"/>
        <v>A</v>
      </c>
      <c r="M9" s="52"/>
    </row>
    <row r="10" spans="1:13" x14ac:dyDescent="0.3">
      <c r="A10" s="2" t="s">
        <v>729</v>
      </c>
      <c r="B10" s="2" t="s">
        <v>1356</v>
      </c>
      <c r="C10" s="83">
        <v>50090.397499999999</v>
      </c>
      <c r="F10" s="50" t="s">
        <v>727</v>
      </c>
      <c r="G10" s="2" t="s">
        <v>1198</v>
      </c>
      <c r="H10" s="2">
        <v>84136.119600000005</v>
      </c>
      <c r="I10" s="2">
        <f t="shared" si="0"/>
        <v>1410922.7040099988</v>
      </c>
      <c r="J10" s="51">
        <f t="shared" si="1"/>
        <v>5.9631983637995066E-2</v>
      </c>
      <c r="K10" s="2">
        <f t="shared" si="2"/>
        <v>5.9631983637995066E-2</v>
      </c>
      <c r="L10" s="2" t="str">
        <f t="shared" si="3"/>
        <v>A</v>
      </c>
      <c r="M10" s="52"/>
    </row>
    <row r="11" spans="1:13" x14ac:dyDescent="0.3">
      <c r="A11" s="2" t="s">
        <v>729</v>
      </c>
      <c r="B11" s="2" t="s">
        <v>1091</v>
      </c>
      <c r="C11" s="83">
        <v>49336.511399999996</v>
      </c>
      <c r="F11" s="50" t="s">
        <v>731</v>
      </c>
      <c r="G11" s="2" t="s">
        <v>1096</v>
      </c>
      <c r="H11" s="2">
        <v>82514.711519999997</v>
      </c>
      <c r="I11" s="2">
        <f t="shared" si="0"/>
        <v>1608971.4355599994</v>
      </c>
      <c r="J11" s="51">
        <f t="shared" si="1"/>
        <v>5.1284136993569998E-2</v>
      </c>
      <c r="K11" s="2">
        <f t="shared" si="2"/>
        <v>5.1284136993569998E-2</v>
      </c>
      <c r="L11" s="2" t="str">
        <f t="shared" si="3"/>
        <v>A</v>
      </c>
      <c r="M11" s="52"/>
    </row>
    <row r="12" spans="1:13" x14ac:dyDescent="0.3">
      <c r="A12" s="2" t="s">
        <v>729</v>
      </c>
      <c r="B12" s="2" t="s">
        <v>937</v>
      </c>
      <c r="C12" s="83">
        <v>47962.717579999997</v>
      </c>
      <c r="F12" s="50" t="s">
        <v>729</v>
      </c>
      <c r="G12" s="2" t="s">
        <v>1345</v>
      </c>
      <c r="H12" s="2">
        <v>82141.339799999987</v>
      </c>
      <c r="I12" s="2">
        <f t="shared" si="0"/>
        <v>1665439.0831999998</v>
      </c>
      <c r="J12" s="51">
        <f t="shared" si="1"/>
        <v>4.9321131363251294E-2</v>
      </c>
      <c r="K12" s="2">
        <f t="shared" si="2"/>
        <v>4.9321131363251294E-2</v>
      </c>
      <c r="L12" s="2" t="str">
        <f t="shared" si="3"/>
        <v>A</v>
      </c>
      <c r="M12" s="52"/>
    </row>
    <row r="13" spans="1:13" x14ac:dyDescent="0.3">
      <c r="A13" s="2" t="s">
        <v>729</v>
      </c>
      <c r="B13" s="2" t="s">
        <v>1116</v>
      </c>
      <c r="C13" s="83">
        <v>47693.373</v>
      </c>
      <c r="F13" s="50" t="s">
        <v>729</v>
      </c>
      <c r="G13" s="2" t="s">
        <v>1010</v>
      </c>
      <c r="H13" s="2">
        <v>79548.755999999994</v>
      </c>
      <c r="I13" s="2">
        <f t="shared" si="0"/>
        <v>1583297.7434</v>
      </c>
      <c r="J13" s="51">
        <f t="shared" si="1"/>
        <v>5.0242448921310065E-2</v>
      </c>
      <c r="K13" s="2">
        <f t="shared" si="2"/>
        <v>9.9563580284561359E-2</v>
      </c>
      <c r="L13" s="2" t="str">
        <f t="shared" si="3"/>
        <v>A</v>
      </c>
      <c r="M13" s="52"/>
    </row>
    <row r="14" spans="1:13" x14ac:dyDescent="0.3">
      <c r="A14" s="2" t="s">
        <v>729</v>
      </c>
      <c r="B14" s="2" t="s">
        <v>1110</v>
      </c>
      <c r="C14" s="83">
        <v>43553.493060000001</v>
      </c>
      <c r="F14" s="50" t="s">
        <v>733</v>
      </c>
      <c r="G14" s="2" t="s">
        <v>1080</v>
      </c>
      <c r="H14" s="2">
        <v>79082.507010000001</v>
      </c>
      <c r="I14" s="2">
        <f t="shared" si="0"/>
        <v>1315287.3379200008</v>
      </c>
      <c r="J14" s="51">
        <f t="shared" si="1"/>
        <v>6.0125650669656187E-2</v>
      </c>
      <c r="K14" s="2">
        <f t="shared" si="2"/>
        <v>6.0125650669656187E-2</v>
      </c>
      <c r="L14" s="2" t="str">
        <f t="shared" si="3"/>
        <v>A</v>
      </c>
      <c r="M14" s="52"/>
    </row>
    <row r="15" spans="1:13" x14ac:dyDescent="0.3">
      <c r="A15" s="2" t="s">
        <v>729</v>
      </c>
      <c r="B15" s="2" t="s">
        <v>1213</v>
      </c>
      <c r="C15" s="83">
        <v>40488.792960000006</v>
      </c>
      <c r="F15" s="50" t="s">
        <v>732</v>
      </c>
      <c r="G15" s="2" t="s">
        <v>797</v>
      </c>
      <c r="H15" s="2">
        <v>72665.817450000002</v>
      </c>
      <c r="I15" s="2">
        <f t="shared" si="0"/>
        <v>1285832.959229999</v>
      </c>
      <c r="J15" s="51">
        <f t="shared" si="1"/>
        <v>5.6512641808088973E-2</v>
      </c>
      <c r="K15" s="2">
        <f t="shared" si="2"/>
        <v>5.6512641808088973E-2</v>
      </c>
      <c r="L15" s="2" t="str">
        <f t="shared" si="3"/>
        <v>A</v>
      </c>
      <c r="M15" s="52"/>
    </row>
    <row r="16" spans="1:13" x14ac:dyDescent="0.3">
      <c r="A16" s="2" t="s">
        <v>729</v>
      </c>
      <c r="B16" s="2" t="s">
        <v>1036</v>
      </c>
      <c r="C16" s="83">
        <v>39686.4182</v>
      </c>
      <c r="F16" s="50" t="s">
        <v>730</v>
      </c>
      <c r="G16" s="2" t="s">
        <v>1320</v>
      </c>
      <c r="H16" s="2">
        <v>68665.574250000005</v>
      </c>
      <c r="I16" s="2">
        <f t="shared" si="0"/>
        <v>1399242.2240200001</v>
      </c>
      <c r="J16" s="51">
        <f t="shared" si="1"/>
        <v>4.9073400638757834E-2</v>
      </c>
      <c r="K16" s="2">
        <f t="shared" si="2"/>
        <v>4.9073400638757834E-2</v>
      </c>
      <c r="L16" s="2" t="str">
        <f t="shared" si="3"/>
        <v>A</v>
      </c>
      <c r="M16" s="52"/>
    </row>
    <row r="17" spans="1:13" x14ac:dyDescent="0.3">
      <c r="A17" s="2" t="s">
        <v>729</v>
      </c>
      <c r="B17" s="2" t="s">
        <v>1056</v>
      </c>
      <c r="C17" s="83">
        <v>39546.774539999999</v>
      </c>
      <c r="F17" s="50" t="s">
        <v>729</v>
      </c>
      <c r="G17" s="2" t="s">
        <v>957</v>
      </c>
      <c r="H17" s="2">
        <v>66988.771199999988</v>
      </c>
      <c r="I17" s="2">
        <f t="shared" si="0"/>
        <v>1503748.9874</v>
      </c>
      <c r="J17" s="51">
        <f t="shared" si="1"/>
        <v>4.4547841269588731E-2</v>
      </c>
      <c r="K17" s="2">
        <f t="shared" si="2"/>
        <v>4.4547841269588731E-2</v>
      </c>
      <c r="L17" s="2" t="str">
        <f t="shared" si="3"/>
        <v>A</v>
      </c>
      <c r="M17" s="52"/>
    </row>
    <row r="18" spans="1:13" x14ac:dyDescent="0.3">
      <c r="A18" s="2" t="s">
        <v>729</v>
      </c>
      <c r="B18" s="2" t="s">
        <v>854</v>
      </c>
      <c r="C18" s="83">
        <v>39516.804389999998</v>
      </c>
      <c r="F18" s="50" t="s">
        <v>728</v>
      </c>
      <c r="G18" s="2" t="s">
        <v>1271</v>
      </c>
      <c r="H18" s="2">
        <v>66260.314239999992</v>
      </c>
      <c r="I18" s="2">
        <f t="shared" si="0"/>
        <v>1616910.1886599986</v>
      </c>
      <c r="J18" s="51">
        <f t="shared" si="1"/>
        <v>4.0979588541595315E-2</v>
      </c>
      <c r="K18" s="2">
        <f t="shared" si="2"/>
        <v>4.0979588541595315E-2</v>
      </c>
      <c r="L18" s="2" t="str">
        <f t="shared" si="3"/>
        <v>A</v>
      </c>
      <c r="M18" s="52"/>
    </row>
    <row r="19" spans="1:13" x14ac:dyDescent="0.3">
      <c r="A19" s="2" t="s">
        <v>729</v>
      </c>
      <c r="B19" s="2" t="s">
        <v>782</v>
      </c>
      <c r="C19" s="83">
        <v>35621.302319999995</v>
      </c>
      <c r="F19" s="50" t="s">
        <v>731</v>
      </c>
      <c r="G19" s="2" t="s">
        <v>851</v>
      </c>
      <c r="H19" s="2">
        <v>65119.329599999997</v>
      </c>
      <c r="I19" s="2">
        <f t="shared" si="0"/>
        <v>1526456.7240399995</v>
      </c>
      <c r="J19" s="51">
        <f t="shared" si="1"/>
        <v>4.2660449244608656E-2</v>
      </c>
      <c r="K19" s="2">
        <f t="shared" si="2"/>
        <v>4.2660449244608656E-2</v>
      </c>
      <c r="L19" s="2" t="str">
        <f t="shared" si="3"/>
        <v>A</v>
      </c>
      <c r="M19" s="52"/>
    </row>
    <row r="20" spans="1:13" x14ac:dyDescent="0.3">
      <c r="A20" s="2" t="s">
        <v>729</v>
      </c>
      <c r="B20" s="2" t="s">
        <v>1087</v>
      </c>
      <c r="C20" s="83">
        <v>34816.968000000001</v>
      </c>
      <c r="F20" s="50" t="s">
        <v>727</v>
      </c>
      <c r="G20" s="2" t="s">
        <v>860</v>
      </c>
      <c r="H20" s="2">
        <v>65111.38614000001</v>
      </c>
      <c r="I20" s="2">
        <f t="shared" si="0"/>
        <v>1326786.5844099987</v>
      </c>
      <c r="J20" s="51">
        <f t="shared" si="1"/>
        <v>4.9074498419769616E-2</v>
      </c>
      <c r="K20" s="2">
        <f t="shared" si="2"/>
        <v>4.9074498419769616E-2</v>
      </c>
      <c r="L20" s="2" t="str">
        <f t="shared" si="3"/>
        <v>A</v>
      </c>
      <c r="M20" s="52"/>
    </row>
    <row r="21" spans="1:13" x14ac:dyDescent="0.3">
      <c r="A21" s="2" t="s">
        <v>729</v>
      </c>
      <c r="B21" s="2" t="s">
        <v>1301</v>
      </c>
      <c r="C21" s="83">
        <v>34307.159999999996</v>
      </c>
      <c r="F21" s="50" t="s">
        <v>731</v>
      </c>
      <c r="G21" s="2" t="s">
        <v>1121</v>
      </c>
      <c r="H21" s="2">
        <v>65066.934229999999</v>
      </c>
      <c r="I21" s="2">
        <f t="shared" si="0"/>
        <v>1461337.3944399992</v>
      </c>
      <c r="J21" s="51">
        <f t="shared" si="1"/>
        <v>4.4525606802072133E-2</v>
      </c>
      <c r="K21" s="2">
        <f t="shared" si="2"/>
        <v>4.4525606802072133E-2</v>
      </c>
      <c r="L21" s="2" t="str">
        <f t="shared" si="3"/>
        <v>A</v>
      </c>
      <c r="M21" s="52"/>
    </row>
    <row r="22" spans="1:13" x14ac:dyDescent="0.3">
      <c r="A22" s="2" t="s">
        <v>729</v>
      </c>
      <c r="B22" s="2" t="s">
        <v>1113</v>
      </c>
      <c r="C22" s="83">
        <v>33200.038079999998</v>
      </c>
      <c r="F22" s="50" t="s">
        <v>731</v>
      </c>
      <c r="G22" s="2" t="s">
        <v>1254</v>
      </c>
      <c r="H22" s="2">
        <v>64192.976999999999</v>
      </c>
      <c r="I22" s="2">
        <f t="shared" si="0"/>
        <v>1396270.4602099997</v>
      </c>
      <c r="J22" s="51">
        <f t="shared" si="1"/>
        <v>4.5974600787834004E-2</v>
      </c>
      <c r="K22" s="2">
        <f t="shared" si="2"/>
        <v>9.0500207589906137E-2</v>
      </c>
      <c r="L22" s="2" t="str">
        <f t="shared" si="3"/>
        <v>A</v>
      </c>
      <c r="M22" s="52"/>
    </row>
    <row r="23" spans="1:13" x14ac:dyDescent="0.3">
      <c r="A23" s="2" t="s">
        <v>729</v>
      </c>
      <c r="B23" s="2" t="s">
        <v>1357</v>
      </c>
      <c r="C23" s="83">
        <v>32704.386400000003</v>
      </c>
      <c r="F23" s="50" t="s">
        <v>727</v>
      </c>
      <c r="G23" s="2" t="s">
        <v>743</v>
      </c>
      <c r="H23" s="2">
        <v>60928.502359999999</v>
      </c>
      <c r="I23" s="2">
        <f t="shared" si="0"/>
        <v>1261675.1982699987</v>
      </c>
      <c r="J23" s="51">
        <f t="shared" si="1"/>
        <v>4.8291749289789312E-2</v>
      </c>
      <c r="K23" s="2">
        <f t="shared" si="2"/>
        <v>4.8291749289789312E-2</v>
      </c>
      <c r="L23" s="2" t="str">
        <f t="shared" si="3"/>
        <v>A</v>
      </c>
      <c r="M23" s="52"/>
    </row>
    <row r="24" spans="1:13" x14ac:dyDescent="0.3">
      <c r="A24" s="2" t="s">
        <v>729</v>
      </c>
      <c r="B24" s="2" t="s">
        <v>779</v>
      </c>
      <c r="C24" s="83">
        <v>32506.559399999998</v>
      </c>
      <c r="F24" s="50" t="s">
        <v>729</v>
      </c>
      <c r="G24" s="2" t="s">
        <v>814</v>
      </c>
      <c r="H24" s="2">
        <v>60292.805299999993</v>
      </c>
      <c r="I24" s="2">
        <f t="shared" si="0"/>
        <v>1436760.2162000001</v>
      </c>
      <c r="J24" s="51">
        <f t="shared" si="1"/>
        <v>4.1964417319032381E-2</v>
      </c>
      <c r="K24" s="2">
        <f t="shared" si="2"/>
        <v>4.1964417319032381E-2</v>
      </c>
      <c r="L24" s="2" t="str">
        <f t="shared" si="3"/>
        <v>A</v>
      </c>
      <c r="M24" s="52"/>
    </row>
    <row r="25" spans="1:13" x14ac:dyDescent="0.3">
      <c r="A25" s="2" t="s">
        <v>729</v>
      </c>
      <c r="B25" s="2" t="s">
        <v>1147</v>
      </c>
      <c r="C25" s="83">
        <v>31513.423040000001</v>
      </c>
      <c r="F25" s="50" t="s">
        <v>731</v>
      </c>
      <c r="G25" s="2" t="s">
        <v>1261</v>
      </c>
      <c r="H25" s="2">
        <v>58526.83122</v>
      </c>
      <c r="I25" s="2">
        <f t="shared" si="0"/>
        <v>1332077.48321</v>
      </c>
      <c r="J25" s="51">
        <f t="shared" si="1"/>
        <v>4.3936506665486014E-2</v>
      </c>
      <c r="K25" s="2">
        <f t="shared" si="2"/>
        <v>4.3936506665486014E-2</v>
      </c>
      <c r="L25" s="2" t="str">
        <f t="shared" si="3"/>
        <v>A</v>
      </c>
      <c r="M25" s="52"/>
    </row>
    <row r="26" spans="1:13" x14ac:dyDescent="0.3">
      <c r="A26" s="2" t="s">
        <v>729</v>
      </c>
      <c r="B26" s="2" t="s">
        <v>1229</v>
      </c>
      <c r="C26" s="83">
        <v>30692.47896</v>
      </c>
      <c r="F26" s="50" t="s">
        <v>728</v>
      </c>
      <c r="G26" s="2" t="s">
        <v>1157</v>
      </c>
      <c r="H26" s="2">
        <v>58091.634960000003</v>
      </c>
      <c r="I26" s="2">
        <f t="shared" si="0"/>
        <v>1550649.8744199988</v>
      </c>
      <c r="J26" s="51">
        <f t="shared" si="1"/>
        <v>3.7462767010333943E-2</v>
      </c>
      <c r="K26" s="2">
        <f t="shared" si="2"/>
        <v>3.7462767010333943E-2</v>
      </c>
      <c r="L26" s="2" t="str">
        <f t="shared" si="3"/>
        <v>A</v>
      </c>
      <c r="M26" s="52"/>
    </row>
    <row r="27" spans="1:13" x14ac:dyDescent="0.3">
      <c r="A27" s="2" t="s">
        <v>729</v>
      </c>
      <c r="B27" s="2" t="s">
        <v>960</v>
      </c>
      <c r="C27" s="83">
        <v>30479.418970000002</v>
      </c>
      <c r="F27" s="50" t="s">
        <v>731</v>
      </c>
      <c r="G27" s="2" t="s">
        <v>1164</v>
      </c>
      <c r="H27" s="2">
        <v>58057.65</v>
      </c>
      <c r="I27" s="2">
        <f t="shared" si="0"/>
        <v>1273550.6519900002</v>
      </c>
      <c r="J27" s="51">
        <f t="shared" si="1"/>
        <v>4.5587232756923647E-2</v>
      </c>
      <c r="K27" s="2">
        <f t="shared" si="2"/>
        <v>4.5587232756923647E-2</v>
      </c>
      <c r="L27" s="2" t="str">
        <f t="shared" si="3"/>
        <v>A</v>
      </c>
      <c r="M27" s="52"/>
    </row>
    <row r="28" spans="1:13" x14ac:dyDescent="0.3">
      <c r="A28" s="2" t="s">
        <v>729</v>
      </c>
      <c r="B28" s="2" t="s">
        <v>1354</v>
      </c>
      <c r="C28" s="83">
        <v>30229.994880000002</v>
      </c>
      <c r="F28" s="50" t="s">
        <v>732</v>
      </c>
      <c r="G28" s="2" t="s">
        <v>1129</v>
      </c>
      <c r="H28" s="2">
        <v>56176.777799999996</v>
      </c>
      <c r="I28" s="2">
        <f t="shared" si="0"/>
        <v>1213167.1417799992</v>
      </c>
      <c r="J28" s="51">
        <f t="shared" si="1"/>
        <v>4.6305884708990351E-2</v>
      </c>
      <c r="K28" s="2">
        <f t="shared" si="2"/>
        <v>4.6305884708990351E-2</v>
      </c>
      <c r="L28" s="2" t="str">
        <f t="shared" si="3"/>
        <v>A</v>
      </c>
      <c r="M28" s="52"/>
    </row>
    <row r="29" spans="1:13" x14ac:dyDescent="0.3">
      <c r="A29" s="2" t="s">
        <v>729</v>
      </c>
      <c r="B29" s="2" t="s">
        <v>1282</v>
      </c>
      <c r="C29" s="83">
        <v>29673.454499999993</v>
      </c>
      <c r="F29" s="50" t="s">
        <v>728</v>
      </c>
      <c r="G29" s="2" t="s">
        <v>933</v>
      </c>
      <c r="H29" s="2">
        <v>55880.483749999999</v>
      </c>
      <c r="I29" s="2">
        <f t="shared" si="0"/>
        <v>1492558.2394599989</v>
      </c>
      <c r="J29" s="51">
        <f t="shared" si="1"/>
        <v>3.7439399195717357E-2</v>
      </c>
      <c r="K29" s="2">
        <f t="shared" si="2"/>
        <v>3.7439399195717357E-2</v>
      </c>
      <c r="L29" s="2" t="str">
        <f t="shared" si="3"/>
        <v>A</v>
      </c>
      <c r="M29" s="52"/>
    </row>
    <row r="30" spans="1:13" x14ac:dyDescent="0.3">
      <c r="A30" s="2" t="s">
        <v>729</v>
      </c>
      <c r="B30" s="2" t="s">
        <v>878</v>
      </c>
      <c r="C30" s="83">
        <v>25672.127039999999</v>
      </c>
      <c r="F30" s="50" t="s">
        <v>733</v>
      </c>
      <c r="G30" s="2" t="s">
        <v>1053</v>
      </c>
      <c r="H30" s="2">
        <v>53034.364139999991</v>
      </c>
      <c r="I30" s="2">
        <f t="shared" si="0"/>
        <v>1236204.8309100007</v>
      </c>
      <c r="J30" s="51">
        <f t="shared" si="1"/>
        <v>4.2900952021810247E-2</v>
      </c>
      <c r="K30" s="2">
        <f t="shared" si="2"/>
        <v>4.2900952021810247E-2</v>
      </c>
      <c r="L30" s="2" t="str">
        <f t="shared" si="3"/>
        <v>A</v>
      </c>
      <c r="M30" s="52"/>
    </row>
    <row r="31" spans="1:13" x14ac:dyDescent="0.3">
      <c r="A31" s="2" t="s">
        <v>729</v>
      </c>
      <c r="B31" s="2" t="s">
        <v>1230</v>
      </c>
      <c r="C31" s="83">
        <v>25249.613219999999</v>
      </c>
      <c r="F31" s="50" t="s">
        <v>730</v>
      </c>
      <c r="G31" s="2" t="s">
        <v>834</v>
      </c>
      <c r="H31" s="2">
        <v>52780.07</v>
      </c>
      <c r="I31" s="2">
        <f t="shared" si="0"/>
        <v>1330576.6497700003</v>
      </c>
      <c r="J31" s="51">
        <f t="shared" si="1"/>
        <v>3.966706465886307E-2</v>
      </c>
      <c r="K31" s="2">
        <f t="shared" si="2"/>
        <v>3.966706465886307E-2</v>
      </c>
      <c r="L31" s="2" t="str">
        <f t="shared" si="3"/>
        <v>A</v>
      </c>
      <c r="M31" s="52"/>
    </row>
    <row r="32" spans="1:13" x14ac:dyDescent="0.3">
      <c r="A32" s="2" t="s">
        <v>729</v>
      </c>
      <c r="B32" s="2" t="s">
        <v>1217</v>
      </c>
      <c r="C32" s="83">
        <v>21908.731650000002</v>
      </c>
      <c r="F32" s="50" t="s">
        <v>727</v>
      </c>
      <c r="G32" s="2" t="s">
        <v>1125</v>
      </c>
      <c r="H32" s="2">
        <v>52361.645000000004</v>
      </c>
      <c r="I32" s="2">
        <f t="shared" si="0"/>
        <v>1200746.6959099993</v>
      </c>
      <c r="J32" s="51">
        <f t="shared" si="1"/>
        <v>4.3607569505171237E-2</v>
      </c>
      <c r="K32" s="2">
        <f t="shared" si="2"/>
        <v>4.3607569505171237E-2</v>
      </c>
      <c r="L32" s="2" t="str">
        <f t="shared" si="3"/>
        <v>A</v>
      </c>
      <c r="M32" s="52"/>
    </row>
    <row r="33" spans="1:13" x14ac:dyDescent="0.3">
      <c r="A33" s="2" t="s">
        <v>729</v>
      </c>
      <c r="B33" s="2" t="s">
        <v>818</v>
      </c>
      <c r="C33" s="83">
        <v>21062.61248</v>
      </c>
      <c r="F33" s="50" t="s">
        <v>729</v>
      </c>
      <c r="G33" s="2" t="s">
        <v>1324</v>
      </c>
      <c r="H33" s="2">
        <v>51768.181920000003</v>
      </c>
      <c r="I33" s="2">
        <f t="shared" si="0"/>
        <v>1376467.4109000002</v>
      </c>
      <c r="J33" s="51">
        <f t="shared" si="1"/>
        <v>3.760944974799766E-2</v>
      </c>
      <c r="K33" s="2">
        <f t="shared" si="2"/>
        <v>3.760944974799766E-2</v>
      </c>
      <c r="L33" s="2" t="str">
        <f t="shared" si="3"/>
        <v>A</v>
      </c>
      <c r="M33" s="52"/>
    </row>
    <row r="34" spans="1:13" x14ac:dyDescent="0.3">
      <c r="A34" s="2" t="s">
        <v>729</v>
      </c>
      <c r="B34" s="2" t="s">
        <v>763</v>
      </c>
      <c r="C34" s="83">
        <v>20084.133720000002</v>
      </c>
      <c r="F34" s="50" t="s">
        <v>728</v>
      </c>
      <c r="G34" s="2" t="s">
        <v>1289</v>
      </c>
      <c r="H34" s="2">
        <v>50545.319219999998</v>
      </c>
      <c r="I34" s="2">
        <f t="shared" si="0"/>
        <v>1436677.7557099992</v>
      </c>
      <c r="J34" s="51">
        <f t="shared" si="1"/>
        <v>3.5182085209512236E-2</v>
      </c>
      <c r="K34" s="2">
        <f t="shared" si="2"/>
        <v>3.5182085209512236E-2</v>
      </c>
      <c r="L34" s="2" t="str">
        <f t="shared" si="3"/>
        <v>A</v>
      </c>
      <c r="M34" s="52"/>
    </row>
    <row r="35" spans="1:13" x14ac:dyDescent="0.3">
      <c r="A35" s="2" t="s">
        <v>729</v>
      </c>
      <c r="B35" s="2" t="s">
        <v>1021</v>
      </c>
      <c r="C35" s="83">
        <v>20028.787380000002</v>
      </c>
      <c r="F35" s="50" t="s">
        <v>727</v>
      </c>
      <c r="G35" s="2" t="s">
        <v>1245</v>
      </c>
      <c r="H35" s="2">
        <v>50296.415399999998</v>
      </c>
      <c r="I35" s="2">
        <f t="shared" si="0"/>
        <v>1148385.0509099991</v>
      </c>
      <c r="J35" s="51">
        <f t="shared" si="1"/>
        <v>4.3797518402163366E-2</v>
      </c>
      <c r="K35" s="2">
        <f t="shared" si="2"/>
        <v>4.3797518402163366E-2</v>
      </c>
      <c r="L35" s="2" t="str">
        <f t="shared" si="3"/>
        <v>A</v>
      </c>
      <c r="M35" s="52"/>
    </row>
    <row r="36" spans="1:13" x14ac:dyDescent="0.3">
      <c r="A36" s="2" t="s">
        <v>729</v>
      </c>
      <c r="B36" s="2" t="s">
        <v>755</v>
      </c>
      <c r="C36" s="83">
        <v>19903.585040000002</v>
      </c>
      <c r="F36" s="50" t="s">
        <v>729</v>
      </c>
      <c r="G36" s="2" t="s">
        <v>1356</v>
      </c>
      <c r="H36" s="2">
        <v>50090.397499999999</v>
      </c>
      <c r="I36" s="2">
        <f t="shared" si="0"/>
        <v>1324699.2289800004</v>
      </c>
      <c r="J36" s="51">
        <f t="shared" si="1"/>
        <v>3.7812656944451378E-2</v>
      </c>
      <c r="K36" s="2">
        <f t="shared" si="2"/>
        <v>3.7812656944451378E-2</v>
      </c>
      <c r="L36" s="2" t="str">
        <f t="shared" si="3"/>
        <v>A</v>
      </c>
      <c r="M36" s="52"/>
    </row>
    <row r="37" spans="1:13" x14ac:dyDescent="0.3">
      <c r="A37" s="2" t="s">
        <v>729</v>
      </c>
      <c r="B37" s="2" t="s">
        <v>1284</v>
      </c>
      <c r="C37" s="83">
        <v>18830.12472</v>
      </c>
      <c r="F37" s="50" t="s">
        <v>729</v>
      </c>
      <c r="G37" s="2" t="s">
        <v>1091</v>
      </c>
      <c r="H37" s="2">
        <v>49336.511399999996</v>
      </c>
      <c r="I37" s="2">
        <f t="shared" si="0"/>
        <v>1274608.8314800004</v>
      </c>
      <c r="J37" s="51">
        <f t="shared" si="1"/>
        <v>3.8707178376218655E-2</v>
      </c>
      <c r="K37" s="2">
        <f t="shared" si="2"/>
        <v>7.6519835320670027E-2</v>
      </c>
      <c r="L37" s="2" t="str">
        <f t="shared" si="3"/>
        <v>A</v>
      </c>
      <c r="M37" s="52"/>
    </row>
    <row r="38" spans="1:13" x14ac:dyDescent="0.3">
      <c r="A38" s="2" t="s">
        <v>729</v>
      </c>
      <c r="B38" s="2" t="s">
        <v>1346</v>
      </c>
      <c r="C38" s="83">
        <v>18500.693520000001</v>
      </c>
      <c r="F38" s="50" t="s">
        <v>729</v>
      </c>
      <c r="G38" s="2" t="s">
        <v>937</v>
      </c>
      <c r="H38" s="2">
        <v>47962.717579999997</v>
      </c>
      <c r="I38" s="2">
        <f t="shared" si="0"/>
        <v>1225272.3200800002</v>
      </c>
      <c r="J38" s="51">
        <f t="shared" si="1"/>
        <v>3.9144536927814076E-2</v>
      </c>
      <c r="K38" s="2">
        <f t="shared" si="2"/>
        <v>0.11566437224848411</v>
      </c>
      <c r="L38" s="2" t="str">
        <f t="shared" si="3"/>
        <v>A</v>
      </c>
      <c r="M38" s="52"/>
    </row>
    <row r="39" spans="1:13" x14ac:dyDescent="0.3">
      <c r="A39" s="2" t="s">
        <v>729</v>
      </c>
      <c r="B39" s="2" t="s">
        <v>1133</v>
      </c>
      <c r="C39" s="83">
        <v>17731.623</v>
      </c>
      <c r="F39" s="50" t="s">
        <v>729</v>
      </c>
      <c r="G39" s="2" t="s">
        <v>1116</v>
      </c>
      <c r="H39" s="2">
        <v>47693.373</v>
      </c>
      <c r="I39" s="2">
        <f t="shared" si="0"/>
        <v>1177309.6025000003</v>
      </c>
      <c r="J39" s="51">
        <f t="shared" si="1"/>
        <v>4.0510476512485585E-2</v>
      </c>
      <c r="K39" s="2">
        <f t="shared" si="2"/>
        <v>0.15617484876096971</v>
      </c>
      <c r="L39" s="2" t="str">
        <f t="shared" si="3"/>
        <v>A</v>
      </c>
      <c r="M39" s="52"/>
    </row>
    <row r="40" spans="1:13" x14ac:dyDescent="0.3">
      <c r="A40" s="2" t="s">
        <v>729</v>
      </c>
      <c r="B40" s="2" t="s">
        <v>1051</v>
      </c>
      <c r="C40" s="83">
        <v>16306.59375</v>
      </c>
      <c r="F40" s="50" t="s">
        <v>733</v>
      </c>
      <c r="G40" s="2" t="s">
        <v>1288</v>
      </c>
      <c r="H40" s="2">
        <v>46450.26</v>
      </c>
      <c r="I40" s="2">
        <f t="shared" si="0"/>
        <v>1183170.4667700005</v>
      </c>
      <c r="J40" s="51">
        <f t="shared" si="1"/>
        <v>3.9259144226957435E-2</v>
      </c>
      <c r="K40" s="2">
        <f t="shared" si="2"/>
        <v>3.9259144226957435E-2</v>
      </c>
      <c r="L40" s="2" t="str">
        <f t="shared" si="3"/>
        <v>A</v>
      </c>
      <c r="M40" s="52"/>
    </row>
    <row r="41" spans="1:13" x14ac:dyDescent="0.3">
      <c r="A41" s="2" t="s">
        <v>729</v>
      </c>
      <c r="B41" s="2" t="s">
        <v>863</v>
      </c>
      <c r="C41" s="83">
        <v>16071.44868</v>
      </c>
      <c r="F41" s="50" t="s">
        <v>732</v>
      </c>
      <c r="G41" s="2" t="s">
        <v>1181</v>
      </c>
      <c r="H41" s="2">
        <v>45547.183360000003</v>
      </c>
      <c r="I41" s="2">
        <f t="shared" si="0"/>
        <v>1156990.3639799994</v>
      </c>
      <c r="J41" s="51">
        <f t="shared" si="1"/>
        <v>3.9366951340302922E-2</v>
      </c>
      <c r="K41" s="2">
        <f t="shared" si="2"/>
        <v>3.9366951340302922E-2</v>
      </c>
      <c r="L41" s="2" t="str">
        <f t="shared" si="3"/>
        <v>A</v>
      </c>
      <c r="M41" s="52"/>
    </row>
    <row r="42" spans="1:13" x14ac:dyDescent="0.3">
      <c r="A42" s="2" t="s">
        <v>729</v>
      </c>
      <c r="B42" s="2" t="s">
        <v>1240</v>
      </c>
      <c r="C42" s="83">
        <v>15323.926799999999</v>
      </c>
      <c r="F42" s="50" t="s">
        <v>731</v>
      </c>
      <c r="G42" s="2" t="s">
        <v>1299</v>
      </c>
      <c r="H42" s="2">
        <v>44173.627960000005</v>
      </c>
      <c r="I42" s="2">
        <f t="shared" si="0"/>
        <v>1215493.00199</v>
      </c>
      <c r="J42" s="51">
        <f t="shared" si="1"/>
        <v>3.6342149142511826E-2</v>
      </c>
      <c r="K42" s="2">
        <f t="shared" si="2"/>
        <v>3.6342149142511826E-2</v>
      </c>
      <c r="L42" s="2" t="str">
        <f t="shared" si="3"/>
        <v>A</v>
      </c>
      <c r="M42" s="52"/>
    </row>
    <row r="43" spans="1:13" x14ac:dyDescent="0.3">
      <c r="A43" s="2" t="s">
        <v>729</v>
      </c>
      <c r="B43" s="2" t="s">
        <v>949</v>
      </c>
      <c r="C43" s="83">
        <v>15253.069799999999</v>
      </c>
      <c r="F43" s="50" t="s">
        <v>728</v>
      </c>
      <c r="G43" s="2" t="s">
        <v>1090</v>
      </c>
      <c r="H43" s="2">
        <v>43907.94</v>
      </c>
      <c r="I43" s="2">
        <f t="shared" si="0"/>
        <v>1386132.4364899991</v>
      </c>
      <c r="J43" s="51">
        <f t="shared" si="1"/>
        <v>3.1676583596286688E-2</v>
      </c>
      <c r="K43" s="2">
        <f t="shared" si="2"/>
        <v>3.1676583596286688E-2</v>
      </c>
      <c r="L43" s="2" t="str">
        <f t="shared" si="3"/>
        <v>A</v>
      </c>
      <c r="M43" s="52"/>
    </row>
    <row r="44" spans="1:13" x14ac:dyDescent="0.3">
      <c r="A44" s="2" t="s">
        <v>729</v>
      </c>
      <c r="B44" s="2" t="s">
        <v>1200</v>
      </c>
      <c r="C44" s="83">
        <v>14261.92439</v>
      </c>
      <c r="F44" s="50" t="s">
        <v>729</v>
      </c>
      <c r="G44" s="2" t="s">
        <v>1110</v>
      </c>
      <c r="H44" s="2">
        <v>43553.493060000001</v>
      </c>
      <c r="I44" s="2">
        <f t="shared" si="0"/>
        <v>1129616.2294999999</v>
      </c>
      <c r="J44" s="51">
        <f t="shared" si="1"/>
        <v>3.8556008600618287E-2</v>
      </c>
      <c r="K44" s="2">
        <f t="shared" si="2"/>
        <v>3.8556008600618287E-2</v>
      </c>
      <c r="L44" s="2" t="str">
        <f t="shared" si="3"/>
        <v>A</v>
      </c>
      <c r="M44" s="52"/>
    </row>
    <row r="45" spans="1:13" x14ac:dyDescent="0.3">
      <c r="A45" s="2" t="s">
        <v>729</v>
      </c>
      <c r="B45" s="2" t="s">
        <v>1309</v>
      </c>
      <c r="C45" s="83">
        <v>13882.6016</v>
      </c>
      <c r="F45" s="50" t="s">
        <v>728</v>
      </c>
      <c r="G45" s="2" t="s">
        <v>829</v>
      </c>
      <c r="H45" s="2">
        <v>43209.006119999991</v>
      </c>
      <c r="I45" s="2">
        <f t="shared" si="0"/>
        <v>1342224.4964899991</v>
      </c>
      <c r="J45" s="51">
        <f t="shared" si="1"/>
        <v>3.2192085774767364E-2</v>
      </c>
      <c r="K45" s="2">
        <f t="shared" si="2"/>
        <v>3.2192085774767364E-2</v>
      </c>
      <c r="L45" s="2" t="str">
        <f t="shared" si="3"/>
        <v>A</v>
      </c>
      <c r="M45" s="52"/>
    </row>
    <row r="46" spans="1:13" x14ac:dyDescent="0.3">
      <c r="A46" s="2" t="s">
        <v>729</v>
      </c>
      <c r="B46" s="2" t="s">
        <v>1015</v>
      </c>
      <c r="C46" s="83">
        <v>13360.438</v>
      </c>
      <c r="F46" s="50" t="s">
        <v>733</v>
      </c>
      <c r="G46" s="2" t="s">
        <v>1040</v>
      </c>
      <c r="H46" s="2">
        <v>43084.872000000003</v>
      </c>
      <c r="I46" s="2">
        <f t="shared" si="0"/>
        <v>1136720.2067700003</v>
      </c>
      <c r="J46" s="51">
        <f t="shared" si="1"/>
        <v>3.7902794147054018E-2</v>
      </c>
      <c r="K46" s="2">
        <f t="shared" si="2"/>
        <v>3.7902794147054018E-2</v>
      </c>
      <c r="L46" s="2" t="str">
        <f t="shared" si="3"/>
        <v>A</v>
      </c>
      <c r="M46" s="52"/>
    </row>
    <row r="47" spans="1:13" x14ac:dyDescent="0.3">
      <c r="A47" s="2" t="s">
        <v>729</v>
      </c>
      <c r="B47" s="2" t="s">
        <v>1114</v>
      </c>
      <c r="C47" s="83">
        <v>12881.097599999999</v>
      </c>
      <c r="F47" s="50" t="s">
        <v>730</v>
      </c>
      <c r="G47" s="2" t="s">
        <v>883</v>
      </c>
      <c r="H47" s="2">
        <v>42495.805439999996</v>
      </c>
      <c r="I47" s="2">
        <f t="shared" si="0"/>
        <v>1277796.5797700004</v>
      </c>
      <c r="J47" s="51">
        <f t="shared" si="1"/>
        <v>3.3257097501113296E-2</v>
      </c>
      <c r="K47" s="2">
        <f t="shared" si="2"/>
        <v>3.3257097501113296E-2</v>
      </c>
      <c r="L47" s="2" t="str">
        <f t="shared" si="3"/>
        <v>A</v>
      </c>
      <c r="M47" s="52"/>
    </row>
    <row r="48" spans="1:13" x14ac:dyDescent="0.3">
      <c r="A48" s="2" t="s">
        <v>729</v>
      </c>
      <c r="B48" s="2" t="s">
        <v>1308</v>
      </c>
      <c r="C48" s="83">
        <v>12091.190399999999</v>
      </c>
      <c r="F48" s="50" t="s">
        <v>731</v>
      </c>
      <c r="G48" s="2" t="s">
        <v>1267</v>
      </c>
      <c r="H48" s="2">
        <v>42433.254400000005</v>
      </c>
      <c r="I48" s="2">
        <f t="shared" si="0"/>
        <v>1171319.3740300003</v>
      </c>
      <c r="J48" s="51">
        <f t="shared" si="1"/>
        <v>3.6226886825926598E-2</v>
      </c>
      <c r="K48" s="2">
        <f t="shared" si="2"/>
        <v>3.6226886825926598E-2</v>
      </c>
      <c r="L48" s="2" t="str">
        <f t="shared" si="3"/>
        <v>A</v>
      </c>
      <c r="M48" s="52"/>
    </row>
    <row r="49" spans="1:13" x14ac:dyDescent="0.3">
      <c r="A49" s="2" t="s">
        <v>729</v>
      </c>
      <c r="B49" s="2" t="s">
        <v>857</v>
      </c>
      <c r="C49" s="83">
        <v>10817.3416</v>
      </c>
      <c r="F49" s="50" t="s">
        <v>731</v>
      </c>
      <c r="G49" s="2" t="s">
        <v>1211</v>
      </c>
      <c r="H49" s="2">
        <v>41914.215840000004</v>
      </c>
      <c r="I49" s="2">
        <f t="shared" si="0"/>
        <v>1128886.1196300003</v>
      </c>
      <c r="J49" s="51">
        <f t="shared" si="1"/>
        <v>3.7128825584052408E-2</v>
      </c>
      <c r="K49" s="2">
        <f t="shared" si="2"/>
        <v>7.3355712409979013E-2</v>
      </c>
      <c r="L49" s="2" t="str">
        <f t="shared" si="3"/>
        <v>A</v>
      </c>
      <c r="M49" s="52"/>
    </row>
    <row r="50" spans="1:13" x14ac:dyDescent="0.3">
      <c r="A50" s="2" t="s">
        <v>729</v>
      </c>
      <c r="B50" s="2" t="s">
        <v>1277</v>
      </c>
      <c r="C50" s="83">
        <v>10792.637119999999</v>
      </c>
      <c r="F50" s="50" t="s">
        <v>727</v>
      </c>
      <c r="G50" s="2" t="s">
        <v>1351</v>
      </c>
      <c r="H50" s="2">
        <v>41419.524249999995</v>
      </c>
      <c r="I50" s="2">
        <f t="shared" si="0"/>
        <v>1098088.6355099995</v>
      </c>
      <c r="J50" s="51">
        <f t="shared" si="1"/>
        <v>3.7719654780657114E-2</v>
      </c>
      <c r="K50" s="2">
        <f t="shared" si="2"/>
        <v>3.7719654780657114E-2</v>
      </c>
      <c r="L50" s="2" t="str">
        <f t="shared" si="3"/>
        <v>A</v>
      </c>
      <c r="M50" s="52"/>
    </row>
    <row r="51" spans="1:13" x14ac:dyDescent="0.3">
      <c r="A51" s="2" t="s">
        <v>729</v>
      </c>
      <c r="B51" s="2" t="s">
        <v>1348</v>
      </c>
      <c r="C51" s="83">
        <v>10786.32144</v>
      </c>
      <c r="F51" s="50" t="s">
        <v>730</v>
      </c>
      <c r="G51" s="2" t="s">
        <v>915</v>
      </c>
      <c r="H51" s="2">
        <v>41352.246200000009</v>
      </c>
      <c r="I51" s="2">
        <f t="shared" si="0"/>
        <v>1235300.7743300002</v>
      </c>
      <c r="J51" s="51">
        <f t="shared" si="1"/>
        <v>3.3475447485596013E-2</v>
      </c>
      <c r="K51" s="2">
        <f t="shared" si="2"/>
        <v>3.3475447485596013E-2</v>
      </c>
      <c r="L51" s="2" t="str">
        <f t="shared" si="3"/>
        <v>A</v>
      </c>
      <c r="M51" s="52"/>
    </row>
    <row r="52" spans="1:13" x14ac:dyDescent="0.3">
      <c r="A52" s="2" t="s">
        <v>729</v>
      </c>
      <c r="B52" s="2" t="s">
        <v>775</v>
      </c>
      <c r="C52" s="83">
        <v>10558.74</v>
      </c>
      <c r="F52" s="50" t="s">
        <v>730</v>
      </c>
      <c r="G52" s="2" t="s">
        <v>1162</v>
      </c>
      <c r="H52" s="2">
        <v>41138.261999999995</v>
      </c>
      <c r="I52" s="2">
        <f t="shared" si="0"/>
        <v>1193948.5281300005</v>
      </c>
      <c r="J52" s="51">
        <f t="shared" si="1"/>
        <v>3.4455641119162841E-2</v>
      </c>
      <c r="K52" s="2">
        <f t="shared" si="2"/>
        <v>6.7931088604758855E-2</v>
      </c>
      <c r="L52" s="2" t="str">
        <f t="shared" si="3"/>
        <v>A</v>
      </c>
      <c r="M52" s="52"/>
    </row>
    <row r="53" spans="1:13" x14ac:dyDescent="0.3">
      <c r="A53" s="2" t="s">
        <v>729</v>
      </c>
      <c r="B53" s="2" t="s">
        <v>1237</v>
      </c>
      <c r="C53" s="83">
        <v>10189.8891</v>
      </c>
      <c r="F53" s="50" t="s">
        <v>732</v>
      </c>
      <c r="G53" s="2" t="s">
        <v>774</v>
      </c>
      <c r="H53" s="2">
        <v>41106.800970000004</v>
      </c>
      <c r="I53" s="2">
        <f t="shared" si="0"/>
        <v>1111443.1806199995</v>
      </c>
      <c r="J53" s="51">
        <f t="shared" si="1"/>
        <v>3.6985067421142735E-2</v>
      </c>
      <c r="K53" s="2">
        <f t="shared" si="2"/>
        <v>3.6985067421142735E-2</v>
      </c>
      <c r="L53" s="2" t="str">
        <f t="shared" si="3"/>
        <v>A</v>
      </c>
      <c r="M53" s="52"/>
    </row>
    <row r="54" spans="1:13" x14ac:dyDescent="0.3">
      <c r="A54" s="2" t="s">
        <v>729</v>
      </c>
      <c r="B54" s="2" t="s">
        <v>1296</v>
      </c>
      <c r="C54" s="83">
        <v>10166.535600000001</v>
      </c>
      <c r="F54" s="50" t="s">
        <v>731</v>
      </c>
      <c r="G54" s="2" t="s">
        <v>1315</v>
      </c>
      <c r="H54" s="2">
        <v>40563.321749999996</v>
      </c>
      <c r="I54" s="2">
        <f t="shared" si="0"/>
        <v>1086971.9037900001</v>
      </c>
      <c r="J54" s="51">
        <f t="shared" si="1"/>
        <v>3.7317727908666089E-2</v>
      </c>
      <c r="K54" s="2">
        <f t="shared" si="2"/>
        <v>3.7317727908666089E-2</v>
      </c>
      <c r="L54" s="2" t="str">
        <f t="shared" si="3"/>
        <v>A</v>
      </c>
      <c r="M54" s="52"/>
    </row>
    <row r="55" spans="1:13" x14ac:dyDescent="0.3">
      <c r="A55" s="2" t="s">
        <v>729</v>
      </c>
      <c r="B55" s="2" t="s">
        <v>1251</v>
      </c>
      <c r="C55" s="83">
        <v>9807.7842799999999</v>
      </c>
      <c r="F55" s="50" t="s">
        <v>729</v>
      </c>
      <c r="G55" s="2" t="s">
        <v>1213</v>
      </c>
      <c r="H55" s="2">
        <v>40488.792960000006</v>
      </c>
      <c r="I55" s="2">
        <f t="shared" si="0"/>
        <v>1086062.7364400001</v>
      </c>
      <c r="J55" s="51">
        <f t="shared" si="1"/>
        <v>3.7280344497149426E-2</v>
      </c>
      <c r="K55" s="2">
        <f t="shared" si="2"/>
        <v>3.7280344497149426E-2</v>
      </c>
      <c r="L55" s="2" t="str">
        <f t="shared" si="3"/>
        <v>A</v>
      </c>
      <c r="M55" s="52"/>
    </row>
    <row r="56" spans="1:13" x14ac:dyDescent="0.3">
      <c r="A56" s="2" t="s">
        <v>729</v>
      </c>
      <c r="B56" s="2" t="s">
        <v>766</v>
      </c>
      <c r="C56" s="83">
        <v>9647.3852800000004</v>
      </c>
      <c r="F56" s="50" t="s">
        <v>727</v>
      </c>
      <c r="G56" s="2" t="s">
        <v>1361</v>
      </c>
      <c r="H56" s="2">
        <v>40476.013200000001</v>
      </c>
      <c r="I56" s="2">
        <f t="shared" si="0"/>
        <v>1056669.1112599999</v>
      </c>
      <c r="J56" s="51">
        <f t="shared" si="1"/>
        <v>3.83052866490394E-2</v>
      </c>
      <c r="K56" s="2">
        <f t="shared" si="2"/>
        <v>3.83052866490394E-2</v>
      </c>
      <c r="L56" s="2" t="str">
        <f t="shared" si="3"/>
        <v>A</v>
      </c>
      <c r="M56" s="52"/>
    </row>
    <row r="57" spans="1:13" x14ac:dyDescent="0.3">
      <c r="A57" s="2" t="s">
        <v>729</v>
      </c>
      <c r="B57" s="2" t="s">
        <v>807</v>
      </c>
      <c r="C57" s="83">
        <v>9373.460219999999</v>
      </c>
      <c r="F57" s="50" t="s">
        <v>728</v>
      </c>
      <c r="G57" s="2" t="s">
        <v>1047</v>
      </c>
      <c r="H57" s="2">
        <v>40325.31</v>
      </c>
      <c r="I57" s="2">
        <f t="shared" si="0"/>
        <v>1299015.4903699991</v>
      </c>
      <c r="J57" s="51">
        <f t="shared" si="1"/>
        <v>3.1042978547172001E-2</v>
      </c>
      <c r="K57" s="2">
        <f t="shared" si="2"/>
        <v>3.1042978547172001E-2</v>
      </c>
      <c r="L57" s="2" t="str">
        <f t="shared" si="3"/>
        <v>A</v>
      </c>
      <c r="M57" s="52"/>
    </row>
    <row r="58" spans="1:13" x14ac:dyDescent="0.3">
      <c r="A58" s="2" t="s">
        <v>729</v>
      </c>
      <c r="B58" s="2" t="s">
        <v>1263</v>
      </c>
      <c r="C58" s="83">
        <v>9262.0686600000008</v>
      </c>
      <c r="F58" s="50" t="s">
        <v>731</v>
      </c>
      <c r="G58" s="2" t="s">
        <v>998</v>
      </c>
      <c r="H58" s="2">
        <v>40139.874619999995</v>
      </c>
      <c r="I58" s="2">
        <f t="shared" si="0"/>
        <v>1046408.58204</v>
      </c>
      <c r="J58" s="51">
        <f t="shared" si="1"/>
        <v>3.835965731640531E-2</v>
      </c>
      <c r="K58" s="2">
        <f t="shared" si="2"/>
        <v>3.835965731640531E-2</v>
      </c>
      <c r="L58" s="2" t="str">
        <f t="shared" si="3"/>
        <v>A</v>
      </c>
      <c r="M58" s="52"/>
    </row>
    <row r="59" spans="1:13" x14ac:dyDescent="0.3">
      <c r="A59" s="2" t="s">
        <v>729</v>
      </c>
      <c r="B59" s="2" t="s">
        <v>889</v>
      </c>
      <c r="C59" s="83">
        <v>8909.6646800000017</v>
      </c>
      <c r="F59" s="50" t="s">
        <v>728</v>
      </c>
      <c r="G59" s="2" t="s">
        <v>1335</v>
      </c>
      <c r="H59" s="2">
        <v>39810.328000000001</v>
      </c>
      <c r="I59" s="2">
        <f t="shared" si="0"/>
        <v>1258690.180369999</v>
      </c>
      <c r="J59" s="51">
        <f t="shared" si="1"/>
        <v>3.1628377356767441E-2</v>
      </c>
      <c r="K59" s="2">
        <f t="shared" si="2"/>
        <v>3.1628377356767441E-2</v>
      </c>
      <c r="L59" s="2" t="str">
        <f t="shared" si="3"/>
        <v>A</v>
      </c>
      <c r="M59" s="52"/>
    </row>
    <row r="60" spans="1:13" x14ac:dyDescent="0.3">
      <c r="A60" s="2" t="s">
        <v>729</v>
      </c>
      <c r="B60" s="2" t="s">
        <v>1065</v>
      </c>
      <c r="C60" s="83">
        <v>8764.4065599999994</v>
      </c>
      <c r="F60" s="50" t="s">
        <v>729</v>
      </c>
      <c r="G60" s="2" t="s">
        <v>1036</v>
      </c>
      <c r="H60" s="2">
        <v>39686.4182</v>
      </c>
      <c r="I60" s="2">
        <f t="shared" si="0"/>
        <v>1045573.9434800001</v>
      </c>
      <c r="J60" s="51">
        <f t="shared" si="1"/>
        <v>3.7956586855933949E-2</v>
      </c>
      <c r="K60" s="2">
        <f t="shared" si="2"/>
        <v>3.7956586855933949E-2</v>
      </c>
      <c r="L60" s="2" t="str">
        <f t="shared" si="3"/>
        <v>A</v>
      </c>
      <c r="M60" s="52"/>
    </row>
    <row r="61" spans="1:13" x14ac:dyDescent="0.3">
      <c r="A61" s="2" t="s">
        <v>729</v>
      </c>
      <c r="B61" s="2" t="s">
        <v>1236</v>
      </c>
      <c r="C61" s="83">
        <v>8637.1874499999994</v>
      </c>
      <c r="F61" s="50" t="s">
        <v>729</v>
      </c>
      <c r="G61" s="2" t="s">
        <v>1056</v>
      </c>
      <c r="H61" s="2">
        <v>39546.774539999999</v>
      </c>
      <c r="I61" s="2">
        <f t="shared" si="0"/>
        <v>1005887.5252800002</v>
      </c>
      <c r="J61" s="51">
        <f t="shared" si="1"/>
        <v>3.9315304689748198E-2</v>
      </c>
      <c r="K61" s="2">
        <f t="shared" si="2"/>
        <v>7.7271891545682148E-2</v>
      </c>
      <c r="L61" s="2" t="str">
        <f t="shared" si="3"/>
        <v>A</v>
      </c>
      <c r="M61" s="52"/>
    </row>
    <row r="62" spans="1:13" x14ac:dyDescent="0.3">
      <c r="A62" s="2" t="s">
        <v>729</v>
      </c>
      <c r="B62" s="2" t="s">
        <v>932</v>
      </c>
      <c r="C62" s="83">
        <v>8349.2224200000001</v>
      </c>
      <c r="F62" s="50" t="s">
        <v>729</v>
      </c>
      <c r="G62" s="2" t="s">
        <v>854</v>
      </c>
      <c r="H62" s="2">
        <v>39516.804389999998</v>
      </c>
      <c r="I62" s="2">
        <f t="shared" si="0"/>
        <v>966340.75074000005</v>
      </c>
      <c r="J62" s="51">
        <f t="shared" si="1"/>
        <v>4.0893240153371362E-2</v>
      </c>
      <c r="K62" s="2">
        <f t="shared" si="2"/>
        <v>0.11816513169905352</v>
      </c>
      <c r="L62" s="2" t="str">
        <f t="shared" si="3"/>
        <v>A</v>
      </c>
      <c r="M62" s="52"/>
    </row>
    <row r="63" spans="1:13" x14ac:dyDescent="0.3">
      <c r="A63" s="2" t="s">
        <v>729</v>
      </c>
      <c r="B63" s="2" t="s">
        <v>824</v>
      </c>
      <c r="C63" s="83">
        <v>8324.8326000000015</v>
      </c>
      <c r="F63" s="50" t="s">
        <v>731</v>
      </c>
      <c r="G63" s="2" t="s">
        <v>753</v>
      </c>
      <c r="H63" s="2">
        <v>39263.702919999996</v>
      </c>
      <c r="I63" s="2">
        <f t="shared" si="0"/>
        <v>1006268.7074200001</v>
      </c>
      <c r="J63" s="51">
        <f t="shared" si="1"/>
        <v>3.9019103575892049E-2</v>
      </c>
      <c r="K63" s="2">
        <f t="shared" si="2"/>
        <v>3.9019103575892049E-2</v>
      </c>
      <c r="L63" s="2" t="str">
        <f t="shared" si="3"/>
        <v>A</v>
      </c>
      <c r="M63" s="52"/>
    </row>
    <row r="64" spans="1:13" x14ac:dyDescent="0.3">
      <c r="A64" s="2" t="s">
        <v>729</v>
      </c>
      <c r="B64" s="2" t="s">
        <v>996</v>
      </c>
      <c r="C64" s="83">
        <v>8186.057600000001</v>
      </c>
      <c r="F64" s="50" t="s">
        <v>732</v>
      </c>
      <c r="G64" s="2" t="s">
        <v>1000</v>
      </c>
      <c r="H64" s="2">
        <v>38818.760160000005</v>
      </c>
      <c r="I64" s="2">
        <f t="shared" si="0"/>
        <v>1070336.3796499998</v>
      </c>
      <c r="J64" s="51">
        <f t="shared" si="1"/>
        <v>3.6267813463178505E-2</v>
      </c>
      <c r="K64" s="2">
        <f t="shared" si="2"/>
        <v>3.6267813463178505E-2</v>
      </c>
      <c r="L64" s="2" t="str">
        <f t="shared" si="3"/>
        <v>A</v>
      </c>
      <c r="M64" s="52"/>
    </row>
    <row r="65" spans="1:13" x14ac:dyDescent="0.3">
      <c r="A65" s="2" t="s">
        <v>729</v>
      </c>
      <c r="B65" s="2" t="s">
        <v>1269</v>
      </c>
      <c r="C65" s="83">
        <v>7823.4472399999995</v>
      </c>
      <c r="F65" s="50" t="s">
        <v>728</v>
      </c>
      <c r="G65" s="2" t="s">
        <v>1071</v>
      </c>
      <c r="H65" s="2">
        <v>38535.955099999999</v>
      </c>
      <c r="I65" s="2">
        <f t="shared" si="0"/>
        <v>1218879.8523699993</v>
      </c>
      <c r="J65" s="51">
        <f t="shared" si="1"/>
        <v>3.161587667978135E-2</v>
      </c>
      <c r="K65" s="2">
        <f t="shared" si="2"/>
        <v>3.161587667978135E-2</v>
      </c>
      <c r="L65" s="2" t="str">
        <f t="shared" si="3"/>
        <v>A</v>
      </c>
      <c r="M65" s="52"/>
    </row>
    <row r="66" spans="1:13" x14ac:dyDescent="0.3">
      <c r="A66" s="2" t="s">
        <v>729</v>
      </c>
      <c r="B66" s="2" t="s">
        <v>1055</v>
      </c>
      <c r="C66" s="83">
        <v>7493.1076000000012</v>
      </c>
      <c r="F66" s="50" t="s">
        <v>730</v>
      </c>
      <c r="G66" s="2" t="s">
        <v>1109</v>
      </c>
      <c r="H66" s="2">
        <v>38422.022320000004</v>
      </c>
      <c r="I66" s="2">
        <f t="shared" si="0"/>
        <v>1152810.2661300004</v>
      </c>
      <c r="J66" s="51">
        <f t="shared" si="1"/>
        <v>3.3329007772443985E-2</v>
      </c>
      <c r="K66" s="2">
        <f t="shared" si="2"/>
        <v>3.3329007772443985E-2</v>
      </c>
      <c r="L66" s="2" t="str">
        <f t="shared" si="3"/>
        <v>A</v>
      </c>
      <c r="M66" s="52"/>
    </row>
    <row r="67" spans="1:13" x14ac:dyDescent="0.3">
      <c r="A67" s="2" t="s">
        <v>729</v>
      </c>
      <c r="B67" s="2" t="s">
        <v>890</v>
      </c>
      <c r="C67" s="83">
        <v>7203.8047000000006</v>
      </c>
      <c r="F67" s="50" t="s">
        <v>733</v>
      </c>
      <c r="G67" s="2" t="s">
        <v>752</v>
      </c>
      <c r="H67" s="2">
        <v>38096.18406</v>
      </c>
      <c r="I67" s="2">
        <f t="shared" si="0"/>
        <v>1093635.3347700003</v>
      </c>
      <c r="J67" s="51">
        <f t="shared" si="1"/>
        <v>3.4834448786360689E-2</v>
      </c>
      <c r="K67" s="2">
        <f t="shared" si="2"/>
        <v>3.4834448786360689E-2</v>
      </c>
      <c r="L67" s="2" t="str">
        <f t="shared" si="3"/>
        <v>A</v>
      </c>
      <c r="M67" s="52"/>
    </row>
    <row r="68" spans="1:13" x14ac:dyDescent="0.3">
      <c r="A68" s="2" t="s">
        <v>729</v>
      </c>
      <c r="B68" s="2" t="s">
        <v>1112</v>
      </c>
      <c r="C68" s="83">
        <v>6576.298960000001</v>
      </c>
      <c r="F68" s="50" t="s">
        <v>728</v>
      </c>
      <c r="G68" s="2" t="s">
        <v>1115</v>
      </c>
      <c r="H68" s="2">
        <v>37562.28</v>
      </c>
      <c r="I68" s="2">
        <f t="shared" ref="I68:I131" si="4">SUMIF(F68:F696, F68, H68:H696)</f>
        <v>1180343.8972699996</v>
      </c>
      <c r="J68" s="51">
        <f t="shared" ref="J68:J131" si="5">H68/I68</f>
        <v>3.1823166186462484E-2</v>
      </c>
      <c r="K68" s="2">
        <f t="shared" si="2"/>
        <v>3.1823166186462484E-2</v>
      </c>
      <c r="L68" s="2" t="str">
        <f t="shared" si="3"/>
        <v>A</v>
      </c>
      <c r="M68" s="52"/>
    </row>
    <row r="69" spans="1:13" x14ac:dyDescent="0.3">
      <c r="A69" s="2" t="s">
        <v>729</v>
      </c>
      <c r="B69" s="2" t="s">
        <v>1169</v>
      </c>
      <c r="C69" s="83">
        <v>5546.4642200000008</v>
      </c>
      <c r="F69" s="50" t="s">
        <v>730</v>
      </c>
      <c r="G69" s="2" t="s">
        <v>970</v>
      </c>
      <c r="H69" s="2">
        <v>37038.581760000001</v>
      </c>
      <c r="I69" s="2">
        <f t="shared" si="4"/>
        <v>1114388.2438100001</v>
      </c>
      <c r="J69" s="51">
        <f t="shared" si="5"/>
        <v>3.3236694631099295E-2</v>
      </c>
      <c r="K69" s="2">
        <f t="shared" ref="K69:K132" si="6">IF(F69=F68, K68+J69, J69)</f>
        <v>3.3236694631099295E-2</v>
      </c>
      <c r="L69" s="2" t="str">
        <f t="shared" ref="L69:L132" si="7">IF(K69&lt;=0.8,"A", IF(K69&lt;=0.95,"B","C"))</f>
        <v>A</v>
      </c>
      <c r="M69" s="52"/>
    </row>
    <row r="70" spans="1:13" x14ac:dyDescent="0.3">
      <c r="A70" s="2" t="s">
        <v>729</v>
      </c>
      <c r="B70" s="2" t="s">
        <v>832</v>
      </c>
      <c r="C70" s="83">
        <v>5328.4890400000004</v>
      </c>
      <c r="F70" s="50" t="s">
        <v>728</v>
      </c>
      <c r="G70" s="2" t="s">
        <v>1204</v>
      </c>
      <c r="H70" s="2">
        <v>36549.429260000004</v>
      </c>
      <c r="I70" s="2">
        <f t="shared" si="4"/>
        <v>1142781.6172699998</v>
      </c>
      <c r="J70" s="51">
        <f t="shared" si="5"/>
        <v>3.198286418652168E-2</v>
      </c>
      <c r="K70" s="2">
        <f t="shared" si="6"/>
        <v>3.198286418652168E-2</v>
      </c>
      <c r="L70" s="2" t="str">
        <f t="shared" si="7"/>
        <v>A</v>
      </c>
      <c r="M70" s="52"/>
    </row>
    <row r="71" spans="1:13" x14ac:dyDescent="0.3">
      <c r="A71" s="2" t="s">
        <v>729</v>
      </c>
      <c r="B71" s="2" t="s">
        <v>1311</v>
      </c>
      <c r="C71" s="83">
        <v>4280.6786400000001</v>
      </c>
      <c r="F71" s="50" t="s">
        <v>731</v>
      </c>
      <c r="G71" s="2" t="s">
        <v>1215</v>
      </c>
      <c r="H71" s="2">
        <v>36161.097000000002</v>
      </c>
      <c r="I71" s="2">
        <f t="shared" si="4"/>
        <v>967005.00450000016</v>
      </c>
      <c r="J71" s="51">
        <f t="shared" si="5"/>
        <v>3.7394942975189117E-2</v>
      </c>
      <c r="K71" s="2">
        <f t="shared" si="6"/>
        <v>3.7394942975189117E-2</v>
      </c>
      <c r="L71" s="2" t="str">
        <f t="shared" si="7"/>
        <v>A</v>
      </c>
      <c r="M71" s="52"/>
    </row>
    <row r="72" spans="1:13" x14ac:dyDescent="0.3">
      <c r="A72" s="2" t="s">
        <v>729</v>
      </c>
      <c r="B72" s="2" t="s">
        <v>928</v>
      </c>
      <c r="C72" s="83">
        <v>3928.3797600000003</v>
      </c>
      <c r="F72" s="50" t="s">
        <v>729</v>
      </c>
      <c r="G72" s="2" t="s">
        <v>782</v>
      </c>
      <c r="H72" s="2">
        <v>35621.302319999995</v>
      </c>
      <c r="I72" s="2">
        <f t="shared" si="4"/>
        <v>926823.9463500001</v>
      </c>
      <c r="J72" s="51">
        <f t="shared" si="5"/>
        <v>3.8433731088070293E-2</v>
      </c>
      <c r="K72" s="2">
        <f t="shared" si="6"/>
        <v>3.8433731088070293E-2</v>
      </c>
      <c r="L72" s="2" t="str">
        <f t="shared" si="7"/>
        <v>A</v>
      </c>
      <c r="M72" s="52"/>
    </row>
    <row r="73" spans="1:13" x14ac:dyDescent="0.3">
      <c r="A73" s="2" t="s">
        <v>729</v>
      </c>
      <c r="B73" s="2" t="s">
        <v>1041</v>
      </c>
      <c r="C73" s="83">
        <v>3644.3212800000006</v>
      </c>
      <c r="F73" s="50" t="s">
        <v>728</v>
      </c>
      <c r="G73" s="2" t="s">
        <v>872</v>
      </c>
      <c r="H73" s="2">
        <v>35567.737920000007</v>
      </c>
      <c r="I73" s="2">
        <f t="shared" si="4"/>
        <v>1106232.1880099997</v>
      </c>
      <c r="J73" s="51">
        <f t="shared" si="5"/>
        <v>3.2152145187515094E-2</v>
      </c>
      <c r="K73" s="2">
        <f t="shared" si="6"/>
        <v>3.2152145187515094E-2</v>
      </c>
      <c r="L73" s="2" t="str">
        <f t="shared" si="7"/>
        <v>A</v>
      </c>
      <c r="M73" s="52"/>
    </row>
    <row r="74" spans="1:13" x14ac:dyDescent="0.3">
      <c r="A74" s="2" t="s">
        <v>729</v>
      </c>
      <c r="B74" s="2" t="s">
        <v>982</v>
      </c>
      <c r="C74" s="83">
        <v>3592.04</v>
      </c>
      <c r="F74" s="50" t="s">
        <v>733</v>
      </c>
      <c r="G74" s="2" t="s">
        <v>810</v>
      </c>
      <c r="H74" s="2">
        <v>35396.277799999996</v>
      </c>
      <c r="I74" s="2">
        <f t="shared" si="4"/>
        <v>1055539.1507100007</v>
      </c>
      <c r="J74" s="51">
        <f t="shared" si="5"/>
        <v>3.3533836974394507E-2</v>
      </c>
      <c r="K74" s="2">
        <f t="shared" si="6"/>
        <v>3.3533836974394507E-2</v>
      </c>
      <c r="L74" s="2" t="str">
        <f t="shared" si="7"/>
        <v>A</v>
      </c>
      <c r="M74" s="52"/>
    </row>
    <row r="75" spans="1:13" x14ac:dyDescent="0.3">
      <c r="A75" s="2" t="s">
        <v>729</v>
      </c>
      <c r="B75" s="2" t="s">
        <v>1272</v>
      </c>
      <c r="C75" s="83">
        <v>3340.6370000000002</v>
      </c>
      <c r="F75" s="50" t="s">
        <v>730</v>
      </c>
      <c r="G75" s="2" t="s">
        <v>751</v>
      </c>
      <c r="H75" s="2">
        <v>35367.211040000002</v>
      </c>
      <c r="I75" s="2">
        <f t="shared" si="4"/>
        <v>1077349.6620500002</v>
      </c>
      <c r="J75" s="51">
        <f t="shared" si="5"/>
        <v>3.2827978033336591E-2</v>
      </c>
      <c r="K75" s="2">
        <f t="shared" si="6"/>
        <v>3.2827978033336591E-2</v>
      </c>
      <c r="L75" s="2" t="str">
        <f t="shared" si="7"/>
        <v>A</v>
      </c>
      <c r="M75" s="52"/>
    </row>
    <row r="76" spans="1:13" x14ac:dyDescent="0.3">
      <c r="A76" s="2" t="s">
        <v>729</v>
      </c>
      <c r="B76" s="2" t="s">
        <v>1078</v>
      </c>
      <c r="C76" s="83">
        <v>3175.1547799999998</v>
      </c>
      <c r="F76" s="50" t="s">
        <v>733</v>
      </c>
      <c r="G76" s="2" t="s">
        <v>1094</v>
      </c>
      <c r="H76" s="2">
        <v>35167.7448</v>
      </c>
      <c r="I76" s="2">
        <f t="shared" si="4"/>
        <v>1020142.8729100003</v>
      </c>
      <c r="J76" s="51">
        <f t="shared" si="5"/>
        <v>3.4473352442959813E-2</v>
      </c>
      <c r="K76" s="2">
        <f t="shared" si="6"/>
        <v>3.4473352442959813E-2</v>
      </c>
      <c r="L76" s="2" t="str">
        <f t="shared" si="7"/>
        <v>A</v>
      </c>
      <c r="M76" s="52"/>
    </row>
    <row r="77" spans="1:13" x14ac:dyDescent="0.3">
      <c r="A77" s="2" t="s">
        <v>729</v>
      </c>
      <c r="B77" s="2" t="s">
        <v>1172</v>
      </c>
      <c r="C77" s="83">
        <v>2795.6384399999997</v>
      </c>
      <c r="F77" s="50" t="s">
        <v>730</v>
      </c>
      <c r="G77" s="2" t="s">
        <v>1012</v>
      </c>
      <c r="H77" s="2">
        <v>34840.344000000005</v>
      </c>
      <c r="I77" s="2">
        <f t="shared" si="4"/>
        <v>1041982.4510099998</v>
      </c>
      <c r="J77" s="51">
        <f t="shared" si="5"/>
        <v>3.3436593837284929E-2</v>
      </c>
      <c r="K77" s="2">
        <f t="shared" si="6"/>
        <v>3.3436593837284929E-2</v>
      </c>
      <c r="L77" s="2" t="str">
        <f t="shared" si="7"/>
        <v>A</v>
      </c>
      <c r="M77" s="52"/>
    </row>
    <row r="78" spans="1:13" x14ac:dyDescent="0.3">
      <c r="A78" s="2" t="s">
        <v>729</v>
      </c>
      <c r="B78" s="2" t="s">
        <v>991</v>
      </c>
      <c r="C78" s="83">
        <v>2394.1605599999998</v>
      </c>
      <c r="F78" s="50" t="s">
        <v>729</v>
      </c>
      <c r="G78" s="2" t="s">
        <v>1087</v>
      </c>
      <c r="H78" s="2">
        <v>34816.968000000001</v>
      </c>
      <c r="I78" s="2">
        <f t="shared" si="4"/>
        <v>891202.64403000008</v>
      </c>
      <c r="J78" s="51">
        <f t="shared" si="5"/>
        <v>3.906739755905389E-2</v>
      </c>
      <c r="K78" s="2">
        <f t="shared" si="6"/>
        <v>3.906739755905389E-2</v>
      </c>
      <c r="L78" s="2" t="str">
        <f t="shared" si="7"/>
        <v>A</v>
      </c>
      <c r="M78" s="52"/>
    </row>
    <row r="79" spans="1:13" x14ac:dyDescent="0.3">
      <c r="A79" s="2" t="s">
        <v>729</v>
      </c>
      <c r="B79" s="2" t="s">
        <v>1353</v>
      </c>
      <c r="C79" s="83">
        <v>2355.2113199999999</v>
      </c>
      <c r="F79" s="50" t="s">
        <v>730</v>
      </c>
      <c r="G79" s="2" t="s">
        <v>1239</v>
      </c>
      <c r="H79" s="2">
        <v>34800.431400000001</v>
      </c>
      <c r="I79" s="2">
        <f t="shared" si="4"/>
        <v>1007142.1070099999</v>
      </c>
      <c r="J79" s="51">
        <f t="shared" si="5"/>
        <v>3.4553645565783567E-2</v>
      </c>
      <c r="K79" s="2">
        <f t="shared" si="6"/>
        <v>3.4553645565783567E-2</v>
      </c>
      <c r="L79" s="2" t="str">
        <f t="shared" si="7"/>
        <v>A</v>
      </c>
      <c r="M79" s="52"/>
    </row>
    <row r="80" spans="1:13" x14ac:dyDescent="0.3">
      <c r="A80" s="2" t="s">
        <v>729</v>
      </c>
      <c r="B80" s="2" t="s">
        <v>1167</v>
      </c>
      <c r="C80" s="83">
        <v>1950.0031200000001</v>
      </c>
      <c r="F80" s="50" t="s">
        <v>732</v>
      </c>
      <c r="G80" s="2" t="s">
        <v>1006</v>
      </c>
      <c r="H80" s="2">
        <v>34632.106319999999</v>
      </c>
      <c r="I80" s="2">
        <f t="shared" si="4"/>
        <v>1031517.6194900003</v>
      </c>
      <c r="J80" s="51">
        <f t="shared" si="5"/>
        <v>3.3573935787081073E-2</v>
      </c>
      <c r="K80" s="2">
        <f t="shared" si="6"/>
        <v>3.3573935787081073E-2</v>
      </c>
      <c r="L80" s="2" t="str">
        <f t="shared" si="7"/>
        <v>A</v>
      </c>
      <c r="M80" s="52"/>
    </row>
    <row r="81" spans="1:13" x14ac:dyDescent="0.3">
      <c r="A81" s="2" t="s">
        <v>729</v>
      </c>
      <c r="B81" s="2" t="s">
        <v>1196</v>
      </c>
      <c r="C81" s="83">
        <v>1886.9915999999998</v>
      </c>
      <c r="F81" s="50" t="s">
        <v>728</v>
      </c>
      <c r="G81" s="2" t="s">
        <v>783</v>
      </c>
      <c r="H81" s="2">
        <v>34444.462359999998</v>
      </c>
      <c r="I81" s="2">
        <f t="shared" si="4"/>
        <v>1070664.4500900002</v>
      </c>
      <c r="J81" s="51">
        <f t="shared" si="5"/>
        <v>3.2171108657903597E-2</v>
      </c>
      <c r="K81" s="2">
        <f t="shared" si="6"/>
        <v>3.2171108657903597E-2</v>
      </c>
      <c r="L81" s="2" t="str">
        <f t="shared" si="7"/>
        <v>A</v>
      </c>
      <c r="M81" s="52"/>
    </row>
    <row r="82" spans="1:13" x14ac:dyDescent="0.3">
      <c r="A82" s="2" t="s">
        <v>729</v>
      </c>
      <c r="B82" s="2" t="s">
        <v>842</v>
      </c>
      <c r="C82" s="83">
        <v>1660.3999999999999</v>
      </c>
      <c r="F82" s="50" t="s">
        <v>729</v>
      </c>
      <c r="G82" s="2" t="s">
        <v>1301</v>
      </c>
      <c r="H82" s="2">
        <v>34307.159999999996</v>
      </c>
      <c r="I82" s="2">
        <f t="shared" si="4"/>
        <v>856385.67603000021</v>
      </c>
      <c r="J82" s="51">
        <f t="shared" si="5"/>
        <v>4.0060408482121994E-2</v>
      </c>
      <c r="K82" s="2">
        <f t="shared" si="6"/>
        <v>4.0060408482121994E-2</v>
      </c>
      <c r="L82" s="2" t="str">
        <f t="shared" si="7"/>
        <v>A</v>
      </c>
      <c r="M82" s="52"/>
    </row>
    <row r="83" spans="1:13" x14ac:dyDescent="0.3">
      <c r="A83" s="2" t="s">
        <v>729</v>
      </c>
      <c r="B83" s="2" t="s">
        <v>848</v>
      </c>
      <c r="C83" s="83">
        <v>1499.22</v>
      </c>
      <c r="F83" s="50" t="s">
        <v>733</v>
      </c>
      <c r="G83" s="2" t="s">
        <v>831</v>
      </c>
      <c r="H83" s="2">
        <v>34139.159999999996</v>
      </c>
      <c r="I83" s="2">
        <f t="shared" si="4"/>
        <v>984975.12811000028</v>
      </c>
      <c r="J83" s="51">
        <f t="shared" si="5"/>
        <v>3.4659920870801317E-2</v>
      </c>
      <c r="K83" s="2">
        <f t="shared" si="6"/>
        <v>3.4659920870801317E-2</v>
      </c>
      <c r="L83" s="2" t="str">
        <f t="shared" si="7"/>
        <v>A</v>
      </c>
      <c r="M83" s="52"/>
    </row>
    <row r="84" spans="1:13" x14ac:dyDescent="0.3">
      <c r="A84" s="2" t="s">
        <v>729</v>
      </c>
      <c r="B84" s="2" t="s">
        <v>1075</v>
      </c>
      <c r="C84" s="83">
        <v>1115.1975999999997</v>
      </c>
      <c r="F84" s="50" t="s">
        <v>731</v>
      </c>
      <c r="G84" s="2" t="s">
        <v>976</v>
      </c>
      <c r="H84" s="2">
        <v>34082.864639999993</v>
      </c>
      <c r="I84" s="2">
        <f t="shared" si="4"/>
        <v>930843.9075000002</v>
      </c>
      <c r="J84" s="51">
        <f t="shared" si="5"/>
        <v>3.6615016078837027E-2</v>
      </c>
      <c r="K84" s="2">
        <f t="shared" si="6"/>
        <v>3.6615016078837027E-2</v>
      </c>
      <c r="L84" s="2" t="str">
        <f t="shared" si="7"/>
        <v>A</v>
      </c>
      <c r="M84" s="52"/>
    </row>
    <row r="85" spans="1:13" x14ac:dyDescent="0.3">
      <c r="A85" s="2" t="s">
        <v>729</v>
      </c>
      <c r="B85" s="2" t="s">
        <v>1334</v>
      </c>
      <c r="C85" s="83">
        <v>1062.5902000000001</v>
      </c>
      <c r="F85" s="50" t="s">
        <v>731</v>
      </c>
      <c r="G85" s="2" t="s">
        <v>1332</v>
      </c>
      <c r="H85" s="2">
        <v>33938.142760000002</v>
      </c>
      <c r="I85" s="2">
        <f t="shared" si="4"/>
        <v>896761.04286000016</v>
      </c>
      <c r="J85" s="51">
        <f t="shared" si="5"/>
        <v>3.7845246546128489E-2</v>
      </c>
      <c r="K85" s="2">
        <f t="shared" si="6"/>
        <v>7.4460262624965523E-2</v>
      </c>
      <c r="L85" s="2" t="str">
        <f t="shared" si="7"/>
        <v>A</v>
      </c>
      <c r="M85" s="52"/>
    </row>
    <row r="86" spans="1:13" x14ac:dyDescent="0.3">
      <c r="A86" s="2" t="s">
        <v>729</v>
      </c>
      <c r="B86" s="2" t="s">
        <v>1045</v>
      </c>
      <c r="C86" s="83">
        <v>879.05840000000001</v>
      </c>
      <c r="F86" s="50" t="s">
        <v>727</v>
      </c>
      <c r="G86" s="2" t="s">
        <v>794</v>
      </c>
      <c r="H86" s="2">
        <v>33687.501800000005</v>
      </c>
      <c r="I86" s="2">
        <f t="shared" si="4"/>
        <v>1016193.0980599999</v>
      </c>
      <c r="J86" s="51">
        <f t="shared" si="5"/>
        <v>3.3150689435218907E-2</v>
      </c>
      <c r="K86" s="2">
        <f t="shared" si="6"/>
        <v>3.3150689435218907E-2</v>
      </c>
      <c r="L86" s="2" t="str">
        <f t="shared" si="7"/>
        <v>A</v>
      </c>
      <c r="M86" s="52"/>
    </row>
    <row r="87" spans="1:13" x14ac:dyDescent="0.3">
      <c r="A87" s="2" t="s">
        <v>729</v>
      </c>
      <c r="B87" s="2" t="s">
        <v>736</v>
      </c>
      <c r="C87" s="83">
        <v>319.72248000000002</v>
      </c>
      <c r="F87" s="50" t="s">
        <v>730</v>
      </c>
      <c r="G87" s="2" t="s">
        <v>1287</v>
      </c>
      <c r="H87" s="2">
        <v>33551.927499999998</v>
      </c>
      <c r="I87" s="2">
        <f t="shared" si="4"/>
        <v>972341.6756099998</v>
      </c>
      <c r="J87" s="51">
        <f t="shared" si="5"/>
        <v>3.4506314335391572E-2</v>
      </c>
      <c r="K87" s="2">
        <f t="shared" si="6"/>
        <v>3.4506314335391572E-2</v>
      </c>
      <c r="L87" s="2" t="str">
        <f t="shared" si="7"/>
        <v>A</v>
      </c>
      <c r="M87" s="52"/>
    </row>
    <row r="88" spans="1:13" x14ac:dyDescent="0.3">
      <c r="A88" s="2" t="s">
        <v>729</v>
      </c>
      <c r="B88" s="2" t="s">
        <v>788</v>
      </c>
      <c r="C88" s="83">
        <v>215.19839999999996</v>
      </c>
      <c r="F88" s="50" t="s">
        <v>728</v>
      </c>
      <c r="G88" s="2" t="s">
        <v>1262</v>
      </c>
      <c r="H88" s="2">
        <v>33421.1</v>
      </c>
      <c r="I88" s="2">
        <f t="shared" si="4"/>
        <v>1036219.9877299997</v>
      </c>
      <c r="J88" s="51">
        <f t="shared" si="5"/>
        <v>3.2252900345238554E-2</v>
      </c>
      <c r="K88" s="2">
        <f t="shared" si="6"/>
        <v>3.2252900345238554E-2</v>
      </c>
      <c r="L88" s="2" t="str">
        <f t="shared" si="7"/>
        <v>A</v>
      </c>
      <c r="M88" s="52"/>
    </row>
    <row r="89" spans="1:13" x14ac:dyDescent="0.3">
      <c r="A89" s="2" t="s">
        <v>729</v>
      </c>
      <c r="B89" s="2" t="s">
        <v>846</v>
      </c>
      <c r="C89" s="83">
        <v>34.689059999999998</v>
      </c>
      <c r="F89" s="50" t="s">
        <v>727</v>
      </c>
      <c r="G89" s="2" t="s">
        <v>1247</v>
      </c>
      <c r="H89" s="2">
        <v>33308.550000000003</v>
      </c>
      <c r="I89" s="2">
        <f t="shared" si="4"/>
        <v>982505.5962599999</v>
      </c>
      <c r="J89" s="51">
        <f t="shared" si="5"/>
        <v>3.3901638959403527E-2</v>
      </c>
      <c r="K89" s="2">
        <f t="shared" si="6"/>
        <v>3.3901638959403527E-2</v>
      </c>
      <c r="L89" s="2" t="str">
        <f t="shared" si="7"/>
        <v>A</v>
      </c>
      <c r="M89" s="52"/>
    </row>
    <row r="90" spans="1:13" x14ac:dyDescent="0.3">
      <c r="A90" s="2" t="s">
        <v>731</v>
      </c>
      <c r="B90" s="2" t="s">
        <v>1155</v>
      </c>
      <c r="C90" s="83">
        <v>102122.94203999999</v>
      </c>
      <c r="F90" s="50" t="s">
        <v>729</v>
      </c>
      <c r="G90" s="2" t="s">
        <v>1113</v>
      </c>
      <c r="H90" s="2">
        <v>33200.038079999998</v>
      </c>
      <c r="I90" s="2">
        <f t="shared" si="4"/>
        <v>822078.51603000006</v>
      </c>
      <c r="J90" s="51">
        <f t="shared" si="5"/>
        <v>4.0385483177848222E-2</v>
      </c>
      <c r="K90" s="2">
        <f t="shared" si="6"/>
        <v>4.0385483177848222E-2</v>
      </c>
      <c r="L90" s="2" t="str">
        <f t="shared" si="7"/>
        <v>A</v>
      </c>
      <c r="M90" s="52"/>
    </row>
    <row r="91" spans="1:13" x14ac:dyDescent="0.3">
      <c r="A91" s="2" t="s">
        <v>731</v>
      </c>
      <c r="B91" s="2" t="s">
        <v>1096</v>
      </c>
      <c r="C91" s="83">
        <v>82514.711519999997</v>
      </c>
      <c r="F91" s="50" t="s">
        <v>730</v>
      </c>
      <c r="G91" s="2" t="s">
        <v>1294</v>
      </c>
      <c r="H91" s="2">
        <v>33071.3145</v>
      </c>
      <c r="I91" s="2">
        <f t="shared" si="4"/>
        <v>938789.74810999981</v>
      </c>
      <c r="J91" s="51">
        <f t="shared" si="5"/>
        <v>3.5227605080456172E-2</v>
      </c>
      <c r="K91" s="2">
        <f t="shared" si="6"/>
        <v>3.5227605080456172E-2</v>
      </c>
      <c r="L91" s="2" t="str">
        <f t="shared" si="7"/>
        <v>A</v>
      </c>
      <c r="M91" s="52"/>
    </row>
    <row r="92" spans="1:13" x14ac:dyDescent="0.3">
      <c r="A92" s="2" t="s">
        <v>731</v>
      </c>
      <c r="B92" s="2" t="s">
        <v>851</v>
      </c>
      <c r="C92" s="83">
        <v>65119.329599999997</v>
      </c>
      <c r="F92" s="50" t="s">
        <v>733</v>
      </c>
      <c r="G92" s="2" t="s">
        <v>811</v>
      </c>
      <c r="H92" s="2">
        <v>33062.236480000007</v>
      </c>
      <c r="I92" s="2">
        <f t="shared" si="4"/>
        <v>950835.96811000013</v>
      </c>
      <c r="J92" s="51">
        <f t="shared" si="5"/>
        <v>3.4771756211240748E-2</v>
      </c>
      <c r="K92" s="2">
        <f t="shared" si="6"/>
        <v>3.4771756211240748E-2</v>
      </c>
      <c r="L92" s="2" t="str">
        <f t="shared" si="7"/>
        <v>A</v>
      </c>
      <c r="M92" s="52"/>
    </row>
    <row r="93" spans="1:13" x14ac:dyDescent="0.3">
      <c r="A93" s="2" t="s">
        <v>731</v>
      </c>
      <c r="B93" s="2" t="s">
        <v>1121</v>
      </c>
      <c r="C93" s="83">
        <v>65066.934229999999</v>
      </c>
      <c r="F93" s="50" t="s">
        <v>730</v>
      </c>
      <c r="G93" s="2" t="s">
        <v>1360</v>
      </c>
      <c r="H93" s="2">
        <v>33017.42</v>
      </c>
      <c r="I93" s="2">
        <f t="shared" si="4"/>
        <v>905718.43361000007</v>
      </c>
      <c r="J93" s="51">
        <f t="shared" si="5"/>
        <v>3.6454397718725474E-2</v>
      </c>
      <c r="K93" s="2">
        <f t="shared" si="6"/>
        <v>3.6454397718725474E-2</v>
      </c>
      <c r="L93" s="2" t="str">
        <f t="shared" si="7"/>
        <v>A</v>
      </c>
      <c r="M93" s="52"/>
    </row>
    <row r="94" spans="1:13" x14ac:dyDescent="0.3">
      <c r="A94" s="2" t="s">
        <v>731</v>
      </c>
      <c r="B94" s="2" t="s">
        <v>1254</v>
      </c>
      <c r="C94" s="83">
        <v>64192.976999999999</v>
      </c>
      <c r="F94" s="50" t="s">
        <v>729</v>
      </c>
      <c r="G94" s="2" t="s">
        <v>1357</v>
      </c>
      <c r="H94" s="2">
        <v>32704.386400000003</v>
      </c>
      <c r="I94" s="2">
        <f t="shared" si="4"/>
        <v>788878.47794999997</v>
      </c>
      <c r="J94" s="51">
        <f t="shared" si="5"/>
        <v>4.1456811554786574E-2</v>
      </c>
      <c r="K94" s="2">
        <f t="shared" si="6"/>
        <v>4.1456811554786574E-2</v>
      </c>
      <c r="L94" s="2" t="str">
        <f t="shared" si="7"/>
        <v>A</v>
      </c>
      <c r="M94" s="52"/>
    </row>
    <row r="95" spans="1:13" x14ac:dyDescent="0.3">
      <c r="A95" s="2" t="s">
        <v>731</v>
      </c>
      <c r="B95" s="2" t="s">
        <v>1261</v>
      </c>
      <c r="C95" s="83">
        <v>58526.83122</v>
      </c>
      <c r="F95" s="50" t="s">
        <v>729</v>
      </c>
      <c r="G95" s="2" t="s">
        <v>779</v>
      </c>
      <c r="H95" s="2">
        <v>32506.559399999998</v>
      </c>
      <c r="I95" s="2">
        <f t="shared" si="4"/>
        <v>756174.09155000013</v>
      </c>
      <c r="J95" s="51">
        <f t="shared" si="5"/>
        <v>4.2988195130261989E-2</v>
      </c>
      <c r="K95" s="2">
        <f t="shared" si="6"/>
        <v>8.4445006685048563E-2</v>
      </c>
      <c r="L95" s="2" t="str">
        <f t="shared" si="7"/>
        <v>A</v>
      </c>
      <c r="M95" s="52"/>
    </row>
    <row r="96" spans="1:13" x14ac:dyDescent="0.3">
      <c r="A96" s="2" t="s">
        <v>731</v>
      </c>
      <c r="B96" s="2" t="s">
        <v>1164</v>
      </c>
      <c r="C96" s="83">
        <v>58057.65</v>
      </c>
      <c r="F96" s="50" t="s">
        <v>727</v>
      </c>
      <c r="G96" s="2" t="s">
        <v>1238</v>
      </c>
      <c r="H96" s="2">
        <v>32335.21802</v>
      </c>
      <c r="I96" s="2">
        <f t="shared" si="4"/>
        <v>949197.04625999986</v>
      </c>
      <c r="J96" s="51">
        <f t="shared" si="5"/>
        <v>3.4065864561427302E-2</v>
      </c>
      <c r="K96" s="2">
        <f t="shared" si="6"/>
        <v>3.4065864561427302E-2</v>
      </c>
      <c r="L96" s="2" t="str">
        <f t="shared" si="7"/>
        <v>A</v>
      </c>
      <c r="M96" s="52"/>
    </row>
    <row r="97" spans="1:13" x14ac:dyDescent="0.3">
      <c r="A97" s="2" t="s">
        <v>731</v>
      </c>
      <c r="B97" s="2" t="s">
        <v>1299</v>
      </c>
      <c r="C97" s="83">
        <v>44173.627960000005</v>
      </c>
      <c r="F97" s="50" t="s">
        <v>732</v>
      </c>
      <c r="G97" s="2" t="s">
        <v>1106</v>
      </c>
      <c r="H97" s="2">
        <v>32280.32474</v>
      </c>
      <c r="I97" s="2">
        <f t="shared" si="4"/>
        <v>996885.5131700004</v>
      </c>
      <c r="J97" s="51">
        <f t="shared" si="5"/>
        <v>3.2381175484586654E-2</v>
      </c>
      <c r="K97" s="2">
        <f t="shared" si="6"/>
        <v>3.2381175484586654E-2</v>
      </c>
      <c r="L97" s="2" t="str">
        <f t="shared" si="7"/>
        <v>A</v>
      </c>
      <c r="M97" s="52"/>
    </row>
    <row r="98" spans="1:13" x14ac:dyDescent="0.3">
      <c r="A98" s="2" t="s">
        <v>731</v>
      </c>
      <c r="B98" s="2" t="s">
        <v>1267</v>
      </c>
      <c r="C98" s="83">
        <v>42433.254400000005</v>
      </c>
      <c r="F98" s="50" t="s">
        <v>733</v>
      </c>
      <c r="G98" s="2" t="s">
        <v>876</v>
      </c>
      <c r="H98" s="2">
        <v>32086.37586</v>
      </c>
      <c r="I98" s="2">
        <f t="shared" si="4"/>
        <v>917773.73163000017</v>
      </c>
      <c r="J98" s="51">
        <f t="shared" si="5"/>
        <v>3.496109635107273E-2</v>
      </c>
      <c r="K98" s="2">
        <f t="shared" si="6"/>
        <v>3.496109635107273E-2</v>
      </c>
      <c r="L98" s="2" t="str">
        <f t="shared" si="7"/>
        <v>A</v>
      </c>
      <c r="M98" s="52"/>
    </row>
    <row r="99" spans="1:13" x14ac:dyDescent="0.3">
      <c r="A99" s="2" t="s">
        <v>731</v>
      </c>
      <c r="B99" s="2" t="s">
        <v>1211</v>
      </c>
      <c r="C99" s="83">
        <v>41914.215840000004</v>
      </c>
      <c r="F99" s="50" t="s">
        <v>728</v>
      </c>
      <c r="G99" s="2" t="s">
        <v>1280</v>
      </c>
      <c r="H99" s="2">
        <v>31822.023930000003</v>
      </c>
      <c r="I99" s="2">
        <f t="shared" si="4"/>
        <v>1002798.8877299996</v>
      </c>
      <c r="J99" s="51">
        <f t="shared" si="5"/>
        <v>3.1733206248397816E-2</v>
      </c>
      <c r="K99" s="2">
        <f t="shared" si="6"/>
        <v>3.1733206248397816E-2</v>
      </c>
      <c r="L99" s="2" t="str">
        <f t="shared" si="7"/>
        <v>A</v>
      </c>
      <c r="M99" s="52"/>
    </row>
    <row r="100" spans="1:13" x14ac:dyDescent="0.3">
      <c r="A100" s="2" t="s">
        <v>731</v>
      </c>
      <c r="B100" s="2" t="s">
        <v>1315</v>
      </c>
      <c r="C100" s="83">
        <v>40563.321749999996</v>
      </c>
      <c r="F100" s="50" t="s">
        <v>732</v>
      </c>
      <c r="G100" s="2" t="s">
        <v>789</v>
      </c>
      <c r="H100" s="2">
        <v>31680.795320000001</v>
      </c>
      <c r="I100" s="2">
        <f t="shared" si="4"/>
        <v>964605.18843000045</v>
      </c>
      <c r="J100" s="51">
        <f t="shared" si="5"/>
        <v>3.2843276917848566E-2</v>
      </c>
      <c r="K100" s="2">
        <f t="shared" si="6"/>
        <v>3.2843276917848566E-2</v>
      </c>
      <c r="L100" s="2" t="str">
        <f t="shared" si="7"/>
        <v>A</v>
      </c>
      <c r="M100" s="52"/>
    </row>
    <row r="101" spans="1:13" x14ac:dyDescent="0.3">
      <c r="A101" s="2" t="s">
        <v>731</v>
      </c>
      <c r="B101" s="2" t="s">
        <v>998</v>
      </c>
      <c r="C101" s="83">
        <v>40139.874619999995</v>
      </c>
      <c r="F101" s="50" t="s">
        <v>731</v>
      </c>
      <c r="G101" s="2" t="s">
        <v>907</v>
      </c>
      <c r="H101" s="2">
        <v>31556.187599999997</v>
      </c>
      <c r="I101" s="2">
        <f t="shared" si="4"/>
        <v>862822.9001000002</v>
      </c>
      <c r="J101" s="51">
        <f t="shared" si="5"/>
        <v>3.6573192014656392E-2</v>
      </c>
      <c r="K101" s="2">
        <f t="shared" si="6"/>
        <v>3.6573192014656392E-2</v>
      </c>
      <c r="L101" s="2" t="str">
        <f t="shared" si="7"/>
        <v>A</v>
      </c>
      <c r="M101" s="52"/>
    </row>
    <row r="102" spans="1:13" x14ac:dyDescent="0.3">
      <c r="A102" s="2" t="s">
        <v>731</v>
      </c>
      <c r="B102" s="2" t="s">
        <v>753</v>
      </c>
      <c r="C102" s="83">
        <v>39263.702919999996</v>
      </c>
      <c r="F102" s="50" t="s">
        <v>729</v>
      </c>
      <c r="G102" s="2" t="s">
        <v>1147</v>
      </c>
      <c r="H102" s="2">
        <v>31513.423040000001</v>
      </c>
      <c r="I102" s="2">
        <f t="shared" si="4"/>
        <v>723667.5321500001</v>
      </c>
      <c r="J102" s="51">
        <f t="shared" si="5"/>
        <v>4.3546824529178921E-2</v>
      </c>
      <c r="K102" s="2">
        <f t="shared" si="6"/>
        <v>4.3546824529178921E-2</v>
      </c>
      <c r="L102" s="2" t="str">
        <f t="shared" si="7"/>
        <v>A</v>
      </c>
      <c r="M102" s="52"/>
    </row>
    <row r="103" spans="1:13" x14ac:dyDescent="0.3">
      <c r="A103" s="2" t="s">
        <v>731</v>
      </c>
      <c r="B103" s="2" t="s">
        <v>1215</v>
      </c>
      <c r="C103" s="83">
        <v>36161.097000000002</v>
      </c>
      <c r="F103" s="50" t="s">
        <v>733</v>
      </c>
      <c r="G103" s="2" t="s">
        <v>1175</v>
      </c>
      <c r="H103" s="2">
        <v>31513.085009999999</v>
      </c>
      <c r="I103" s="2">
        <f t="shared" si="4"/>
        <v>885687.35577000014</v>
      </c>
      <c r="J103" s="51">
        <f t="shared" si="5"/>
        <v>3.558037134063307E-2</v>
      </c>
      <c r="K103" s="2">
        <f t="shared" si="6"/>
        <v>3.558037134063307E-2</v>
      </c>
      <c r="L103" s="2" t="str">
        <f t="shared" si="7"/>
        <v>A</v>
      </c>
      <c r="M103" s="52"/>
    </row>
    <row r="104" spans="1:13" x14ac:dyDescent="0.3">
      <c r="A104" s="2" t="s">
        <v>731</v>
      </c>
      <c r="B104" s="2" t="s">
        <v>976</v>
      </c>
      <c r="C104" s="83">
        <v>34082.864639999993</v>
      </c>
      <c r="F104" s="50" t="s">
        <v>728</v>
      </c>
      <c r="G104" s="2" t="s">
        <v>776</v>
      </c>
      <c r="H104" s="2">
        <v>31404.1</v>
      </c>
      <c r="I104" s="2">
        <f t="shared" si="4"/>
        <v>970976.8637999997</v>
      </c>
      <c r="J104" s="51">
        <f t="shared" si="5"/>
        <v>3.2342789175323301E-2</v>
      </c>
      <c r="K104" s="2">
        <f t="shared" si="6"/>
        <v>3.2342789175323301E-2</v>
      </c>
      <c r="L104" s="2" t="str">
        <f t="shared" si="7"/>
        <v>A</v>
      </c>
      <c r="M104" s="52"/>
    </row>
    <row r="105" spans="1:13" x14ac:dyDescent="0.3">
      <c r="A105" s="2" t="s">
        <v>731</v>
      </c>
      <c r="B105" s="2" t="s">
        <v>1332</v>
      </c>
      <c r="C105" s="83">
        <v>33938.142760000002</v>
      </c>
      <c r="F105" s="50" t="s">
        <v>732</v>
      </c>
      <c r="G105" s="2" t="s">
        <v>929</v>
      </c>
      <c r="H105" s="2">
        <v>31191.64716</v>
      </c>
      <c r="I105" s="2">
        <f t="shared" si="4"/>
        <v>932924.39311000041</v>
      </c>
      <c r="J105" s="51">
        <f t="shared" si="5"/>
        <v>3.3434271191065554E-2</v>
      </c>
      <c r="K105" s="2">
        <f t="shared" si="6"/>
        <v>3.3434271191065554E-2</v>
      </c>
      <c r="L105" s="2" t="str">
        <f t="shared" si="7"/>
        <v>A</v>
      </c>
      <c r="M105" s="52"/>
    </row>
    <row r="106" spans="1:13" x14ac:dyDescent="0.3">
      <c r="A106" s="2" t="s">
        <v>731</v>
      </c>
      <c r="B106" s="2" t="s">
        <v>907</v>
      </c>
      <c r="C106" s="83">
        <v>31556.187599999997</v>
      </c>
      <c r="F106" s="50" t="s">
        <v>730</v>
      </c>
      <c r="G106" s="2" t="s">
        <v>1108</v>
      </c>
      <c r="H106" s="2">
        <v>31005.24768</v>
      </c>
      <c r="I106" s="2">
        <f t="shared" si="4"/>
        <v>872701.01361000002</v>
      </c>
      <c r="J106" s="51">
        <f t="shared" si="5"/>
        <v>3.5527915284232596E-2</v>
      </c>
      <c r="K106" s="2">
        <f t="shared" si="6"/>
        <v>3.5527915284232596E-2</v>
      </c>
      <c r="L106" s="2" t="str">
        <f t="shared" si="7"/>
        <v>A</v>
      </c>
      <c r="M106" s="52"/>
    </row>
    <row r="107" spans="1:13" x14ac:dyDescent="0.3">
      <c r="A107" s="2" t="s">
        <v>731</v>
      </c>
      <c r="B107" s="2" t="s">
        <v>1159</v>
      </c>
      <c r="C107" s="83">
        <v>30435.614999999998</v>
      </c>
      <c r="F107" s="50" t="s">
        <v>732</v>
      </c>
      <c r="G107" s="2" t="s">
        <v>1044</v>
      </c>
      <c r="H107" s="2">
        <v>30799.273800000003</v>
      </c>
      <c r="I107" s="2">
        <f t="shared" si="4"/>
        <v>901732.74595000036</v>
      </c>
      <c r="J107" s="51">
        <f t="shared" si="5"/>
        <v>3.4155656360856802E-2</v>
      </c>
      <c r="K107" s="2">
        <f t="shared" si="6"/>
        <v>3.4155656360856802E-2</v>
      </c>
      <c r="L107" s="2" t="str">
        <f t="shared" si="7"/>
        <v>A</v>
      </c>
      <c r="M107" s="52"/>
    </row>
    <row r="108" spans="1:13" x14ac:dyDescent="0.3">
      <c r="A108" s="2" t="s">
        <v>731</v>
      </c>
      <c r="B108" s="2" t="s">
        <v>845</v>
      </c>
      <c r="C108" s="83">
        <v>30151.675319999998</v>
      </c>
      <c r="F108" s="50" t="s">
        <v>729</v>
      </c>
      <c r="G108" s="2" t="s">
        <v>1229</v>
      </c>
      <c r="H108" s="2">
        <v>30692.47896</v>
      </c>
      <c r="I108" s="2">
        <f t="shared" si="4"/>
        <v>692154.10911000019</v>
      </c>
      <c r="J108" s="51">
        <f t="shared" si="5"/>
        <v>4.434341797011887E-2</v>
      </c>
      <c r="K108" s="2">
        <f t="shared" si="6"/>
        <v>4.434341797011887E-2</v>
      </c>
      <c r="L108" s="2" t="str">
        <f t="shared" si="7"/>
        <v>A</v>
      </c>
      <c r="M108" s="52"/>
    </row>
    <row r="109" spans="1:13" x14ac:dyDescent="0.3">
      <c r="A109" s="2" t="s">
        <v>731</v>
      </c>
      <c r="B109" s="2" t="s">
        <v>790</v>
      </c>
      <c r="C109" s="83">
        <v>29659.68995</v>
      </c>
      <c r="F109" s="50" t="s">
        <v>732</v>
      </c>
      <c r="G109" s="2" t="s">
        <v>1274</v>
      </c>
      <c r="H109" s="2">
        <v>30652.403519999996</v>
      </c>
      <c r="I109" s="2">
        <f t="shared" si="4"/>
        <v>870933.47215000039</v>
      </c>
      <c r="J109" s="51">
        <f t="shared" si="5"/>
        <v>3.5194885143558646E-2</v>
      </c>
      <c r="K109" s="2">
        <f t="shared" si="6"/>
        <v>3.5194885143558646E-2</v>
      </c>
      <c r="L109" s="2" t="str">
        <f t="shared" si="7"/>
        <v>A</v>
      </c>
      <c r="M109" s="52"/>
    </row>
    <row r="110" spans="1:13" x14ac:dyDescent="0.3">
      <c r="A110" s="2" t="s">
        <v>731</v>
      </c>
      <c r="B110" s="2" t="s">
        <v>1063</v>
      </c>
      <c r="C110" s="83">
        <v>27756.432000000001</v>
      </c>
      <c r="F110" s="50" t="s">
        <v>729</v>
      </c>
      <c r="G110" s="2" t="s">
        <v>960</v>
      </c>
      <c r="H110" s="2">
        <v>30479.418970000002</v>
      </c>
      <c r="I110" s="2">
        <f t="shared" si="4"/>
        <v>661461.6301500001</v>
      </c>
      <c r="J110" s="51">
        <f t="shared" si="5"/>
        <v>4.6078891927696798E-2</v>
      </c>
      <c r="K110" s="2">
        <f t="shared" si="6"/>
        <v>4.6078891927696798E-2</v>
      </c>
      <c r="L110" s="2" t="str">
        <f t="shared" si="7"/>
        <v>A</v>
      </c>
      <c r="M110" s="52"/>
    </row>
    <row r="111" spans="1:13" x14ac:dyDescent="0.3">
      <c r="A111" s="2" t="s">
        <v>731</v>
      </c>
      <c r="B111" s="2" t="s">
        <v>798</v>
      </c>
      <c r="C111" s="83">
        <v>26304.275999999998</v>
      </c>
      <c r="F111" s="50" t="s">
        <v>731</v>
      </c>
      <c r="G111" s="2" t="s">
        <v>1159</v>
      </c>
      <c r="H111" s="2">
        <v>30435.614999999998</v>
      </c>
      <c r="I111" s="2">
        <f t="shared" si="4"/>
        <v>831266.71250000026</v>
      </c>
      <c r="J111" s="51">
        <f t="shared" si="5"/>
        <v>3.6613537559402741E-2</v>
      </c>
      <c r="K111" s="2">
        <f t="shared" si="6"/>
        <v>3.6613537559402741E-2</v>
      </c>
      <c r="L111" s="2" t="str">
        <f t="shared" si="7"/>
        <v>A</v>
      </c>
      <c r="M111" s="52"/>
    </row>
    <row r="112" spans="1:13" x14ac:dyDescent="0.3">
      <c r="A112" s="2" t="s">
        <v>731</v>
      </c>
      <c r="B112" s="2" t="s">
        <v>833</v>
      </c>
      <c r="C112" s="83">
        <v>25502.910479999999</v>
      </c>
      <c r="F112" s="50" t="s">
        <v>729</v>
      </c>
      <c r="G112" s="2" t="s">
        <v>1354</v>
      </c>
      <c r="H112" s="2">
        <v>30229.994880000002</v>
      </c>
      <c r="I112" s="2">
        <f t="shared" si="4"/>
        <v>630982.21117999998</v>
      </c>
      <c r="J112" s="51">
        <f t="shared" si="5"/>
        <v>4.7909424932070399E-2</v>
      </c>
      <c r="K112" s="2">
        <f t="shared" si="6"/>
        <v>4.7909424932070399E-2</v>
      </c>
      <c r="L112" s="2" t="str">
        <f t="shared" si="7"/>
        <v>A</v>
      </c>
      <c r="M112" s="52"/>
    </row>
    <row r="113" spans="1:13" x14ac:dyDescent="0.3">
      <c r="A113" s="2" t="s">
        <v>731</v>
      </c>
      <c r="B113" s="2" t="s">
        <v>926</v>
      </c>
      <c r="C113" s="83">
        <v>24374.594880000001</v>
      </c>
      <c r="F113" s="50" t="s">
        <v>731</v>
      </c>
      <c r="G113" s="2" t="s">
        <v>845</v>
      </c>
      <c r="H113" s="2">
        <v>30151.675319999998</v>
      </c>
      <c r="I113" s="2">
        <f t="shared" si="4"/>
        <v>800831.09750000015</v>
      </c>
      <c r="J113" s="51">
        <f t="shared" si="5"/>
        <v>3.7650480125117756E-2</v>
      </c>
      <c r="K113" s="2">
        <f t="shared" si="6"/>
        <v>3.7650480125117756E-2</v>
      </c>
      <c r="L113" s="2" t="str">
        <f t="shared" si="7"/>
        <v>A</v>
      </c>
      <c r="M113" s="52"/>
    </row>
    <row r="114" spans="1:13" x14ac:dyDescent="0.3">
      <c r="A114" s="2" t="s">
        <v>731</v>
      </c>
      <c r="B114" s="2" t="s">
        <v>989</v>
      </c>
      <c r="C114" s="83">
        <v>24161.205600000001</v>
      </c>
      <c r="F114" s="50" t="s">
        <v>729</v>
      </c>
      <c r="G114" s="2" t="s">
        <v>1282</v>
      </c>
      <c r="H114" s="2">
        <v>29673.454499999993</v>
      </c>
      <c r="I114" s="2">
        <f t="shared" si="4"/>
        <v>600752.21629999997</v>
      </c>
      <c r="J114" s="51">
        <f t="shared" si="5"/>
        <v>4.9393832756468505E-2</v>
      </c>
      <c r="K114" s="2">
        <f t="shared" si="6"/>
        <v>4.9393832756468505E-2</v>
      </c>
      <c r="L114" s="2" t="str">
        <f t="shared" si="7"/>
        <v>A</v>
      </c>
      <c r="M114" s="52"/>
    </row>
    <row r="115" spans="1:13" x14ac:dyDescent="0.3">
      <c r="A115" s="2" t="s">
        <v>731</v>
      </c>
      <c r="B115" s="2" t="s">
        <v>754</v>
      </c>
      <c r="C115" s="83">
        <v>23782.310720000001</v>
      </c>
      <c r="F115" s="50" t="s">
        <v>731</v>
      </c>
      <c r="G115" s="2" t="s">
        <v>790</v>
      </c>
      <c r="H115" s="2">
        <v>29659.68995</v>
      </c>
      <c r="I115" s="2">
        <f t="shared" si="4"/>
        <v>770679.42218000011</v>
      </c>
      <c r="J115" s="51">
        <f t="shared" si="5"/>
        <v>3.8485119877863655E-2</v>
      </c>
      <c r="K115" s="2">
        <f t="shared" si="6"/>
        <v>3.8485119877863655E-2</v>
      </c>
      <c r="L115" s="2" t="str">
        <f t="shared" si="7"/>
        <v>A</v>
      </c>
      <c r="M115" s="52"/>
    </row>
    <row r="116" spans="1:13" x14ac:dyDescent="0.3">
      <c r="A116" s="2" t="s">
        <v>731</v>
      </c>
      <c r="B116" s="2" t="s">
        <v>1118</v>
      </c>
      <c r="C116" s="83">
        <v>22064.910300000003</v>
      </c>
      <c r="F116" s="50" t="s">
        <v>728</v>
      </c>
      <c r="G116" s="2" t="s">
        <v>887</v>
      </c>
      <c r="H116" s="2">
        <v>29654.83008</v>
      </c>
      <c r="I116" s="2">
        <f t="shared" si="4"/>
        <v>939572.76379999961</v>
      </c>
      <c r="J116" s="51">
        <f t="shared" si="5"/>
        <v>3.1562036728336261E-2</v>
      </c>
      <c r="K116" s="2">
        <f t="shared" si="6"/>
        <v>3.1562036728336261E-2</v>
      </c>
      <c r="L116" s="2" t="str">
        <f t="shared" si="7"/>
        <v>A</v>
      </c>
      <c r="M116" s="52"/>
    </row>
    <row r="117" spans="1:13" x14ac:dyDescent="0.3">
      <c r="A117" s="2" t="s">
        <v>731</v>
      </c>
      <c r="B117" s="2" t="s">
        <v>885</v>
      </c>
      <c r="C117" s="83">
        <v>21572.590500000002</v>
      </c>
      <c r="F117" s="50" t="s">
        <v>730</v>
      </c>
      <c r="G117" s="2" t="s">
        <v>1156</v>
      </c>
      <c r="H117" s="2">
        <v>29627.320319999999</v>
      </c>
      <c r="I117" s="2">
        <f t="shared" si="4"/>
        <v>841695.76593000011</v>
      </c>
      <c r="J117" s="51">
        <f t="shared" si="5"/>
        <v>3.5199559649993495E-2</v>
      </c>
      <c r="K117" s="2">
        <f t="shared" si="6"/>
        <v>3.5199559649993495E-2</v>
      </c>
      <c r="L117" s="2" t="str">
        <f t="shared" si="7"/>
        <v>A</v>
      </c>
      <c r="M117" s="52"/>
    </row>
    <row r="118" spans="1:13" x14ac:dyDescent="0.3">
      <c r="A118" s="2" t="s">
        <v>731</v>
      </c>
      <c r="B118" s="2" t="s">
        <v>1029</v>
      </c>
      <c r="C118" s="83">
        <v>20455.985130000001</v>
      </c>
      <c r="F118" s="50" t="s">
        <v>732</v>
      </c>
      <c r="G118" s="2" t="s">
        <v>1007</v>
      </c>
      <c r="H118" s="2">
        <v>29536.716</v>
      </c>
      <c r="I118" s="2">
        <f t="shared" si="4"/>
        <v>840281.06863000034</v>
      </c>
      <c r="J118" s="51">
        <f t="shared" si="5"/>
        <v>3.5150995426038639E-2</v>
      </c>
      <c r="K118" s="2">
        <f t="shared" si="6"/>
        <v>3.5150995426038639E-2</v>
      </c>
      <c r="L118" s="2" t="str">
        <f t="shared" si="7"/>
        <v>A</v>
      </c>
      <c r="M118" s="52"/>
    </row>
    <row r="119" spans="1:13" x14ac:dyDescent="0.3">
      <c r="A119" s="2" t="s">
        <v>731</v>
      </c>
      <c r="B119" s="2" t="s">
        <v>757</v>
      </c>
      <c r="C119" s="83">
        <v>20225.2248</v>
      </c>
      <c r="F119" s="50" t="s">
        <v>730</v>
      </c>
      <c r="G119" s="2" t="s">
        <v>893</v>
      </c>
      <c r="H119" s="2">
        <v>29263.754519999995</v>
      </c>
      <c r="I119" s="2">
        <f t="shared" si="4"/>
        <v>812068.44560999994</v>
      </c>
      <c r="J119" s="51">
        <f t="shared" si="5"/>
        <v>3.6036068976941955E-2</v>
      </c>
      <c r="K119" s="2">
        <f t="shared" si="6"/>
        <v>3.6036068976941955E-2</v>
      </c>
      <c r="L119" s="2" t="str">
        <f t="shared" si="7"/>
        <v>A</v>
      </c>
      <c r="M119" s="52"/>
    </row>
    <row r="120" spans="1:13" x14ac:dyDescent="0.3">
      <c r="A120" s="2" t="s">
        <v>731</v>
      </c>
      <c r="B120" s="2" t="s">
        <v>806</v>
      </c>
      <c r="C120" s="83">
        <v>20171.63305</v>
      </c>
      <c r="F120" s="50" t="s">
        <v>730</v>
      </c>
      <c r="G120" s="2" t="s">
        <v>1339</v>
      </c>
      <c r="H120" s="2">
        <v>29175.036029999999</v>
      </c>
      <c r="I120" s="2">
        <f t="shared" si="4"/>
        <v>782804.69108999998</v>
      </c>
      <c r="J120" s="51">
        <f t="shared" si="5"/>
        <v>3.7269878888150032E-2</v>
      </c>
      <c r="K120" s="2">
        <f t="shared" si="6"/>
        <v>7.330594786509198E-2</v>
      </c>
      <c r="L120" s="2" t="str">
        <f t="shared" si="7"/>
        <v>A</v>
      </c>
      <c r="M120" s="52"/>
    </row>
    <row r="121" spans="1:13" x14ac:dyDescent="0.3">
      <c r="A121" s="2" t="s">
        <v>731</v>
      </c>
      <c r="B121" s="2" t="s">
        <v>1120</v>
      </c>
      <c r="C121" s="83">
        <v>19773.362699999998</v>
      </c>
      <c r="F121" s="50" t="s">
        <v>728</v>
      </c>
      <c r="G121" s="2" t="s">
        <v>1220</v>
      </c>
      <c r="H121" s="2">
        <v>28856.475000000002</v>
      </c>
      <c r="I121" s="2">
        <f t="shared" si="4"/>
        <v>909917.93371999962</v>
      </c>
      <c r="J121" s="51">
        <f t="shared" si="5"/>
        <v>3.1713272077215408E-2</v>
      </c>
      <c r="K121" s="2">
        <f t="shared" si="6"/>
        <v>3.1713272077215408E-2</v>
      </c>
      <c r="L121" s="2" t="str">
        <f t="shared" si="7"/>
        <v>A</v>
      </c>
      <c r="M121" s="52"/>
    </row>
    <row r="122" spans="1:13" x14ac:dyDescent="0.3">
      <c r="A122" s="2" t="s">
        <v>731</v>
      </c>
      <c r="B122" s="2" t="s">
        <v>1273</v>
      </c>
      <c r="C122" s="83">
        <v>19581.87</v>
      </c>
      <c r="F122" s="50" t="s">
        <v>733</v>
      </c>
      <c r="G122" s="2" t="s">
        <v>941</v>
      </c>
      <c r="H122" s="2">
        <v>28386.015839999996</v>
      </c>
      <c r="I122" s="2">
        <f t="shared" si="4"/>
        <v>854174.2707600001</v>
      </c>
      <c r="J122" s="51">
        <f t="shared" si="5"/>
        <v>3.3232112944286636E-2</v>
      </c>
      <c r="K122" s="2">
        <f t="shared" si="6"/>
        <v>3.3232112944286636E-2</v>
      </c>
      <c r="L122" s="2" t="str">
        <f t="shared" si="7"/>
        <v>A</v>
      </c>
      <c r="M122" s="52"/>
    </row>
    <row r="123" spans="1:13" x14ac:dyDescent="0.3">
      <c r="A123" s="2" t="s">
        <v>731</v>
      </c>
      <c r="B123" s="2" t="s">
        <v>924</v>
      </c>
      <c r="C123" s="83">
        <v>19542.975350000001</v>
      </c>
      <c r="F123" s="50" t="s">
        <v>730</v>
      </c>
      <c r="G123" s="2" t="s">
        <v>1070</v>
      </c>
      <c r="H123" s="2">
        <v>28247.74656</v>
      </c>
      <c r="I123" s="2">
        <f t="shared" si="4"/>
        <v>753629.65506000002</v>
      </c>
      <c r="J123" s="51">
        <f t="shared" si="5"/>
        <v>3.7482265155490815E-2</v>
      </c>
      <c r="K123" s="2">
        <f t="shared" si="6"/>
        <v>3.7482265155490815E-2</v>
      </c>
      <c r="L123" s="2" t="str">
        <f t="shared" si="7"/>
        <v>A</v>
      </c>
      <c r="M123" s="52"/>
    </row>
    <row r="124" spans="1:13" x14ac:dyDescent="0.3">
      <c r="A124" s="2" t="s">
        <v>731</v>
      </c>
      <c r="B124" s="2" t="s">
        <v>1305</v>
      </c>
      <c r="C124" s="83">
        <v>19139.594240000002</v>
      </c>
      <c r="F124" s="50" t="s">
        <v>728</v>
      </c>
      <c r="G124" s="2" t="s">
        <v>953</v>
      </c>
      <c r="H124" s="2">
        <v>28211.92124</v>
      </c>
      <c r="I124" s="2">
        <f t="shared" si="4"/>
        <v>881061.45871999953</v>
      </c>
      <c r="J124" s="51">
        <f t="shared" si="5"/>
        <v>3.2020378329777471E-2</v>
      </c>
      <c r="K124" s="2">
        <f t="shared" si="6"/>
        <v>3.2020378329777471E-2</v>
      </c>
      <c r="L124" s="2" t="str">
        <f t="shared" si="7"/>
        <v>A</v>
      </c>
      <c r="M124" s="52"/>
    </row>
    <row r="125" spans="1:13" x14ac:dyDescent="0.3">
      <c r="A125" s="2" t="s">
        <v>731</v>
      </c>
      <c r="B125" s="2" t="s">
        <v>1130</v>
      </c>
      <c r="C125" s="83">
        <v>18641.222160000001</v>
      </c>
      <c r="F125" s="50" t="s">
        <v>732</v>
      </c>
      <c r="G125" s="2" t="s">
        <v>922</v>
      </c>
      <c r="H125" s="2">
        <v>28072.190160000002</v>
      </c>
      <c r="I125" s="2">
        <f t="shared" si="4"/>
        <v>810744.35263000033</v>
      </c>
      <c r="J125" s="51">
        <f t="shared" si="5"/>
        <v>3.4625205922108118E-2</v>
      </c>
      <c r="K125" s="2">
        <f t="shared" si="6"/>
        <v>3.4625205922108118E-2</v>
      </c>
      <c r="L125" s="2" t="str">
        <f t="shared" si="7"/>
        <v>A</v>
      </c>
      <c r="M125" s="52"/>
    </row>
    <row r="126" spans="1:13" x14ac:dyDescent="0.3">
      <c r="A126" s="2" t="s">
        <v>731</v>
      </c>
      <c r="B126" s="2" t="s">
        <v>985</v>
      </c>
      <c r="C126" s="83">
        <v>17453.3436</v>
      </c>
      <c r="F126" s="50" t="s">
        <v>731</v>
      </c>
      <c r="G126" s="2" t="s">
        <v>1063</v>
      </c>
      <c r="H126" s="2">
        <v>27756.432000000001</v>
      </c>
      <c r="I126" s="2">
        <f t="shared" si="4"/>
        <v>741019.7322300002</v>
      </c>
      <c r="J126" s="51">
        <f t="shared" si="5"/>
        <v>3.7457075422905023E-2</v>
      </c>
      <c r="K126" s="2">
        <f t="shared" si="6"/>
        <v>3.7457075422905023E-2</v>
      </c>
      <c r="L126" s="2" t="str">
        <f t="shared" si="7"/>
        <v>A</v>
      </c>
      <c r="M126" s="52"/>
    </row>
    <row r="127" spans="1:13" x14ac:dyDescent="0.3">
      <c r="A127" s="2" t="s">
        <v>731</v>
      </c>
      <c r="B127" s="2" t="s">
        <v>1018</v>
      </c>
      <c r="C127" s="83">
        <v>15505.479600000001</v>
      </c>
      <c r="F127" s="50" t="s">
        <v>727</v>
      </c>
      <c r="G127" s="2" t="s">
        <v>795</v>
      </c>
      <c r="H127" s="2">
        <v>27701.570400000001</v>
      </c>
      <c r="I127" s="2">
        <f t="shared" si="4"/>
        <v>916861.82823999983</v>
      </c>
      <c r="J127" s="51">
        <f t="shared" si="5"/>
        <v>3.0213462428876223E-2</v>
      </c>
      <c r="K127" s="2">
        <f t="shared" si="6"/>
        <v>3.0213462428876223E-2</v>
      </c>
      <c r="L127" s="2" t="str">
        <f t="shared" si="7"/>
        <v>A</v>
      </c>
      <c r="M127" s="52"/>
    </row>
    <row r="128" spans="1:13" x14ac:dyDescent="0.3">
      <c r="A128" s="2" t="s">
        <v>731</v>
      </c>
      <c r="B128" s="2" t="s">
        <v>958</v>
      </c>
      <c r="C128" s="83">
        <v>15490.527</v>
      </c>
      <c r="F128" s="50" t="s">
        <v>727</v>
      </c>
      <c r="G128" s="2" t="s">
        <v>844</v>
      </c>
      <c r="H128" s="2">
        <v>27676.35</v>
      </c>
      <c r="I128" s="2">
        <f t="shared" si="4"/>
        <v>889160.25783999998</v>
      </c>
      <c r="J128" s="51">
        <f t="shared" si="5"/>
        <v>3.1126391171860293E-2</v>
      </c>
      <c r="K128" s="2">
        <f t="shared" si="6"/>
        <v>6.1339853600736516E-2</v>
      </c>
      <c r="L128" s="2" t="str">
        <f t="shared" si="7"/>
        <v>A</v>
      </c>
      <c r="M128" s="52"/>
    </row>
    <row r="129" spans="1:13" x14ac:dyDescent="0.3">
      <c r="A129" s="2" t="s">
        <v>731</v>
      </c>
      <c r="B129" s="2" t="s">
        <v>1158</v>
      </c>
      <c r="C129" s="83">
        <v>15366.983199999999</v>
      </c>
      <c r="F129" s="50" t="s">
        <v>733</v>
      </c>
      <c r="G129" s="2" t="s">
        <v>1074</v>
      </c>
      <c r="H129" s="2">
        <v>27465.647999999997</v>
      </c>
      <c r="I129" s="2">
        <f t="shared" si="4"/>
        <v>825788.25492000033</v>
      </c>
      <c r="J129" s="51">
        <f t="shared" si="5"/>
        <v>3.3259916009172087E-2</v>
      </c>
      <c r="K129" s="2">
        <f t="shared" si="6"/>
        <v>3.3259916009172087E-2</v>
      </c>
      <c r="L129" s="2" t="str">
        <f t="shared" si="7"/>
        <v>A</v>
      </c>
      <c r="M129" s="52"/>
    </row>
    <row r="130" spans="1:13" x14ac:dyDescent="0.3">
      <c r="A130" s="2" t="s">
        <v>731</v>
      </c>
      <c r="B130" s="2" t="s">
        <v>1268</v>
      </c>
      <c r="C130" s="83">
        <v>15155.326800000001</v>
      </c>
      <c r="F130" s="50" t="s">
        <v>732</v>
      </c>
      <c r="G130" s="2" t="s">
        <v>869</v>
      </c>
      <c r="H130" s="2">
        <v>27370.540859999997</v>
      </c>
      <c r="I130" s="2">
        <f t="shared" si="4"/>
        <v>782672.16247000033</v>
      </c>
      <c r="J130" s="51">
        <f t="shared" si="5"/>
        <v>3.4970632881106342E-2</v>
      </c>
      <c r="K130" s="2">
        <f t="shared" si="6"/>
        <v>3.4970632881106342E-2</v>
      </c>
      <c r="L130" s="2" t="str">
        <f t="shared" si="7"/>
        <v>A</v>
      </c>
      <c r="M130" s="52"/>
    </row>
    <row r="131" spans="1:13" x14ac:dyDescent="0.3">
      <c r="A131" s="2" t="s">
        <v>731</v>
      </c>
      <c r="B131" s="2" t="s">
        <v>1327</v>
      </c>
      <c r="C131" s="83">
        <v>14910.609600000002</v>
      </c>
      <c r="F131" s="50" t="s">
        <v>727</v>
      </c>
      <c r="G131" s="2" t="s">
        <v>768</v>
      </c>
      <c r="H131" s="2">
        <v>27331.829999999998</v>
      </c>
      <c r="I131" s="2">
        <f t="shared" si="4"/>
        <v>861483.90783999988</v>
      </c>
      <c r="J131" s="51">
        <f t="shared" si="5"/>
        <v>3.1726454494697576E-2</v>
      </c>
      <c r="K131" s="2">
        <f t="shared" si="6"/>
        <v>3.1726454494697576E-2</v>
      </c>
      <c r="L131" s="2" t="str">
        <f t="shared" si="7"/>
        <v>A</v>
      </c>
      <c r="M131" s="52"/>
    </row>
    <row r="132" spans="1:13" x14ac:dyDescent="0.3">
      <c r="A132" s="2" t="s">
        <v>731</v>
      </c>
      <c r="B132" s="2" t="s">
        <v>900</v>
      </c>
      <c r="C132" s="83">
        <v>14448.298699999998</v>
      </c>
      <c r="F132" s="50" t="s">
        <v>730</v>
      </c>
      <c r="G132" s="2" t="s">
        <v>1168</v>
      </c>
      <c r="H132" s="2">
        <v>27249</v>
      </c>
      <c r="I132" s="2">
        <f t="shared" ref="I132:I195" si="8">SUMIF(F132:F760, F132, H132:H760)</f>
        <v>725381.90850000002</v>
      </c>
      <c r="J132" s="51">
        <f t="shared" ref="J132:J195" si="9">H132/I132</f>
        <v>3.7565039437428976E-2</v>
      </c>
      <c r="K132" s="2">
        <f t="shared" si="6"/>
        <v>3.7565039437428976E-2</v>
      </c>
      <c r="L132" s="2" t="str">
        <f t="shared" si="7"/>
        <v>A</v>
      </c>
      <c r="M132" s="52"/>
    </row>
    <row r="133" spans="1:13" x14ac:dyDescent="0.3">
      <c r="A133" s="2" t="s">
        <v>731</v>
      </c>
      <c r="B133" s="2" t="s">
        <v>1276</v>
      </c>
      <c r="C133" s="83">
        <v>14114.068500000001</v>
      </c>
      <c r="F133" s="50" t="s">
        <v>728</v>
      </c>
      <c r="G133" s="2" t="s">
        <v>1208</v>
      </c>
      <c r="H133" s="2">
        <v>27194.152039999997</v>
      </c>
      <c r="I133" s="2">
        <f t="shared" si="8"/>
        <v>852849.53747999948</v>
      </c>
      <c r="J133" s="51">
        <f t="shared" si="9"/>
        <v>3.1886224761700992E-2</v>
      </c>
      <c r="K133" s="2">
        <f t="shared" ref="K133:K196" si="10">IF(F133=F132, K132+J133, J133)</f>
        <v>3.1886224761700992E-2</v>
      </c>
      <c r="L133" s="2" t="str">
        <f t="shared" ref="L133:L196" si="11">IF(K133&lt;=0.8,"A", IF(K133&lt;=0.95,"B","C"))</f>
        <v>A</v>
      </c>
      <c r="M133" s="52"/>
    </row>
    <row r="134" spans="1:13" x14ac:dyDescent="0.3">
      <c r="A134" s="2" t="s">
        <v>731</v>
      </c>
      <c r="B134" s="2" t="s">
        <v>1102</v>
      </c>
      <c r="C134" s="83">
        <v>13784.586000000001</v>
      </c>
      <c r="F134" s="50" t="s">
        <v>727</v>
      </c>
      <c r="G134" s="2" t="s">
        <v>1082</v>
      </c>
      <c r="H134" s="2">
        <v>27158.894079999998</v>
      </c>
      <c r="I134" s="2">
        <f t="shared" si="8"/>
        <v>834152.07784000004</v>
      </c>
      <c r="J134" s="51">
        <f t="shared" si="9"/>
        <v>3.2558684203397005E-2</v>
      </c>
      <c r="K134" s="2">
        <f t="shared" si="10"/>
        <v>3.2558684203397005E-2</v>
      </c>
      <c r="L134" s="2" t="str">
        <f t="shared" si="11"/>
        <v>A</v>
      </c>
      <c r="M134" s="52"/>
    </row>
    <row r="135" spans="1:13" x14ac:dyDescent="0.3">
      <c r="A135" s="2" t="s">
        <v>731</v>
      </c>
      <c r="B135" s="2" t="s">
        <v>836</v>
      </c>
      <c r="C135" s="83">
        <v>13669.81</v>
      </c>
      <c r="F135" s="50" t="s">
        <v>733</v>
      </c>
      <c r="G135" s="2" t="s">
        <v>1022</v>
      </c>
      <c r="H135" s="2">
        <v>26765.040239999998</v>
      </c>
      <c r="I135" s="2">
        <f t="shared" si="8"/>
        <v>798322.60692000005</v>
      </c>
      <c r="J135" s="51">
        <f t="shared" si="9"/>
        <v>3.3526596902049302E-2</v>
      </c>
      <c r="K135" s="2">
        <f t="shared" si="10"/>
        <v>3.3526596902049302E-2</v>
      </c>
      <c r="L135" s="2" t="str">
        <f t="shared" si="11"/>
        <v>A</v>
      </c>
      <c r="M135" s="52"/>
    </row>
    <row r="136" spans="1:13" x14ac:dyDescent="0.3">
      <c r="A136" s="2" t="s">
        <v>731</v>
      </c>
      <c r="B136" s="2" t="s">
        <v>1079</v>
      </c>
      <c r="C136" s="83">
        <v>13637.287999999999</v>
      </c>
      <c r="F136" s="50" t="s">
        <v>733</v>
      </c>
      <c r="G136" s="2" t="s">
        <v>1086</v>
      </c>
      <c r="H136" s="2">
        <v>26552.60298</v>
      </c>
      <c r="I136" s="2">
        <f t="shared" si="8"/>
        <v>771557.56668000028</v>
      </c>
      <c r="J136" s="51">
        <f t="shared" si="9"/>
        <v>3.4414286278411373E-2</v>
      </c>
      <c r="K136" s="2">
        <f t="shared" si="10"/>
        <v>6.7940883180460682E-2</v>
      </c>
      <c r="L136" s="2" t="str">
        <f t="shared" si="11"/>
        <v>A</v>
      </c>
      <c r="M136" s="52"/>
    </row>
    <row r="137" spans="1:13" x14ac:dyDescent="0.3">
      <c r="A137" s="2" t="s">
        <v>731</v>
      </c>
      <c r="B137" s="2" t="s">
        <v>767</v>
      </c>
      <c r="C137" s="83">
        <v>13218.5</v>
      </c>
      <c r="F137" s="50" t="s">
        <v>732</v>
      </c>
      <c r="G137" s="2" t="s">
        <v>918</v>
      </c>
      <c r="H137" s="2">
        <v>26408.63841</v>
      </c>
      <c r="I137" s="2">
        <f t="shared" si="8"/>
        <v>755301.62161000026</v>
      </c>
      <c r="J137" s="51">
        <f t="shared" si="9"/>
        <v>3.4964360798944626E-2</v>
      </c>
      <c r="K137" s="2">
        <f t="shared" si="10"/>
        <v>3.4964360798944626E-2</v>
      </c>
      <c r="L137" s="2" t="str">
        <f t="shared" si="11"/>
        <v>A</v>
      </c>
      <c r="M137" s="52"/>
    </row>
    <row r="138" spans="1:13" x14ac:dyDescent="0.3">
      <c r="A138" s="2" t="s">
        <v>731</v>
      </c>
      <c r="B138" s="2" t="s">
        <v>879</v>
      </c>
      <c r="C138" s="83">
        <v>12954.358080000002</v>
      </c>
      <c r="F138" s="50" t="s">
        <v>731</v>
      </c>
      <c r="G138" s="2" t="s">
        <v>798</v>
      </c>
      <c r="H138" s="2">
        <v>26304.275999999998</v>
      </c>
      <c r="I138" s="2">
        <f t="shared" si="8"/>
        <v>713263.30023000005</v>
      </c>
      <c r="J138" s="51">
        <f t="shared" si="9"/>
        <v>3.6878773927549444E-2</v>
      </c>
      <c r="K138" s="2">
        <f t="shared" si="10"/>
        <v>3.6878773927549444E-2</v>
      </c>
      <c r="L138" s="2" t="str">
        <f t="shared" si="11"/>
        <v>A</v>
      </c>
      <c r="M138" s="52"/>
    </row>
    <row r="139" spans="1:13" x14ac:dyDescent="0.3">
      <c r="A139" s="2" t="s">
        <v>731</v>
      </c>
      <c r="B139" s="2" t="s">
        <v>838</v>
      </c>
      <c r="C139" s="83">
        <v>12335.654849999999</v>
      </c>
      <c r="F139" s="50" t="s">
        <v>730</v>
      </c>
      <c r="G139" s="2" t="s">
        <v>765</v>
      </c>
      <c r="H139" s="2">
        <v>26150.364320000001</v>
      </c>
      <c r="I139" s="2">
        <f t="shared" si="8"/>
        <v>698132.9084999999</v>
      </c>
      <c r="J139" s="51">
        <f t="shared" si="9"/>
        <v>3.7457572908554566E-2</v>
      </c>
      <c r="K139" s="2">
        <f t="shared" si="10"/>
        <v>3.7457572908554566E-2</v>
      </c>
      <c r="L139" s="2" t="str">
        <f t="shared" si="11"/>
        <v>A</v>
      </c>
      <c r="M139" s="52"/>
    </row>
    <row r="140" spans="1:13" x14ac:dyDescent="0.3">
      <c r="A140" s="2" t="s">
        <v>731</v>
      </c>
      <c r="B140" s="2" t="s">
        <v>1083</v>
      </c>
      <c r="C140" s="83">
        <v>12236.874600000001</v>
      </c>
      <c r="F140" s="50" t="s">
        <v>732</v>
      </c>
      <c r="G140" s="2" t="s">
        <v>939</v>
      </c>
      <c r="H140" s="2">
        <v>26131.70736</v>
      </c>
      <c r="I140" s="2">
        <f t="shared" si="8"/>
        <v>728892.98320000025</v>
      </c>
      <c r="J140" s="51">
        <f t="shared" si="9"/>
        <v>3.5851226397153761E-2</v>
      </c>
      <c r="K140" s="2">
        <f t="shared" si="10"/>
        <v>3.5851226397153761E-2</v>
      </c>
      <c r="L140" s="2" t="str">
        <f t="shared" si="11"/>
        <v>A</v>
      </c>
      <c r="M140" s="52"/>
    </row>
    <row r="141" spans="1:13" x14ac:dyDescent="0.3">
      <c r="A141" s="2" t="s">
        <v>731</v>
      </c>
      <c r="B141" s="2" t="s">
        <v>1017</v>
      </c>
      <c r="C141" s="83">
        <v>11696.156879999999</v>
      </c>
      <c r="F141" s="50" t="s">
        <v>732</v>
      </c>
      <c r="G141" s="2" t="s">
        <v>1073</v>
      </c>
      <c r="H141" s="2">
        <v>26106.613960000002</v>
      </c>
      <c r="I141" s="2">
        <f t="shared" si="8"/>
        <v>702761.27584000025</v>
      </c>
      <c r="J141" s="51">
        <f t="shared" si="9"/>
        <v>3.7148623376828997E-2</v>
      </c>
      <c r="K141" s="2">
        <f t="shared" si="10"/>
        <v>7.2999849773982758E-2</v>
      </c>
      <c r="L141" s="2" t="str">
        <f t="shared" si="11"/>
        <v>A</v>
      </c>
      <c r="M141" s="52"/>
    </row>
    <row r="142" spans="1:13" x14ac:dyDescent="0.3">
      <c r="A142" s="2" t="s">
        <v>731</v>
      </c>
      <c r="B142" s="2" t="s">
        <v>1248</v>
      </c>
      <c r="C142" s="83">
        <v>10859.64</v>
      </c>
      <c r="F142" s="50" t="s">
        <v>727</v>
      </c>
      <c r="G142" s="2" t="s">
        <v>1058</v>
      </c>
      <c r="H142" s="2">
        <v>26015.449459999996</v>
      </c>
      <c r="I142" s="2">
        <f t="shared" si="8"/>
        <v>806993.18375999981</v>
      </c>
      <c r="J142" s="51">
        <f t="shared" si="9"/>
        <v>3.2237508300611624E-2</v>
      </c>
      <c r="K142" s="2">
        <f t="shared" si="10"/>
        <v>3.2237508300611624E-2</v>
      </c>
      <c r="L142" s="2" t="str">
        <f t="shared" si="11"/>
        <v>A</v>
      </c>
      <c r="M142" s="52"/>
    </row>
    <row r="143" spans="1:13" x14ac:dyDescent="0.3">
      <c r="A143" s="2" t="s">
        <v>731</v>
      </c>
      <c r="B143" s="2" t="s">
        <v>1043</v>
      </c>
      <c r="C143" s="83">
        <v>9847.2358600000007</v>
      </c>
      <c r="F143" s="50" t="s">
        <v>728</v>
      </c>
      <c r="G143" s="2" t="s">
        <v>750</v>
      </c>
      <c r="H143" s="2">
        <v>25948.414799999995</v>
      </c>
      <c r="I143" s="2">
        <f t="shared" si="8"/>
        <v>825655.38543999952</v>
      </c>
      <c r="J143" s="51">
        <f t="shared" si="9"/>
        <v>3.1427657661521627E-2</v>
      </c>
      <c r="K143" s="2">
        <f t="shared" si="10"/>
        <v>3.1427657661521627E-2</v>
      </c>
      <c r="L143" s="2" t="str">
        <f t="shared" si="11"/>
        <v>A</v>
      </c>
      <c r="M143" s="52"/>
    </row>
    <row r="144" spans="1:13" x14ac:dyDescent="0.3">
      <c r="A144" s="2" t="s">
        <v>731</v>
      </c>
      <c r="B144" s="2" t="s">
        <v>980</v>
      </c>
      <c r="C144" s="83">
        <v>9774.3888000000006</v>
      </c>
      <c r="F144" s="50" t="s">
        <v>729</v>
      </c>
      <c r="G144" s="2" t="s">
        <v>878</v>
      </c>
      <c r="H144" s="2">
        <v>25672.127039999999</v>
      </c>
      <c r="I144" s="2">
        <f t="shared" si="8"/>
        <v>571078.76179999998</v>
      </c>
      <c r="J144" s="51">
        <f t="shared" si="9"/>
        <v>4.4953741510336098E-2</v>
      </c>
      <c r="K144" s="2">
        <f t="shared" si="10"/>
        <v>4.4953741510336098E-2</v>
      </c>
      <c r="L144" s="2" t="str">
        <f t="shared" si="11"/>
        <v>A</v>
      </c>
      <c r="M144" s="52"/>
    </row>
    <row r="145" spans="1:13" x14ac:dyDescent="0.3">
      <c r="A145" s="2" t="s">
        <v>731</v>
      </c>
      <c r="B145" s="2" t="s">
        <v>1179</v>
      </c>
      <c r="C145" s="83">
        <v>9771.4483199999995</v>
      </c>
      <c r="F145" s="50" t="s">
        <v>727</v>
      </c>
      <c r="G145" s="2" t="s">
        <v>1034</v>
      </c>
      <c r="H145" s="2">
        <v>25577.274079999999</v>
      </c>
      <c r="I145" s="2">
        <f t="shared" si="8"/>
        <v>780977.73430000001</v>
      </c>
      <c r="J145" s="51">
        <f t="shared" si="9"/>
        <v>3.2750324313567308E-2</v>
      </c>
      <c r="K145" s="2">
        <f t="shared" si="10"/>
        <v>3.2750324313567308E-2</v>
      </c>
      <c r="L145" s="2" t="str">
        <f t="shared" si="11"/>
        <v>A</v>
      </c>
      <c r="M145" s="52"/>
    </row>
    <row r="146" spans="1:13" x14ac:dyDescent="0.3">
      <c r="A146" s="2" t="s">
        <v>731</v>
      </c>
      <c r="B146" s="2" t="s">
        <v>1013</v>
      </c>
      <c r="C146" s="83">
        <v>8907.6924999999992</v>
      </c>
      <c r="F146" s="50" t="s">
        <v>732</v>
      </c>
      <c r="G146" s="2" t="s">
        <v>938</v>
      </c>
      <c r="H146" s="2">
        <v>25553.782800000001</v>
      </c>
      <c r="I146" s="2">
        <f t="shared" si="8"/>
        <v>676654.66188000026</v>
      </c>
      <c r="J146" s="51">
        <f t="shared" si="9"/>
        <v>3.7764881023655425E-2</v>
      </c>
      <c r="K146" s="2">
        <f t="shared" si="10"/>
        <v>3.7764881023655425E-2</v>
      </c>
      <c r="L146" s="2" t="str">
        <f t="shared" si="11"/>
        <v>A</v>
      </c>
      <c r="M146" s="52"/>
    </row>
    <row r="147" spans="1:13" x14ac:dyDescent="0.3">
      <c r="A147" s="2" t="s">
        <v>731</v>
      </c>
      <c r="B147" s="2" t="s">
        <v>1009</v>
      </c>
      <c r="C147" s="83">
        <v>8567.3924999999999</v>
      </c>
      <c r="F147" s="50" t="s">
        <v>731</v>
      </c>
      <c r="G147" s="2" t="s">
        <v>833</v>
      </c>
      <c r="H147" s="2">
        <v>25502.910479999999</v>
      </c>
      <c r="I147" s="2">
        <f t="shared" si="8"/>
        <v>686959.02422999998</v>
      </c>
      <c r="J147" s="51">
        <f t="shared" si="9"/>
        <v>3.7124354700174077E-2</v>
      </c>
      <c r="K147" s="2">
        <f t="shared" si="10"/>
        <v>3.7124354700174077E-2</v>
      </c>
      <c r="L147" s="2" t="str">
        <f t="shared" si="11"/>
        <v>A</v>
      </c>
      <c r="M147" s="52"/>
    </row>
    <row r="148" spans="1:13" x14ac:dyDescent="0.3">
      <c r="A148" s="2" t="s">
        <v>731</v>
      </c>
      <c r="B148" s="2" t="s">
        <v>866</v>
      </c>
      <c r="C148" s="83">
        <v>8336.8896000000004</v>
      </c>
      <c r="F148" s="50" t="s">
        <v>728</v>
      </c>
      <c r="G148" s="2" t="s">
        <v>987</v>
      </c>
      <c r="H148" s="2">
        <v>25483.91488</v>
      </c>
      <c r="I148" s="2">
        <f t="shared" si="8"/>
        <v>799706.97063999961</v>
      </c>
      <c r="J148" s="51">
        <f t="shared" si="9"/>
        <v>3.1866565899263587E-2</v>
      </c>
      <c r="K148" s="2">
        <f t="shared" si="10"/>
        <v>3.1866565899263587E-2</v>
      </c>
      <c r="L148" s="2" t="str">
        <f t="shared" si="11"/>
        <v>A</v>
      </c>
      <c r="M148" s="52"/>
    </row>
    <row r="149" spans="1:13" x14ac:dyDescent="0.3">
      <c r="A149" s="2" t="s">
        <v>731</v>
      </c>
      <c r="B149" s="2" t="s">
        <v>1242</v>
      </c>
      <c r="C149" s="83">
        <v>8297.4286000000011</v>
      </c>
      <c r="F149" s="50" t="s">
        <v>730</v>
      </c>
      <c r="G149" s="2" t="s">
        <v>936</v>
      </c>
      <c r="H149" s="2">
        <v>25299.040000000001</v>
      </c>
      <c r="I149" s="2">
        <f t="shared" si="8"/>
        <v>671982.54417999997</v>
      </c>
      <c r="J149" s="51">
        <f t="shared" si="9"/>
        <v>3.764835890323856E-2</v>
      </c>
      <c r="K149" s="2">
        <f t="shared" si="10"/>
        <v>3.764835890323856E-2</v>
      </c>
      <c r="L149" s="2" t="str">
        <f t="shared" si="11"/>
        <v>A</v>
      </c>
      <c r="M149" s="52"/>
    </row>
    <row r="150" spans="1:13" x14ac:dyDescent="0.3">
      <c r="A150" s="2" t="s">
        <v>731</v>
      </c>
      <c r="B150" s="2" t="s">
        <v>1191</v>
      </c>
      <c r="C150" s="83">
        <v>7643.2649999999994</v>
      </c>
      <c r="F150" s="50" t="s">
        <v>727</v>
      </c>
      <c r="G150" s="2" t="s">
        <v>1201</v>
      </c>
      <c r="H150" s="2">
        <v>25269.09</v>
      </c>
      <c r="I150" s="2">
        <f t="shared" si="8"/>
        <v>755400.46021999989</v>
      </c>
      <c r="J150" s="51">
        <f t="shared" si="9"/>
        <v>3.3451250470036421E-2</v>
      </c>
      <c r="K150" s="2">
        <f t="shared" si="10"/>
        <v>3.3451250470036421E-2</v>
      </c>
      <c r="L150" s="2" t="str">
        <f t="shared" si="11"/>
        <v>A</v>
      </c>
      <c r="M150" s="52"/>
    </row>
    <row r="151" spans="1:13" x14ac:dyDescent="0.3">
      <c r="A151" s="2" t="s">
        <v>731</v>
      </c>
      <c r="B151" s="2" t="s">
        <v>749</v>
      </c>
      <c r="C151" s="83">
        <v>7090.5672000000004</v>
      </c>
      <c r="F151" s="50" t="s">
        <v>729</v>
      </c>
      <c r="G151" s="2" t="s">
        <v>1230</v>
      </c>
      <c r="H151" s="2">
        <v>25249.613219999999</v>
      </c>
      <c r="I151" s="2">
        <f t="shared" si="8"/>
        <v>545406.63475999981</v>
      </c>
      <c r="J151" s="51">
        <f t="shared" si="9"/>
        <v>4.6295023952377869E-2</v>
      </c>
      <c r="K151" s="2">
        <f t="shared" si="10"/>
        <v>4.6295023952377869E-2</v>
      </c>
      <c r="L151" s="2" t="str">
        <f t="shared" si="11"/>
        <v>A</v>
      </c>
      <c r="M151" s="52"/>
    </row>
    <row r="152" spans="1:13" x14ac:dyDescent="0.3">
      <c r="A152" s="2" t="s">
        <v>731</v>
      </c>
      <c r="B152" s="2" t="s">
        <v>1337</v>
      </c>
      <c r="C152" s="83">
        <v>7071.6331400000008</v>
      </c>
      <c r="F152" s="50" t="s">
        <v>728</v>
      </c>
      <c r="G152" s="2" t="s">
        <v>1350</v>
      </c>
      <c r="H152" s="2">
        <v>25174.028880000002</v>
      </c>
      <c r="I152" s="2">
        <f t="shared" si="8"/>
        <v>774223.05575999978</v>
      </c>
      <c r="J152" s="51">
        <f t="shared" si="9"/>
        <v>3.2515214695186832E-2</v>
      </c>
      <c r="K152" s="2">
        <f t="shared" si="10"/>
        <v>3.2515214695186832E-2</v>
      </c>
      <c r="L152" s="2" t="str">
        <f t="shared" si="11"/>
        <v>A</v>
      </c>
      <c r="M152" s="52"/>
    </row>
    <row r="153" spans="1:13" x14ac:dyDescent="0.3">
      <c r="A153" s="2" t="s">
        <v>731</v>
      </c>
      <c r="B153" s="2" t="s">
        <v>805</v>
      </c>
      <c r="C153" s="83">
        <v>6393.0952799999995</v>
      </c>
      <c r="F153" s="50" t="s">
        <v>727</v>
      </c>
      <c r="G153" s="2" t="s">
        <v>1319</v>
      </c>
      <c r="H153" s="2">
        <v>25131.155999999999</v>
      </c>
      <c r="I153" s="2">
        <f t="shared" si="8"/>
        <v>730131.37022000004</v>
      </c>
      <c r="J153" s="51">
        <f t="shared" si="9"/>
        <v>3.4420046891599228E-2</v>
      </c>
      <c r="K153" s="2">
        <f t="shared" si="10"/>
        <v>3.4420046891599228E-2</v>
      </c>
      <c r="L153" s="2" t="str">
        <f t="shared" si="11"/>
        <v>A</v>
      </c>
      <c r="M153" s="52"/>
    </row>
    <row r="154" spans="1:13" x14ac:dyDescent="0.3">
      <c r="A154" s="2" t="s">
        <v>731</v>
      </c>
      <c r="B154" s="2" t="s">
        <v>1038</v>
      </c>
      <c r="C154" s="83">
        <v>5932.7856000000002</v>
      </c>
      <c r="F154" s="50" t="s">
        <v>732</v>
      </c>
      <c r="G154" s="2" t="s">
        <v>1300</v>
      </c>
      <c r="H154" s="2">
        <v>25079.480689999997</v>
      </c>
      <c r="I154" s="2">
        <f t="shared" si="8"/>
        <v>651100.87908000022</v>
      </c>
      <c r="J154" s="51">
        <f t="shared" si="9"/>
        <v>3.8518579064794202E-2</v>
      </c>
      <c r="K154" s="2">
        <f t="shared" si="10"/>
        <v>3.8518579064794202E-2</v>
      </c>
      <c r="L154" s="2" t="str">
        <f t="shared" si="11"/>
        <v>A</v>
      </c>
      <c r="M154" s="52"/>
    </row>
    <row r="155" spans="1:13" x14ac:dyDescent="0.3">
      <c r="A155" s="2" t="s">
        <v>731</v>
      </c>
      <c r="B155" s="2" t="s">
        <v>786</v>
      </c>
      <c r="C155" s="83">
        <v>5785.8</v>
      </c>
      <c r="F155" s="50" t="s">
        <v>727</v>
      </c>
      <c r="G155" s="2" t="s">
        <v>758</v>
      </c>
      <c r="H155" s="2">
        <v>24894.430559999997</v>
      </c>
      <c r="I155" s="2">
        <f t="shared" si="8"/>
        <v>705000.21421999985</v>
      </c>
      <c r="J155" s="51">
        <f t="shared" si="9"/>
        <v>3.5311238291668844E-2</v>
      </c>
      <c r="K155" s="2">
        <f t="shared" si="10"/>
        <v>3.5311238291668844E-2</v>
      </c>
      <c r="L155" s="2" t="str">
        <f t="shared" si="11"/>
        <v>A</v>
      </c>
      <c r="M155" s="52"/>
    </row>
    <row r="156" spans="1:13" x14ac:dyDescent="0.3">
      <c r="A156" s="2" t="s">
        <v>731</v>
      </c>
      <c r="B156" s="2" t="s">
        <v>1143</v>
      </c>
      <c r="C156" s="83">
        <v>5323.9903199999999</v>
      </c>
      <c r="F156" s="50" t="s">
        <v>732</v>
      </c>
      <c r="G156" s="2" t="s">
        <v>849</v>
      </c>
      <c r="H156" s="2">
        <v>24523.006720000001</v>
      </c>
      <c r="I156" s="2">
        <f t="shared" si="8"/>
        <v>626021.39839000022</v>
      </c>
      <c r="J156" s="51">
        <f t="shared" si="9"/>
        <v>3.9172793107501103E-2</v>
      </c>
      <c r="K156" s="2">
        <f t="shared" si="10"/>
        <v>3.9172793107501103E-2</v>
      </c>
      <c r="L156" s="2" t="str">
        <f t="shared" si="11"/>
        <v>A</v>
      </c>
      <c r="M156" s="52"/>
    </row>
    <row r="157" spans="1:13" x14ac:dyDescent="0.3">
      <c r="A157" s="2" t="s">
        <v>731</v>
      </c>
      <c r="B157" s="2" t="s">
        <v>1136</v>
      </c>
      <c r="C157" s="83">
        <v>5250.4239000000007</v>
      </c>
      <c r="F157" s="50" t="s">
        <v>731</v>
      </c>
      <c r="G157" s="2" t="s">
        <v>926</v>
      </c>
      <c r="H157" s="2">
        <v>24374.594880000001</v>
      </c>
      <c r="I157" s="2">
        <f t="shared" si="8"/>
        <v>661456.11375000002</v>
      </c>
      <c r="J157" s="51">
        <f t="shared" si="9"/>
        <v>3.6849904889098173E-2</v>
      </c>
      <c r="K157" s="2">
        <f t="shared" si="10"/>
        <v>3.6849904889098173E-2</v>
      </c>
      <c r="L157" s="2" t="str">
        <f t="shared" si="11"/>
        <v>A</v>
      </c>
      <c r="M157" s="52"/>
    </row>
    <row r="158" spans="1:13" x14ac:dyDescent="0.3">
      <c r="A158" s="2" t="s">
        <v>731</v>
      </c>
      <c r="B158" s="2" t="s">
        <v>1141</v>
      </c>
      <c r="C158" s="83">
        <v>4679.7141600000004</v>
      </c>
      <c r="F158" s="50" t="s">
        <v>727</v>
      </c>
      <c r="G158" s="2" t="s">
        <v>1192</v>
      </c>
      <c r="H158" s="2">
        <v>24321.57</v>
      </c>
      <c r="I158" s="2">
        <f t="shared" si="8"/>
        <v>680105.78365999984</v>
      </c>
      <c r="J158" s="51">
        <f t="shared" si="9"/>
        <v>3.5761451504077932E-2</v>
      </c>
      <c r="K158" s="2">
        <f t="shared" si="10"/>
        <v>3.5761451504077932E-2</v>
      </c>
      <c r="L158" s="2" t="str">
        <f t="shared" si="11"/>
        <v>A</v>
      </c>
      <c r="M158" s="52"/>
    </row>
    <row r="159" spans="1:13" x14ac:dyDescent="0.3">
      <c r="A159" s="2" t="s">
        <v>731</v>
      </c>
      <c r="B159" s="2" t="s">
        <v>1297</v>
      </c>
      <c r="C159" s="83">
        <v>4229.4321199999995</v>
      </c>
      <c r="F159" s="50" t="s">
        <v>733</v>
      </c>
      <c r="G159" s="2" t="s">
        <v>1171</v>
      </c>
      <c r="H159" s="2">
        <v>24278.849280000002</v>
      </c>
      <c r="I159" s="2">
        <f t="shared" si="8"/>
        <v>745004.96370000008</v>
      </c>
      <c r="J159" s="51">
        <f t="shared" si="9"/>
        <v>3.2588842307065019E-2</v>
      </c>
      <c r="K159" s="2">
        <f t="shared" si="10"/>
        <v>3.2588842307065019E-2</v>
      </c>
      <c r="L159" s="2" t="str">
        <f t="shared" si="11"/>
        <v>A</v>
      </c>
      <c r="M159" s="52"/>
    </row>
    <row r="160" spans="1:13" x14ac:dyDescent="0.3">
      <c r="A160" s="2" t="s">
        <v>731</v>
      </c>
      <c r="B160" s="2" t="s">
        <v>739</v>
      </c>
      <c r="C160" s="83">
        <v>4141.7599999999993</v>
      </c>
      <c r="F160" s="50" t="s">
        <v>730</v>
      </c>
      <c r="G160" s="2" t="s">
        <v>947</v>
      </c>
      <c r="H160" s="2">
        <v>24223.05</v>
      </c>
      <c r="I160" s="2">
        <f t="shared" si="8"/>
        <v>646683.50417999993</v>
      </c>
      <c r="J160" s="51">
        <f t="shared" si="9"/>
        <v>3.7457349450586389E-2</v>
      </c>
      <c r="K160" s="2">
        <f t="shared" si="10"/>
        <v>3.7457349450586389E-2</v>
      </c>
      <c r="L160" s="2" t="str">
        <f t="shared" si="11"/>
        <v>A</v>
      </c>
      <c r="M160" s="52"/>
    </row>
    <row r="161" spans="1:13" x14ac:dyDescent="0.3">
      <c r="A161" s="2" t="s">
        <v>731</v>
      </c>
      <c r="B161" s="2" t="s">
        <v>1104</v>
      </c>
      <c r="C161" s="83">
        <v>4133.25108</v>
      </c>
      <c r="F161" s="50" t="s">
        <v>731</v>
      </c>
      <c r="G161" s="2" t="s">
        <v>989</v>
      </c>
      <c r="H161" s="2">
        <v>24161.205600000001</v>
      </c>
      <c r="I161" s="2">
        <f t="shared" si="8"/>
        <v>637081.51887000015</v>
      </c>
      <c r="J161" s="51">
        <f t="shared" si="9"/>
        <v>3.7924825763043714E-2</v>
      </c>
      <c r="K161" s="2">
        <f t="shared" si="10"/>
        <v>3.7924825763043714E-2</v>
      </c>
      <c r="L161" s="2" t="str">
        <f t="shared" si="11"/>
        <v>A</v>
      </c>
      <c r="M161" s="52"/>
    </row>
    <row r="162" spans="1:13" x14ac:dyDescent="0.3">
      <c r="A162" s="2" t="s">
        <v>731</v>
      </c>
      <c r="B162" s="2" t="s">
        <v>1241</v>
      </c>
      <c r="C162" s="83">
        <v>3921.1744000000008</v>
      </c>
      <c r="F162" s="50" t="s">
        <v>727</v>
      </c>
      <c r="G162" s="2" t="s">
        <v>891</v>
      </c>
      <c r="H162" s="2">
        <v>24147.922500000001</v>
      </c>
      <c r="I162" s="2">
        <f t="shared" si="8"/>
        <v>655784.21365999989</v>
      </c>
      <c r="J162" s="51">
        <f t="shared" si="9"/>
        <v>3.6822970112726464E-2</v>
      </c>
      <c r="K162" s="2">
        <f t="shared" si="10"/>
        <v>3.6822970112726464E-2</v>
      </c>
      <c r="L162" s="2" t="str">
        <f t="shared" si="11"/>
        <v>A</v>
      </c>
      <c r="M162" s="52"/>
    </row>
    <row r="163" spans="1:13" x14ac:dyDescent="0.3">
      <c r="A163" s="2" t="s">
        <v>731</v>
      </c>
      <c r="B163" s="2" t="s">
        <v>1316</v>
      </c>
      <c r="C163" s="83">
        <v>3823.6151599999998</v>
      </c>
      <c r="F163" s="50" t="s">
        <v>731</v>
      </c>
      <c r="G163" s="2" t="s">
        <v>754</v>
      </c>
      <c r="H163" s="2">
        <v>23782.310720000001</v>
      </c>
      <c r="I163" s="2">
        <f t="shared" si="8"/>
        <v>612920.31327000016</v>
      </c>
      <c r="J163" s="51">
        <f t="shared" si="9"/>
        <v>3.8801635718546584E-2</v>
      </c>
      <c r="K163" s="2">
        <f t="shared" si="10"/>
        <v>3.8801635718546584E-2</v>
      </c>
      <c r="L163" s="2" t="str">
        <f t="shared" si="11"/>
        <v>A</v>
      </c>
      <c r="M163" s="52"/>
    </row>
    <row r="164" spans="1:13" x14ac:dyDescent="0.3">
      <c r="A164" s="2" t="s">
        <v>731</v>
      </c>
      <c r="B164" s="2" t="s">
        <v>973</v>
      </c>
      <c r="C164" s="83">
        <v>3823.5108</v>
      </c>
      <c r="F164" s="50" t="s">
        <v>727</v>
      </c>
      <c r="G164" s="2" t="s">
        <v>1185</v>
      </c>
      <c r="H164" s="2">
        <v>23694.405119999999</v>
      </c>
      <c r="I164" s="2">
        <f t="shared" si="8"/>
        <v>631636.29115999979</v>
      </c>
      <c r="J164" s="51">
        <f t="shared" si="9"/>
        <v>3.7512735496064091E-2</v>
      </c>
      <c r="K164" s="2">
        <f t="shared" si="10"/>
        <v>3.7512735496064091E-2</v>
      </c>
      <c r="L164" s="2" t="str">
        <f t="shared" si="11"/>
        <v>A</v>
      </c>
      <c r="M164" s="52"/>
    </row>
    <row r="165" spans="1:13" x14ac:dyDescent="0.3">
      <c r="A165" s="2" t="s">
        <v>731</v>
      </c>
      <c r="B165" s="2" t="s">
        <v>880</v>
      </c>
      <c r="C165" s="83">
        <v>3562.9028999999996</v>
      </c>
      <c r="F165" s="50" t="s">
        <v>730</v>
      </c>
      <c r="G165" s="2" t="s">
        <v>841</v>
      </c>
      <c r="H165" s="2">
        <v>23687.524440000001</v>
      </c>
      <c r="I165" s="2">
        <f t="shared" si="8"/>
        <v>622460.45418</v>
      </c>
      <c r="J165" s="51">
        <f t="shared" si="9"/>
        <v>3.8054665611174973E-2</v>
      </c>
      <c r="K165" s="2">
        <f t="shared" si="10"/>
        <v>3.8054665611174973E-2</v>
      </c>
      <c r="L165" s="2" t="str">
        <f t="shared" si="11"/>
        <v>A</v>
      </c>
      <c r="M165" s="52"/>
    </row>
    <row r="166" spans="1:13" x14ac:dyDescent="0.3">
      <c r="A166" s="2" t="s">
        <v>731</v>
      </c>
      <c r="B166" s="2" t="s">
        <v>787</v>
      </c>
      <c r="C166" s="83">
        <v>2518.8755800000004</v>
      </c>
      <c r="F166" s="50" t="s">
        <v>733</v>
      </c>
      <c r="G166" s="2" t="s">
        <v>1142</v>
      </c>
      <c r="H166" s="2">
        <v>23668.560000000001</v>
      </c>
      <c r="I166" s="2">
        <f t="shared" si="8"/>
        <v>720726.11442000011</v>
      </c>
      <c r="J166" s="51">
        <f t="shared" si="9"/>
        <v>3.2839881234284302E-2</v>
      </c>
      <c r="K166" s="2">
        <f t="shared" si="10"/>
        <v>3.2839881234284302E-2</v>
      </c>
      <c r="L166" s="2" t="str">
        <f t="shared" si="11"/>
        <v>A</v>
      </c>
      <c r="M166" s="52"/>
    </row>
    <row r="167" spans="1:13" x14ac:dyDescent="0.3">
      <c r="A167" s="2" t="s">
        <v>731</v>
      </c>
      <c r="B167" s="2" t="s">
        <v>1209</v>
      </c>
      <c r="C167" s="83">
        <v>1009.2969000000002</v>
      </c>
      <c r="F167" s="50" t="s">
        <v>733</v>
      </c>
      <c r="G167" s="2" t="s">
        <v>1026</v>
      </c>
      <c r="H167" s="2">
        <v>23375.594060000003</v>
      </c>
      <c r="I167" s="2">
        <f t="shared" si="8"/>
        <v>697057.55442000006</v>
      </c>
      <c r="J167" s="51">
        <f t="shared" si="9"/>
        <v>3.353466856757633E-2</v>
      </c>
      <c r="K167" s="2">
        <f t="shared" si="10"/>
        <v>6.6374549801860638E-2</v>
      </c>
      <c r="L167" s="2" t="str">
        <f t="shared" si="11"/>
        <v>A</v>
      </c>
      <c r="M167" s="52"/>
    </row>
    <row r="168" spans="1:13" x14ac:dyDescent="0.3">
      <c r="A168" s="2" t="s">
        <v>731</v>
      </c>
      <c r="B168" s="2" t="s">
        <v>853</v>
      </c>
      <c r="C168" s="83">
        <v>592.92849000000001</v>
      </c>
      <c r="F168" s="50" t="s">
        <v>733</v>
      </c>
      <c r="G168" s="2" t="s">
        <v>1089</v>
      </c>
      <c r="H168" s="2">
        <v>23195.01828</v>
      </c>
      <c r="I168" s="2">
        <f t="shared" si="8"/>
        <v>673681.96036000026</v>
      </c>
      <c r="J168" s="51">
        <f t="shared" si="9"/>
        <v>3.4430220259430891E-2</v>
      </c>
      <c r="K168" s="2">
        <f t="shared" si="10"/>
        <v>0.10080477006129153</v>
      </c>
      <c r="L168" s="2" t="str">
        <f t="shared" si="11"/>
        <v>A</v>
      </c>
      <c r="M168" s="52"/>
    </row>
    <row r="169" spans="1:13" x14ac:dyDescent="0.3">
      <c r="A169" s="2" t="s">
        <v>731</v>
      </c>
      <c r="B169" s="2" t="s">
        <v>1122</v>
      </c>
      <c r="C169" s="83">
        <v>434.45248000000004</v>
      </c>
      <c r="F169" s="50" t="s">
        <v>732</v>
      </c>
      <c r="G169" s="2" t="s">
        <v>1187</v>
      </c>
      <c r="H169" s="2">
        <v>23132.398349999996</v>
      </c>
      <c r="I169" s="2">
        <f t="shared" si="8"/>
        <v>601498.39167000027</v>
      </c>
      <c r="J169" s="51">
        <f t="shared" si="9"/>
        <v>3.8457955449847835E-2</v>
      </c>
      <c r="K169" s="2">
        <f t="shared" si="10"/>
        <v>3.8457955449847835E-2</v>
      </c>
      <c r="L169" s="2" t="str">
        <f t="shared" si="11"/>
        <v>A</v>
      </c>
      <c r="M169" s="52"/>
    </row>
    <row r="170" spans="1:13" x14ac:dyDescent="0.3">
      <c r="A170" s="2" t="s">
        <v>731</v>
      </c>
      <c r="B170" s="2" t="s">
        <v>1363</v>
      </c>
      <c r="C170" s="83">
        <v>266.17821999999995</v>
      </c>
      <c r="F170" s="50" t="s">
        <v>732</v>
      </c>
      <c r="G170" s="2" t="s">
        <v>855</v>
      </c>
      <c r="H170" s="2">
        <v>22983.34563</v>
      </c>
      <c r="I170" s="2">
        <f t="shared" si="8"/>
        <v>578365.99332000024</v>
      </c>
      <c r="J170" s="51">
        <f t="shared" si="9"/>
        <v>3.9738411136637661E-2</v>
      </c>
      <c r="K170" s="2">
        <f t="shared" si="10"/>
        <v>7.8196366586485488E-2</v>
      </c>
      <c r="L170" s="2" t="str">
        <f t="shared" si="11"/>
        <v>A</v>
      </c>
      <c r="M170" s="52"/>
    </row>
    <row r="171" spans="1:13" x14ac:dyDescent="0.3">
      <c r="A171" s="2" t="s">
        <v>728</v>
      </c>
      <c r="B171" s="2" t="s">
        <v>1271</v>
      </c>
      <c r="C171" s="83">
        <v>66260.314239999992</v>
      </c>
      <c r="F171" s="50" t="s">
        <v>727</v>
      </c>
      <c r="G171" s="2" t="s">
        <v>994</v>
      </c>
      <c r="H171" s="2">
        <v>22882.675440000003</v>
      </c>
      <c r="I171" s="2">
        <f t="shared" si="8"/>
        <v>607941.88603999978</v>
      </c>
      <c r="J171" s="51">
        <f t="shared" si="9"/>
        <v>3.763957701459384E-2</v>
      </c>
      <c r="K171" s="2">
        <f t="shared" si="10"/>
        <v>3.763957701459384E-2</v>
      </c>
      <c r="L171" s="2" t="str">
        <f t="shared" si="11"/>
        <v>A</v>
      </c>
      <c r="M171" s="52"/>
    </row>
    <row r="172" spans="1:13" x14ac:dyDescent="0.3">
      <c r="A172" s="2" t="s">
        <v>728</v>
      </c>
      <c r="B172" s="2" t="s">
        <v>1157</v>
      </c>
      <c r="C172" s="83">
        <v>58091.634960000003</v>
      </c>
      <c r="F172" s="50" t="s">
        <v>730</v>
      </c>
      <c r="G172" s="2" t="s">
        <v>1317</v>
      </c>
      <c r="H172" s="2">
        <v>22676.312610000001</v>
      </c>
      <c r="I172" s="2">
        <f t="shared" si="8"/>
        <v>598772.92973999993</v>
      </c>
      <c r="J172" s="51">
        <f t="shared" si="9"/>
        <v>3.7871305604691485E-2</v>
      </c>
      <c r="K172" s="2">
        <f t="shared" si="10"/>
        <v>3.7871305604691485E-2</v>
      </c>
      <c r="L172" s="2" t="str">
        <f t="shared" si="11"/>
        <v>A</v>
      </c>
      <c r="M172" s="52"/>
    </row>
    <row r="173" spans="1:13" x14ac:dyDescent="0.3">
      <c r="A173" s="2" t="s">
        <v>728</v>
      </c>
      <c r="B173" s="2" t="s">
        <v>933</v>
      </c>
      <c r="C173" s="83">
        <v>55880.483749999999</v>
      </c>
      <c r="F173" s="50" t="s">
        <v>733</v>
      </c>
      <c r="G173" s="2" t="s">
        <v>1212</v>
      </c>
      <c r="H173" s="2">
        <v>22620.859800000002</v>
      </c>
      <c r="I173" s="2">
        <f t="shared" si="8"/>
        <v>650486.94208000018</v>
      </c>
      <c r="J173" s="51">
        <f t="shared" si="9"/>
        <v>3.4775271164809905E-2</v>
      </c>
      <c r="K173" s="2">
        <f t="shared" si="10"/>
        <v>3.4775271164809905E-2</v>
      </c>
      <c r="L173" s="2" t="str">
        <f t="shared" si="11"/>
        <v>A</v>
      </c>
      <c r="M173" s="52"/>
    </row>
    <row r="174" spans="1:13" x14ac:dyDescent="0.3">
      <c r="A174" s="2" t="s">
        <v>728</v>
      </c>
      <c r="B174" s="2" t="s">
        <v>1289</v>
      </c>
      <c r="C174" s="83">
        <v>50545.319219999998</v>
      </c>
      <c r="F174" s="50" t="s">
        <v>733</v>
      </c>
      <c r="G174" s="2" t="s">
        <v>1255</v>
      </c>
      <c r="H174" s="2">
        <v>22526.66</v>
      </c>
      <c r="I174" s="2">
        <f t="shared" si="8"/>
        <v>627866.08228000032</v>
      </c>
      <c r="J174" s="51">
        <f t="shared" si="9"/>
        <v>3.5878128530526535E-2</v>
      </c>
      <c r="K174" s="2">
        <f t="shared" si="10"/>
        <v>7.0653399695336433E-2</v>
      </c>
      <c r="L174" s="2" t="str">
        <f t="shared" si="11"/>
        <v>A</v>
      </c>
      <c r="M174" s="52"/>
    </row>
    <row r="175" spans="1:13" x14ac:dyDescent="0.3">
      <c r="A175" s="2" t="s">
        <v>728</v>
      </c>
      <c r="B175" s="2" t="s">
        <v>1090</v>
      </c>
      <c r="C175" s="83">
        <v>43907.94</v>
      </c>
      <c r="F175" s="50" t="s">
        <v>728</v>
      </c>
      <c r="G175" s="2" t="s">
        <v>1139</v>
      </c>
      <c r="H175" s="2">
        <v>22457.143800000002</v>
      </c>
      <c r="I175" s="2">
        <f t="shared" si="8"/>
        <v>749049.02687999979</v>
      </c>
      <c r="J175" s="51">
        <f t="shared" si="9"/>
        <v>2.9980873072541502E-2</v>
      </c>
      <c r="K175" s="2">
        <f t="shared" si="10"/>
        <v>2.9980873072541502E-2</v>
      </c>
      <c r="L175" s="2" t="str">
        <f t="shared" si="11"/>
        <v>A</v>
      </c>
      <c r="M175" s="52"/>
    </row>
    <row r="176" spans="1:13" x14ac:dyDescent="0.3">
      <c r="A176" s="2" t="s">
        <v>728</v>
      </c>
      <c r="B176" s="2" t="s">
        <v>829</v>
      </c>
      <c r="C176" s="83">
        <v>43209.006119999991</v>
      </c>
      <c r="F176" s="50" t="s">
        <v>730</v>
      </c>
      <c r="G176" s="2" t="s">
        <v>1054</v>
      </c>
      <c r="H176" s="2">
        <v>22380.204000000002</v>
      </c>
      <c r="I176" s="2">
        <f t="shared" si="8"/>
        <v>576096.61712999991</v>
      </c>
      <c r="J176" s="51">
        <f t="shared" si="9"/>
        <v>3.8848004543914488E-2</v>
      </c>
      <c r="K176" s="2">
        <f t="shared" si="10"/>
        <v>3.8848004543914488E-2</v>
      </c>
      <c r="L176" s="2" t="str">
        <f t="shared" si="11"/>
        <v>A</v>
      </c>
      <c r="M176" s="52"/>
    </row>
    <row r="177" spans="1:13" x14ac:dyDescent="0.3">
      <c r="A177" s="2" t="s">
        <v>728</v>
      </c>
      <c r="B177" s="2" t="s">
        <v>1047</v>
      </c>
      <c r="C177" s="83">
        <v>40325.31</v>
      </c>
      <c r="F177" s="50" t="s">
        <v>728</v>
      </c>
      <c r="G177" s="2" t="s">
        <v>1249</v>
      </c>
      <c r="H177" s="2">
        <v>22201.762229999997</v>
      </c>
      <c r="I177" s="2">
        <f t="shared" si="8"/>
        <v>726591.88307999971</v>
      </c>
      <c r="J177" s="51">
        <f t="shared" si="9"/>
        <v>3.0556028421192153E-2</v>
      </c>
      <c r="K177" s="2">
        <f t="shared" si="10"/>
        <v>3.0556028421192153E-2</v>
      </c>
      <c r="L177" s="2" t="str">
        <f t="shared" si="11"/>
        <v>A</v>
      </c>
      <c r="M177" s="52"/>
    </row>
    <row r="178" spans="1:13" x14ac:dyDescent="0.3">
      <c r="A178" s="2" t="s">
        <v>728</v>
      </c>
      <c r="B178" s="2" t="s">
        <v>1335</v>
      </c>
      <c r="C178" s="83">
        <v>39810.328000000001</v>
      </c>
      <c r="F178" s="50" t="s">
        <v>731</v>
      </c>
      <c r="G178" s="2" t="s">
        <v>1118</v>
      </c>
      <c r="H178" s="2">
        <v>22064.910300000003</v>
      </c>
      <c r="I178" s="2">
        <f t="shared" si="8"/>
        <v>589138.00254999998</v>
      </c>
      <c r="J178" s="51">
        <f t="shared" si="9"/>
        <v>3.7452872170009706E-2</v>
      </c>
      <c r="K178" s="2">
        <f t="shared" si="10"/>
        <v>3.7452872170009706E-2</v>
      </c>
      <c r="L178" s="2" t="str">
        <f t="shared" si="11"/>
        <v>A</v>
      </c>
      <c r="M178" s="52"/>
    </row>
    <row r="179" spans="1:13" x14ac:dyDescent="0.3">
      <c r="A179" s="2" t="s">
        <v>728</v>
      </c>
      <c r="B179" s="2" t="s">
        <v>1071</v>
      </c>
      <c r="C179" s="83">
        <v>38535.955099999999</v>
      </c>
      <c r="F179" s="50" t="s">
        <v>732</v>
      </c>
      <c r="G179" s="2" t="s">
        <v>894</v>
      </c>
      <c r="H179" s="2">
        <v>22044.871499999997</v>
      </c>
      <c r="I179" s="2">
        <f t="shared" si="8"/>
        <v>555382.64769000001</v>
      </c>
      <c r="J179" s="51">
        <f t="shared" si="9"/>
        <v>3.9693122555576971E-2</v>
      </c>
      <c r="K179" s="2">
        <f t="shared" si="10"/>
        <v>3.9693122555576971E-2</v>
      </c>
      <c r="L179" s="2" t="str">
        <f t="shared" si="11"/>
        <v>A</v>
      </c>
      <c r="M179" s="52"/>
    </row>
    <row r="180" spans="1:13" x14ac:dyDescent="0.3">
      <c r="A180" s="2" t="s">
        <v>728</v>
      </c>
      <c r="B180" s="2" t="s">
        <v>1115</v>
      </c>
      <c r="C180" s="83">
        <v>37562.28</v>
      </c>
      <c r="F180" s="50" t="s">
        <v>729</v>
      </c>
      <c r="G180" s="2" t="s">
        <v>1217</v>
      </c>
      <c r="H180" s="2">
        <v>21908.731650000002</v>
      </c>
      <c r="I180" s="2">
        <f t="shared" si="8"/>
        <v>520157.02153999981</v>
      </c>
      <c r="J180" s="51">
        <f t="shared" si="9"/>
        <v>4.2119457669024717E-2</v>
      </c>
      <c r="K180" s="2">
        <f t="shared" si="10"/>
        <v>4.2119457669024717E-2</v>
      </c>
      <c r="L180" s="2" t="str">
        <f t="shared" si="11"/>
        <v>A</v>
      </c>
      <c r="M180" s="52"/>
    </row>
    <row r="181" spans="1:13" x14ac:dyDescent="0.3">
      <c r="A181" s="2" t="s">
        <v>728</v>
      </c>
      <c r="B181" s="2" t="s">
        <v>1204</v>
      </c>
      <c r="C181" s="83">
        <v>36549.429260000004</v>
      </c>
      <c r="F181" s="50" t="s">
        <v>727</v>
      </c>
      <c r="G181" s="2" t="s">
        <v>812</v>
      </c>
      <c r="H181" s="2">
        <v>21787.936199999996</v>
      </c>
      <c r="I181" s="2">
        <f t="shared" si="8"/>
        <v>585059.21059999976</v>
      </c>
      <c r="J181" s="51">
        <f t="shared" si="9"/>
        <v>3.7240566091858746E-2</v>
      </c>
      <c r="K181" s="2">
        <f t="shared" si="10"/>
        <v>3.7240566091858746E-2</v>
      </c>
      <c r="L181" s="2" t="str">
        <f t="shared" si="11"/>
        <v>A</v>
      </c>
      <c r="M181" s="52"/>
    </row>
    <row r="182" spans="1:13" x14ac:dyDescent="0.3">
      <c r="A182" s="2" t="s">
        <v>728</v>
      </c>
      <c r="B182" s="2" t="s">
        <v>872</v>
      </c>
      <c r="C182" s="83">
        <v>35567.737920000007</v>
      </c>
      <c r="F182" s="50" t="s">
        <v>730</v>
      </c>
      <c r="G182" s="2" t="s">
        <v>930</v>
      </c>
      <c r="H182" s="2">
        <v>21679.749799999998</v>
      </c>
      <c r="I182" s="2">
        <f t="shared" si="8"/>
        <v>553716.41313</v>
      </c>
      <c r="J182" s="51">
        <f t="shared" si="9"/>
        <v>3.9153164482610497E-2</v>
      </c>
      <c r="K182" s="2">
        <f t="shared" si="10"/>
        <v>3.9153164482610497E-2</v>
      </c>
      <c r="L182" s="2" t="str">
        <f t="shared" si="11"/>
        <v>A</v>
      </c>
      <c r="M182" s="52"/>
    </row>
    <row r="183" spans="1:13" x14ac:dyDescent="0.3">
      <c r="A183" s="2" t="s">
        <v>728</v>
      </c>
      <c r="B183" s="2" t="s">
        <v>783</v>
      </c>
      <c r="C183" s="83">
        <v>34444.462359999998</v>
      </c>
      <c r="F183" s="50" t="s">
        <v>728</v>
      </c>
      <c r="G183" s="2" t="s">
        <v>1177</v>
      </c>
      <c r="H183" s="2">
        <v>21664.440000000002</v>
      </c>
      <c r="I183" s="2">
        <f t="shared" si="8"/>
        <v>704390.12084999972</v>
      </c>
      <c r="J183" s="51">
        <f t="shared" si="9"/>
        <v>3.0756308697028785E-2</v>
      </c>
      <c r="K183" s="2">
        <f t="shared" si="10"/>
        <v>3.0756308697028785E-2</v>
      </c>
      <c r="L183" s="2" t="str">
        <f t="shared" si="11"/>
        <v>A</v>
      </c>
      <c r="M183" s="52"/>
    </row>
    <row r="184" spans="1:13" x14ac:dyDescent="0.3">
      <c r="A184" s="2" t="s">
        <v>728</v>
      </c>
      <c r="B184" s="2" t="s">
        <v>1262</v>
      </c>
      <c r="C184" s="83">
        <v>33421.1</v>
      </c>
      <c r="F184" s="50" t="s">
        <v>728</v>
      </c>
      <c r="G184" s="2" t="s">
        <v>747</v>
      </c>
      <c r="H184" s="2">
        <v>21585.15</v>
      </c>
      <c r="I184" s="2">
        <f t="shared" si="8"/>
        <v>682725.68084999966</v>
      </c>
      <c r="J184" s="51">
        <f t="shared" si="9"/>
        <v>3.1616138963933942E-2</v>
      </c>
      <c r="K184" s="2">
        <f t="shared" si="10"/>
        <v>6.2372447660962727E-2</v>
      </c>
      <c r="L184" s="2" t="str">
        <f t="shared" si="11"/>
        <v>A</v>
      </c>
      <c r="M184" s="52"/>
    </row>
    <row r="185" spans="1:13" x14ac:dyDescent="0.3">
      <c r="A185" s="2" t="s">
        <v>728</v>
      </c>
      <c r="B185" s="2" t="s">
        <v>1280</v>
      </c>
      <c r="C185" s="83">
        <v>31822.023930000003</v>
      </c>
      <c r="F185" s="50" t="s">
        <v>727</v>
      </c>
      <c r="G185" s="2" t="s">
        <v>1099</v>
      </c>
      <c r="H185" s="2">
        <v>21584.693520000001</v>
      </c>
      <c r="I185" s="2">
        <f t="shared" si="8"/>
        <v>563271.27439999988</v>
      </c>
      <c r="J185" s="51">
        <f t="shared" si="9"/>
        <v>3.832024550336275E-2</v>
      </c>
      <c r="K185" s="2">
        <f t="shared" si="10"/>
        <v>3.832024550336275E-2</v>
      </c>
      <c r="L185" s="2" t="str">
        <f t="shared" si="11"/>
        <v>A</v>
      </c>
      <c r="M185" s="52"/>
    </row>
    <row r="186" spans="1:13" x14ac:dyDescent="0.3">
      <c r="A186" s="2" t="s">
        <v>728</v>
      </c>
      <c r="B186" s="2" t="s">
        <v>776</v>
      </c>
      <c r="C186" s="83">
        <v>31404.1</v>
      </c>
      <c r="F186" s="50" t="s">
        <v>730</v>
      </c>
      <c r="G186" s="2" t="s">
        <v>959</v>
      </c>
      <c r="H186" s="2">
        <v>21573.6495</v>
      </c>
      <c r="I186" s="2">
        <f t="shared" si="8"/>
        <v>532036.66332999989</v>
      </c>
      <c r="J186" s="51">
        <f t="shared" si="9"/>
        <v>4.0549178255820266E-2</v>
      </c>
      <c r="K186" s="2">
        <f t="shared" si="10"/>
        <v>4.0549178255820266E-2</v>
      </c>
      <c r="L186" s="2" t="str">
        <f t="shared" si="11"/>
        <v>A</v>
      </c>
      <c r="M186" s="52"/>
    </row>
    <row r="187" spans="1:13" x14ac:dyDescent="0.3">
      <c r="A187" s="2" t="s">
        <v>728</v>
      </c>
      <c r="B187" s="2" t="s">
        <v>887</v>
      </c>
      <c r="C187" s="83">
        <v>29654.83008</v>
      </c>
      <c r="F187" s="50" t="s">
        <v>731</v>
      </c>
      <c r="G187" s="2" t="s">
        <v>885</v>
      </c>
      <c r="H187" s="2">
        <v>21572.590500000002</v>
      </c>
      <c r="I187" s="2">
        <f t="shared" si="8"/>
        <v>567073.09224999999</v>
      </c>
      <c r="J187" s="51">
        <f t="shared" si="9"/>
        <v>3.8041992813317098E-2</v>
      </c>
      <c r="K187" s="2">
        <f t="shared" si="10"/>
        <v>3.8041992813317098E-2</v>
      </c>
      <c r="L187" s="2" t="str">
        <f t="shared" si="11"/>
        <v>A</v>
      </c>
      <c r="M187" s="52"/>
    </row>
    <row r="188" spans="1:13" x14ac:dyDescent="0.3">
      <c r="A188" s="2" t="s">
        <v>728</v>
      </c>
      <c r="B188" s="2" t="s">
        <v>1220</v>
      </c>
      <c r="C188" s="83">
        <v>28856.475000000002</v>
      </c>
      <c r="F188" s="50" t="s">
        <v>730</v>
      </c>
      <c r="G188" s="2" t="s">
        <v>1140</v>
      </c>
      <c r="H188" s="2">
        <v>21541.017959999997</v>
      </c>
      <c r="I188" s="2">
        <f t="shared" si="8"/>
        <v>510463.01382999984</v>
      </c>
      <c r="J188" s="51">
        <f t="shared" si="9"/>
        <v>4.2198978919898454E-2</v>
      </c>
      <c r="K188" s="2">
        <f t="shared" si="10"/>
        <v>4.2198978919898454E-2</v>
      </c>
      <c r="L188" s="2" t="str">
        <f t="shared" si="11"/>
        <v>A</v>
      </c>
      <c r="M188" s="52"/>
    </row>
    <row r="189" spans="1:13" x14ac:dyDescent="0.3">
      <c r="A189" s="2" t="s">
        <v>728</v>
      </c>
      <c r="B189" s="2" t="s">
        <v>953</v>
      </c>
      <c r="C189" s="83">
        <v>28211.92124</v>
      </c>
      <c r="F189" s="50" t="s">
        <v>729</v>
      </c>
      <c r="G189" s="2" t="s">
        <v>818</v>
      </c>
      <c r="H189" s="2">
        <v>21062.61248</v>
      </c>
      <c r="I189" s="2">
        <f t="shared" si="8"/>
        <v>498248.28988999984</v>
      </c>
      <c r="J189" s="51">
        <f t="shared" si="9"/>
        <v>4.227332618572574E-2</v>
      </c>
      <c r="K189" s="2">
        <f t="shared" si="10"/>
        <v>4.227332618572574E-2</v>
      </c>
      <c r="L189" s="2" t="str">
        <f t="shared" si="11"/>
        <v>A</v>
      </c>
      <c r="M189" s="52"/>
    </row>
    <row r="190" spans="1:13" x14ac:dyDescent="0.3">
      <c r="A190" s="2" t="s">
        <v>728</v>
      </c>
      <c r="B190" s="2" t="s">
        <v>1208</v>
      </c>
      <c r="C190" s="83">
        <v>27194.152039999997</v>
      </c>
      <c r="F190" s="50" t="s">
        <v>730</v>
      </c>
      <c r="G190" s="2" t="s">
        <v>1189</v>
      </c>
      <c r="H190" s="2">
        <v>20797.98</v>
      </c>
      <c r="I190" s="2">
        <f t="shared" si="8"/>
        <v>488921.99586999987</v>
      </c>
      <c r="J190" s="51">
        <f t="shared" si="9"/>
        <v>4.2538442073958162E-2</v>
      </c>
      <c r="K190" s="2">
        <f t="shared" si="10"/>
        <v>4.2538442073958162E-2</v>
      </c>
      <c r="L190" s="2" t="str">
        <f t="shared" si="11"/>
        <v>A</v>
      </c>
      <c r="M190" s="52"/>
    </row>
    <row r="191" spans="1:13" x14ac:dyDescent="0.3">
      <c r="A191" s="2" t="s">
        <v>728</v>
      </c>
      <c r="B191" s="2" t="s">
        <v>750</v>
      </c>
      <c r="C191" s="83">
        <v>25948.414799999995</v>
      </c>
      <c r="F191" s="50" t="s">
        <v>728</v>
      </c>
      <c r="G191" s="2" t="s">
        <v>1173</v>
      </c>
      <c r="H191" s="2">
        <v>20672.289000000001</v>
      </c>
      <c r="I191" s="2">
        <f t="shared" si="8"/>
        <v>661140.53084999963</v>
      </c>
      <c r="J191" s="51">
        <f t="shared" si="9"/>
        <v>3.1267617148539567E-2</v>
      </c>
      <c r="K191" s="2">
        <f t="shared" si="10"/>
        <v>3.1267617148539567E-2</v>
      </c>
      <c r="L191" s="2" t="str">
        <f t="shared" si="11"/>
        <v>A</v>
      </c>
      <c r="M191" s="52"/>
    </row>
    <row r="192" spans="1:13" x14ac:dyDescent="0.3">
      <c r="A192" s="2" t="s">
        <v>728</v>
      </c>
      <c r="B192" s="2" t="s">
        <v>987</v>
      </c>
      <c r="C192" s="83">
        <v>25483.91488</v>
      </c>
      <c r="F192" s="50" t="s">
        <v>731</v>
      </c>
      <c r="G192" s="2" t="s">
        <v>1029</v>
      </c>
      <c r="H192" s="2">
        <v>20455.985130000001</v>
      </c>
      <c r="I192" s="2">
        <f t="shared" si="8"/>
        <v>545500.50174999994</v>
      </c>
      <c r="J192" s="51">
        <f t="shared" si="9"/>
        <v>3.7499479953503091E-2</v>
      </c>
      <c r="K192" s="2">
        <f t="shared" si="10"/>
        <v>3.7499479953503091E-2</v>
      </c>
      <c r="L192" s="2" t="str">
        <f t="shared" si="11"/>
        <v>A</v>
      </c>
      <c r="M192" s="52"/>
    </row>
    <row r="193" spans="1:13" x14ac:dyDescent="0.3">
      <c r="A193" s="2" t="s">
        <v>728</v>
      </c>
      <c r="B193" s="2" t="s">
        <v>1350</v>
      </c>
      <c r="C193" s="83">
        <v>25174.028880000002</v>
      </c>
      <c r="F193" s="50" t="s">
        <v>733</v>
      </c>
      <c r="G193" s="2" t="s">
        <v>1270</v>
      </c>
      <c r="H193" s="2">
        <v>20430.771599999996</v>
      </c>
      <c r="I193" s="2">
        <f t="shared" si="8"/>
        <v>605339.42228000029</v>
      </c>
      <c r="J193" s="51">
        <f t="shared" si="9"/>
        <v>3.3750935174596521E-2</v>
      </c>
      <c r="K193" s="2">
        <f t="shared" si="10"/>
        <v>3.3750935174596521E-2</v>
      </c>
      <c r="L193" s="2" t="str">
        <f t="shared" si="11"/>
        <v>A</v>
      </c>
      <c r="M193" s="52"/>
    </row>
    <row r="194" spans="1:13" x14ac:dyDescent="0.3">
      <c r="A194" s="2" t="s">
        <v>728</v>
      </c>
      <c r="B194" s="2" t="s">
        <v>1139</v>
      </c>
      <c r="C194" s="83">
        <v>22457.143800000002</v>
      </c>
      <c r="F194" s="50" t="s">
        <v>732</v>
      </c>
      <c r="G194" s="2" t="s">
        <v>1233</v>
      </c>
      <c r="H194" s="2">
        <v>20332.775539999999</v>
      </c>
      <c r="I194" s="2">
        <f t="shared" si="8"/>
        <v>533337.77619000024</v>
      </c>
      <c r="J194" s="51">
        <f t="shared" si="9"/>
        <v>3.8123636554025939E-2</v>
      </c>
      <c r="K194" s="2">
        <f t="shared" si="10"/>
        <v>3.8123636554025939E-2</v>
      </c>
      <c r="L194" s="2" t="str">
        <f t="shared" si="11"/>
        <v>A</v>
      </c>
      <c r="M194" s="52"/>
    </row>
    <row r="195" spans="1:13" x14ac:dyDescent="0.3">
      <c r="A195" s="2" t="s">
        <v>728</v>
      </c>
      <c r="B195" s="2" t="s">
        <v>1249</v>
      </c>
      <c r="C195" s="83">
        <v>22201.762229999997</v>
      </c>
      <c r="F195" s="50" t="s">
        <v>731</v>
      </c>
      <c r="G195" s="2" t="s">
        <v>757</v>
      </c>
      <c r="H195" s="2">
        <v>20225.2248</v>
      </c>
      <c r="I195" s="2">
        <f t="shared" si="8"/>
        <v>525044.51661999989</v>
      </c>
      <c r="J195" s="51">
        <f t="shared" si="9"/>
        <v>3.8520971383914047E-2</v>
      </c>
      <c r="K195" s="2">
        <f t="shared" si="10"/>
        <v>3.8520971383914047E-2</v>
      </c>
      <c r="L195" s="2" t="str">
        <f t="shared" si="11"/>
        <v>A</v>
      </c>
      <c r="M195" s="52"/>
    </row>
    <row r="196" spans="1:13" x14ac:dyDescent="0.3">
      <c r="A196" s="2" t="s">
        <v>728</v>
      </c>
      <c r="B196" s="2" t="s">
        <v>1177</v>
      </c>
      <c r="C196" s="83">
        <v>21664.440000000002</v>
      </c>
      <c r="F196" s="50" t="s">
        <v>731</v>
      </c>
      <c r="G196" s="2" t="s">
        <v>806</v>
      </c>
      <c r="H196" s="2">
        <v>20171.63305</v>
      </c>
      <c r="I196" s="2">
        <f t="shared" ref="I196:I259" si="12">SUMIF(F196:F824, F196, H196:H824)</f>
        <v>504819.29181999998</v>
      </c>
      <c r="J196" s="51">
        <f t="shared" ref="J196:J259" si="13">H196/I196</f>
        <v>3.9958126357010272E-2</v>
      </c>
      <c r="K196" s="2">
        <f t="shared" si="10"/>
        <v>7.847909774092432E-2</v>
      </c>
      <c r="L196" s="2" t="str">
        <f t="shared" si="11"/>
        <v>A</v>
      </c>
      <c r="M196" s="52"/>
    </row>
    <row r="197" spans="1:13" x14ac:dyDescent="0.3">
      <c r="A197" s="2" t="s">
        <v>728</v>
      </c>
      <c r="B197" s="2" t="s">
        <v>747</v>
      </c>
      <c r="C197" s="83">
        <v>21585.15</v>
      </c>
      <c r="F197" s="50" t="s">
        <v>733</v>
      </c>
      <c r="G197" s="2" t="s">
        <v>1285</v>
      </c>
      <c r="H197" s="2">
        <v>20163.409200000002</v>
      </c>
      <c r="I197" s="2">
        <f t="shared" si="12"/>
        <v>584908.6506800002</v>
      </c>
      <c r="J197" s="51">
        <f t="shared" si="13"/>
        <v>3.4472749166145046E-2</v>
      </c>
      <c r="K197" s="2">
        <f t="shared" ref="K197:K260" si="14">IF(F197=F196, K196+J197, J197)</f>
        <v>3.4472749166145046E-2</v>
      </c>
      <c r="L197" s="2" t="str">
        <f t="shared" ref="L197:L260" si="15">IF(K197&lt;=0.8,"A", IF(K197&lt;=0.95,"B","C"))</f>
        <v>A</v>
      </c>
      <c r="M197" s="52"/>
    </row>
    <row r="198" spans="1:13" x14ac:dyDescent="0.3">
      <c r="A198" s="2" t="s">
        <v>728</v>
      </c>
      <c r="B198" s="2" t="s">
        <v>1173</v>
      </c>
      <c r="C198" s="83">
        <v>20672.289000000001</v>
      </c>
      <c r="F198" s="50" t="s">
        <v>729</v>
      </c>
      <c r="G198" s="2" t="s">
        <v>763</v>
      </c>
      <c r="H198" s="2">
        <v>20084.133720000002</v>
      </c>
      <c r="I198" s="2">
        <f t="shared" si="12"/>
        <v>477185.67740999983</v>
      </c>
      <c r="J198" s="51">
        <f t="shared" si="13"/>
        <v>4.2088718649331197E-2</v>
      </c>
      <c r="K198" s="2">
        <f t="shared" si="14"/>
        <v>4.2088718649331197E-2</v>
      </c>
      <c r="L198" s="2" t="str">
        <f t="shared" si="15"/>
        <v>A</v>
      </c>
      <c r="M198" s="52"/>
    </row>
    <row r="199" spans="1:13" x14ac:dyDescent="0.3">
      <c r="A199" s="2" t="s">
        <v>728</v>
      </c>
      <c r="B199" s="2" t="s">
        <v>1076</v>
      </c>
      <c r="C199" s="83">
        <v>20053.439999999999</v>
      </c>
      <c r="F199" s="50" t="s">
        <v>733</v>
      </c>
      <c r="G199" s="2" t="s">
        <v>827</v>
      </c>
      <c r="H199" s="2">
        <v>20079.343620000003</v>
      </c>
      <c r="I199" s="2">
        <f t="shared" si="12"/>
        <v>564745.2414800002</v>
      </c>
      <c r="J199" s="51">
        <f t="shared" si="13"/>
        <v>3.5554692886617424E-2</v>
      </c>
      <c r="K199" s="2">
        <f t="shared" si="14"/>
        <v>3.5554692886617424E-2</v>
      </c>
      <c r="L199" s="2" t="str">
        <f t="shared" si="15"/>
        <v>A</v>
      </c>
      <c r="M199" s="52"/>
    </row>
    <row r="200" spans="1:13" x14ac:dyDescent="0.3">
      <c r="A200" s="2" t="s">
        <v>728</v>
      </c>
      <c r="B200" s="2" t="s">
        <v>1148</v>
      </c>
      <c r="C200" s="83">
        <v>18411.4084</v>
      </c>
      <c r="F200" s="50" t="s">
        <v>728</v>
      </c>
      <c r="G200" s="2" t="s">
        <v>1076</v>
      </c>
      <c r="H200" s="2">
        <v>20053.439999999999</v>
      </c>
      <c r="I200" s="2">
        <f t="shared" si="12"/>
        <v>640468.24184999976</v>
      </c>
      <c r="J200" s="51">
        <f t="shared" si="13"/>
        <v>3.1310592297403239E-2</v>
      </c>
      <c r="K200" s="2">
        <f t="shared" si="14"/>
        <v>3.1310592297403239E-2</v>
      </c>
      <c r="L200" s="2" t="str">
        <f t="shared" si="15"/>
        <v>A</v>
      </c>
      <c r="M200" s="52"/>
    </row>
    <row r="201" spans="1:13" x14ac:dyDescent="0.3">
      <c r="A201" s="2" t="s">
        <v>728</v>
      </c>
      <c r="B201" s="2" t="s">
        <v>815</v>
      </c>
      <c r="C201" s="83">
        <v>18258.868320000001</v>
      </c>
      <c r="F201" s="50" t="s">
        <v>730</v>
      </c>
      <c r="G201" s="2" t="s">
        <v>1160</v>
      </c>
      <c r="H201" s="2">
        <v>20038.536</v>
      </c>
      <c r="I201" s="2">
        <f t="shared" si="12"/>
        <v>468124.01586999989</v>
      </c>
      <c r="J201" s="51">
        <f t="shared" si="13"/>
        <v>4.2806041392169869E-2</v>
      </c>
      <c r="K201" s="2">
        <f t="shared" si="14"/>
        <v>4.2806041392169869E-2</v>
      </c>
      <c r="L201" s="2" t="str">
        <f t="shared" si="15"/>
        <v>A</v>
      </c>
      <c r="M201" s="52"/>
    </row>
    <row r="202" spans="1:13" x14ac:dyDescent="0.3">
      <c r="A202" s="2" t="s">
        <v>728</v>
      </c>
      <c r="B202" s="2" t="s">
        <v>1343</v>
      </c>
      <c r="C202" s="83">
        <v>18003.847679999999</v>
      </c>
      <c r="F202" s="50" t="s">
        <v>729</v>
      </c>
      <c r="G202" s="2" t="s">
        <v>1021</v>
      </c>
      <c r="H202" s="2">
        <v>20028.787380000002</v>
      </c>
      <c r="I202" s="2">
        <f t="shared" si="12"/>
        <v>457101.5436899999</v>
      </c>
      <c r="J202" s="51">
        <f t="shared" si="13"/>
        <v>4.3816932269174866E-2</v>
      </c>
      <c r="K202" s="2">
        <f t="shared" si="14"/>
        <v>4.3816932269174866E-2</v>
      </c>
      <c r="L202" s="2" t="str">
        <f t="shared" si="15"/>
        <v>A</v>
      </c>
      <c r="M202" s="52"/>
    </row>
    <row r="203" spans="1:13" x14ac:dyDescent="0.3">
      <c r="A203" s="2" t="s">
        <v>728</v>
      </c>
      <c r="B203" s="2" t="s">
        <v>735</v>
      </c>
      <c r="C203" s="83">
        <v>17960.432489999999</v>
      </c>
      <c r="F203" s="50" t="s">
        <v>729</v>
      </c>
      <c r="G203" s="2" t="s">
        <v>755</v>
      </c>
      <c r="H203" s="2">
        <v>19903.585040000002</v>
      </c>
      <c r="I203" s="2">
        <f t="shared" si="12"/>
        <v>437072.75630999985</v>
      </c>
      <c r="J203" s="51">
        <f t="shared" si="13"/>
        <v>4.5538379486373459E-2</v>
      </c>
      <c r="K203" s="2">
        <f t="shared" si="14"/>
        <v>8.9355311755548325E-2</v>
      </c>
      <c r="L203" s="2" t="str">
        <f t="shared" si="15"/>
        <v>A</v>
      </c>
      <c r="M203" s="52"/>
    </row>
    <row r="204" spans="1:13" x14ac:dyDescent="0.3">
      <c r="A204" s="2" t="s">
        <v>728</v>
      </c>
      <c r="B204" s="2" t="s">
        <v>1134</v>
      </c>
      <c r="C204" s="83">
        <v>17427.164800000002</v>
      </c>
      <c r="F204" s="50" t="s">
        <v>727</v>
      </c>
      <c r="G204" s="2" t="s">
        <v>1127</v>
      </c>
      <c r="H204" s="2">
        <v>19800.88896</v>
      </c>
      <c r="I204" s="2">
        <f t="shared" si="12"/>
        <v>541686.58087999991</v>
      </c>
      <c r="J204" s="51">
        <f t="shared" si="13"/>
        <v>3.6554143408596827E-2</v>
      </c>
      <c r="K204" s="2">
        <f t="shared" si="14"/>
        <v>3.6554143408596827E-2</v>
      </c>
      <c r="L204" s="2" t="str">
        <f t="shared" si="15"/>
        <v>A</v>
      </c>
      <c r="M204" s="52"/>
    </row>
    <row r="205" spans="1:13" x14ac:dyDescent="0.3">
      <c r="A205" s="2" t="s">
        <v>728</v>
      </c>
      <c r="B205" s="2" t="s">
        <v>969</v>
      </c>
      <c r="C205" s="83">
        <v>17359.804799999998</v>
      </c>
      <c r="F205" s="50" t="s">
        <v>731</v>
      </c>
      <c r="G205" s="2" t="s">
        <v>1120</v>
      </c>
      <c r="H205" s="2">
        <v>19773.362699999998</v>
      </c>
      <c r="I205" s="2">
        <f t="shared" si="12"/>
        <v>484647.65876999998</v>
      </c>
      <c r="J205" s="51">
        <f t="shared" si="13"/>
        <v>4.0799459859526266E-2</v>
      </c>
      <c r="K205" s="2">
        <f t="shared" si="14"/>
        <v>4.0799459859526266E-2</v>
      </c>
      <c r="L205" s="2" t="str">
        <f t="shared" si="15"/>
        <v>A</v>
      </c>
      <c r="M205" s="52"/>
    </row>
    <row r="206" spans="1:13" x14ac:dyDescent="0.3">
      <c r="A206" s="2" t="s">
        <v>728</v>
      </c>
      <c r="B206" s="2" t="s">
        <v>962</v>
      </c>
      <c r="C206" s="83">
        <v>16609.090809999998</v>
      </c>
      <c r="F206" s="50" t="s">
        <v>733</v>
      </c>
      <c r="G206" s="2" t="s">
        <v>1184</v>
      </c>
      <c r="H206" s="2">
        <v>19628.476999999999</v>
      </c>
      <c r="I206" s="2">
        <f t="shared" si="12"/>
        <v>544665.89786000014</v>
      </c>
      <c r="J206" s="51">
        <f t="shared" si="13"/>
        <v>3.6037646339013615E-2</v>
      </c>
      <c r="K206" s="2">
        <f t="shared" si="14"/>
        <v>3.6037646339013615E-2</v>
      </c>
      <c r="L206" s="2" t="str">
        <f t="shared" si="15"/>
        <v>A</v>
      </c>
      <c r="M206" s="52"/>
    </row>
    <row r="207" spans="1:13" x14ac:dyDescent="0.3">
      <c r="A207" s="2" t="s">
        <v>728</v>
      </c>
      <c r="B207" s="2" t="s">
        <v>1202</v>
      </c>
      <c r="C207" s="83">
        <v>16252.219979999998</v>
      </c>
      <c r="F207" s="50" t="s">
        <v>731</v>
      </c>
      <c r="G207" s="2" t="s">
        <v>1273</v>
      </c>
      <c r="H207" s="2">
        <v>19581.87</v>
      </c>
      <c r="I207" s="2">
        <f t="shared" si="12"/>
        <v>464874.29607000004</v>
      </c>
      <c r="J207" s="51">
        <f t="shared" si="13"/>
        <v>4.2122935523738643E-2</v>
      </c>
      <c r="K207" s="2">
        <f t="shared" si="14"/>
        <v>4.2122935523738643E-2</v>
      </c>
      <c r="L207" s="2" t="str">
        <f t="shared" si="15"/>
        <v>A</v>
      </c>
      <c r="M207" s="52"/>
    </row>
    <row r="208" spans="1:13" x14ac:dyDescent="0.3">
      <c r="A208" s="2" t="s">
        <v>728</v>
      </c>
      <c r="B208" s="2" t="s">
        <v>1069</v>
      </c>
      <c r="C208" s="83">
        <v>16219.34496</v>
      </c>
      <c r="F208" s="50" t="s">
        <v>730</v>
      </c>
      <c r="G208" s="2" t="s">
        <v>1100</v>
      </c>
      <c r="H208" s="2">
        <v>19547.329920000004</v>
      </c>
      <c r="I208" s="2">
        <f t="shared" si="12"/>
        <v>448085.47986999992</v>
      </c>
      <c r="J208" s="51">
        <f t="shared" si="13"/>
        <v>4.3624109233959422E-2</v>
      </c>
      <c r="K208" s="2">
        <f t="shared" si="14"/>
        <v>4.3624109233959422E-2</v>
      </c>
      <c r="L208" s="2" t="str">
        <f t="shared" si="15"/>
        <v>A</v>
      </c>
      <c r="M208" s="52"/>
    </row>
    <row r="209" spans="1:13" x14ac:dyDescent="0.3">
      <c r="A209" s="2" t="s">
        <v>728</v>
      </c>
      <c r="B209" s="2" t="s">
        <v>942</v>
      </c>
      <c r="C209" s="83">
        <v>15825.399369999997</v>
      </c>
      <c r="F209" s="50" t="s">
        <v>731</v>
      </c>
      <c r="G209" s="2" t="s">
        <v>924</v>
      </c>
      <c r="H209" s="2">
        <v>19542.975350000001</v>
      </c>
      <c r="I209" s="2">
        <f t="shared" si="12"/>
        <v>445292.42607000005</v>
      </c>
      <c r="J209" s="51">
        <f t="shared" si="13"/>
        <v>4.3887958127830008E-2</v>
      </c>
      <c r="K209" s="2">
        <f t="shared" si="14"/>
        <v>4.3887958127830008E-2</v>
      </c>
      <c r="L209" s="2" t="str">
        <f t="shared" si="15"/>
        <v>A</v>
      </c>
      <c r="M209" s="52"/>
    </row>
    <row r="210" spans="1:13" x14ac:dyDescent="0.3">
      <c r="A210" s="2" t="s">
        <v>728</v>
      </c>
      <c r="B210" s="2" t="s">
        <v>910</v>
      </c>
      <c r="C210" s="83">
        <v>15656.47056</v>
      </c>
      <c r="F210" s="50" t="s">
        <v>730</v>
      </c>
      <c r="G210" s="2" t="s">
        <v>825</v>
      </c>
      <c r="H210" s="2">
        <v>19510.808000000001</v>
      </c>
      <c r="I210" s="2">
        <f t="shared" si="12"/>
        <v>428538.14994999988</v>
      </c>
      <c r="J210" s="51">
        <f t="shared" si="13"/>
        <v>4.5528753979724897E-2</v>
      </c>
      <c r="K210" s="2">
        <f t="shared" si="14"/>
        <v>4.5528753979724897E-2</v>
      </c>
      <c r="L210" s="2" t="str">
        <f t="shared" si="15"/>
        <v>A</v>
      </c>
      <c r="M210" s="52"/>
    </row>
    <row r="211" spans="1:13" x14ac:dyDescent="0.3">
      <c r="A211" s="2" t="s">
        <v>728</v>
      </c>
      <c r="B211" s="2" t="s">
        <v>772</v>
      </c>
      <c r="C211" s="83">
        <v>14968.239</v>
      </c>
      <c r="F211" s="50" t="s">
        <v>730</v>
      </c>
      <c r="G211" s="2" t="s">
        <v>1207</v>
      </c>
      <c r="H211" s="2">
        <v>19233.355499999998</v>
      </c>
      <c r="I211" s="2">
        <f t="shared" si="12"/>
        <v>409027.34194999991</v>
      </c>
      <c r="J211" s="51">
        <f t="shared" si="13"/>
        <v>4.7022175603974932E-2</v>
      </c>
      <c r="K211" s="2">
        <f t="shared" si="14"/>
        <v>9.2550929583699829E-2</v>
      </c>
      <c r="L211" s="2" t="str">
        <f t="shared" si="15"/>
        <v>A</v>
      </c>
      <c r="M211" s="52"/>
    </row>
    <row r="212" spans="1:13" x14ac:dyDescent="0.3">
      <c r="A212" s="2" t="s">
        <v>728</v>
      </c>
      <c r="B212" s="2" t="s">
        <v>882</v>
      </c>
      <c r="C212" s="83">
        <v>14877.464000000002</v>
      </c>
      <c r="F212" s="50" t="s">
        <v>731</v>
      </c>
      <c r="G212" s="2" t="s">
        <v>1305</v>
      </c>
      <c r="H212" s="2">
        <v>19139.594240000002</v>
      </c>
      <c r="I212" s="2">
        <f t="shared" si="12"/>
        <v>425749.45072000008</v>
      </c>
      <c r="J212" s="51">
        <f t="shared" si="13"/>
        <v>4.4955065021534034E-2</v>
      </c>
      <c r="K212" s="2">
        <f t="shared" si="14"/>
        <v>4.4955065021534034E-2</v>
      </c>
      <c r="L212" s="2" t="str">
        <f t="shared" si="15"/>
        <v>A</v>
      </c>
      <c r="M212" s="52"/>
    </row>
    <row r="213" spans="1:13" x14ac:dyDescent="0.3">
      <c r="A213" s="2" t="s">
        <v>728</v>
      </c>
      <c r="B213" s="2" t="s">
        <v>1093</v>
      </c>
      <c r="C213" s="83">
        <v>14813.731920000002</v>
      </c>
      <c r="F213" s="50" t="s">
        <v>727</v>
      </c>
      <c r="G213" s="2" t="s">
        <v>990</v>
      </c>
      <c r="H213" s="2">
        <v>19073.059649999999</v>
      </c>
      <c r="I213" s="2">
        <f t="shared" si="12"/>
        <v>521885.69191999995</v>
      </c>
      <c r="J213" s="51">
        <f t="shared" si="13"/>
        <v>3.6546431422235112E-2</v>
      </c>
      <c r="K213" s="2">
        <f t="shared" si="14"/>
        <v>3.6546431422235112E-2</v>
      </c>
      <c r="L213" s="2" t="str">
        <f t="shared" si="15"/>
        <v>A</v>
      </c>
      <c r="M213" s="52"/>
    </row>
    <row r="214" spans="1:13" x14ac:dyDescent="0.3">
      <c r="A214" s="2" t="s">
        <v>728</v>
      </c>
      <c r="B214" s="2" t="s">
        <v>1292</v>
      </c>
      <c r="C214" s="83">
        <v>13251.48</v>
      </c>
      <c r="F214" s="50" t="s">
        <v>733</v>
      </c>
      <c r="G214" s="2" t="s">
        <v>1024</v>
      </c>
      <c r="H214" s="2">
        <v>19066.045319999997</v>
      </c>
      <c r="I214" s="2">
        <f t="shared" si="12"/>
        <v>525037.42086000007</v>
      </c>
      <c r="J214" s="51">
        <f t="shared" si="13"/>
        <v>3.631368843914063E-2</v>
      </c>
      <c r="K214" s="2">
        <f t="shared" si="14"/>
        <v>3.631368843914063E-2</v>
      </c>
      <c r="L214" s="2" t="str">
        <f t="shared" si="15"/>
        <v>A</v>
      </c>
      <c r="M214" s="52"/>
    </row>
    <row r="215" spans="1:13" x14ac:dyDescent="0.3">
      <c r="A215" s="2" t="s">
        <v>728</v>
      </c>
      <c r="B215" s="2" t="s">
        <v>1163</v>
      </c>
      <c r="C215" s="83">
        <v>12955.824749999998</v>
      </c>
      <c r="F215" s="50" t="s">
        <v>727</v>
      </c>
      <c r="G215" s="2" t="s">
        <v>770</v>
      </c>
      <c r="H215" s="2">
        <v>18957.37689</v>
      </c>
      <c r="I215" s="2">
        <f t="shared" si="12"/>
        <v>502812.63226999994</v>
      </c>
      <c r="J215" s="51">
        <f t="shared" si="13"/>
        <v>3.7702666308153297E-2</v>
      </c>
      <c r="K215" s="2">
        <f t="shared" si="14"/>
        <v>3.7702666308153297E-2</v>
      </c>
      <c r="L215" s="2" t="str">
        <f t="shared" si="15"/>
        <v>A</v>
      </c>
      <c r="M215" s="52"/>
    </row>
    <row r="216" spans="1:13" x14ac:dyDescent="0.3">
      <c r="A216" s="2" t="s">
        <v>728</v>
      </c>
      <c r="B216" s="2" t="s">
        <v>1098</v>
      </c>
      <c r="C216" s="83">
        <v>12717.311040000001</v>
      </c>
      <c r="F216" s="50" t="s">
        <v>729</v>
      </c>
      <c r="G216" s="2" t="s">
        <v>1284</v>
      </c>
      <c r="H216" s="2">
        <v>18830.12472</v>
      </c>
      <c r="I216" s="2">
        <f t="shared" si="12"/>
        <v>417169.17126999988</v>
      </c>
      <c r="J216" s="51">
        <f t="shared" si="13"/>
        <v>4.5137862567061031E-2</v>
      </c>
      <c r="K216" s="2">
        <f t="shared" si="14"/>
        <v>4.5137862567061031E-2</v>
      </c>
      <c r="L216" s="2" t="str">
        <f t="shared" si="15"/>
        <v>A</v>
      </c>
      <c r="M216" s="52"/>
    </row>
    <row r="217" spans="1:13" x14ac:dyDescent="0.3">
      <c r="A217" s="2" t="s">
        <v>728</v>
      </c>
      <c r="B217" s="2" t="s">
        <v>999</v>
      </c>
      <c r="C217" s="83">
        <v>12597.52224</v>
      </c>
      <c r="F217" s="50" t="s">
        <v>731</v>
      </c>
      <c r="G217" s="2" t="s">
        <v>1130</v>
      </c>
      <c r="H217" s="2">
        <v>18641.222160000001</v>
      </c>
      <c r="I217" s="2">
        <f t="shared" si="12"/>
        <v>406609.85648000002</v>
      </c>
      <c r="J217" s="51">
        <f t="shared" si="13"/>
        <v>4.5845475368885724E-2</v>
      </c>
      <c r="K217" s="2">
        <f t="shared" si="14"/>
        <v>4.5845475368885724E-2</v>
      </c>
      <c r="L217" s="2" t="str">
        <f t="shared" si="15"/>
        <v>A</v>
      </c>
      <c r="M217" s="52"/>
    </row>
    <row r="218" spans="1:13" x14ac:dyDescent="0.3">
      <c r="A218" s="2" t="s">
        <v>728</v>
      </c>
      <c r="B218" s="2" t="s">
        <v>1183</v>
      </c>
      <c r="C218" s="83">
        <v>12462.65055</v>
      </c>
      <c r="F218" s="50" t="s">
        <v>727</v>
      </c>
      <c r="G218" s="2" t="s">
        <v>1101</v>
      </c>
      <c r="H218" s="2">
        <v>18554.370299999999</v>
      </c>
      <c r="I218" s="2">
        <f t="shared" si="12"/>
        <v>483855.25537999999</v>
      </c>
      <c r="J218" s="51">
        <f t="shared" si="13"/>
        <v>3.8346943830191861E-2</v>
      </c>
      <c r="K218" s="2">
        <f t="shared" si="14"/>
        <v>3.8346943830191861E-2</v>
      </c>
      <c r="L218" s="2" t="str">
        <f t="shared" si="15"/>
        <v>A</v>
      </c>
      <c r="M218" s="52"/>
    </row>
    <row r="219" spans="1:13" x14ac:dyDescent="0.3">
      <c r="A219" s="2" t="s">
        <v>728</v>
      </c>
      <c r="B219" s="2" t="s">
        <v>868</v>
      </c>
      <c r="C219" s="83">
        <v>12031.491680000001</v>
      </c>
      <c r="F219" s="50" t="s">
        <v>729</v>
      </c>
      <c r="G219" s="2" t="s">
        <v>1346</v>
      </c>
      <c r="H219" s="2">
        <v>18500.693520000001</v>
      </c>
      <c r="I219" s="2">
        <f t="shared" si="12"/>
        <v>398339.04654999985</v>
      </c>
      <c r="J219" s="51">
        <f t="shared" si="13"/>
        <v>4.6444589553130286E-2</v>
      </c>
      <c r="K219" s="2">
        <f t="shared" si="14"/>
        <v>4.6444589553130286E-2</v>
      </c>
      <c r="L219" s="2" t="str">
        <f t="shared" si="15"/>
        <v>A</v>
      </c>
      <c r="M219" s="52"/>
    </row>
    <row r="220" spans="1:13" x14ac:dyDescent="0.3">
      <c r="A220" s="2" t="s">
        <v>728</v>
      </c>
      <c r="B220" s="2" t="s">
        <v>898</v>
      </c>
      <c r="C220" s="83">
        <v>11851.806399999999</v>
      </c>
      <c r="F220" s="50" t="s">
        <v>728</v>
      </c>
      <c r="G220" s="2" t="s">
        <v>1148</v>
      </c>
      <c r="H220" s="2">
        <v>18411.4084</v>
      </c>
      <c r="I220" s="2">
        <f t="shared" si="12"/>
        <v>620414.80184999981</v>
      </c>
      <c r="J220" s="51">
        <f t="shared" si="13"/>
        <v>2.9675965733086104E-2</v>
      </c>
      <c r="K220" s="2">
        <f t="shared" si="14"/>
        <v>2.9675965733086104E-2</v>
      </c>
      <c r="L220" s="2" t="str">
        <f t="shared" si="15"/>
        <v>A</v>
      </c>
      <c r="M220" s="52"/>
    </row>
    <row r="221" spans="1:13" x14ac:dyDescent="0.3">
      <c r="A221" s="2" t="s">
        <v>728</v>
      </c>
      <c r="B221" s="2" t="s">
        <v>1008</v>
      </c>
      <c r="C221" s="83">
        <v>11417.429099999999</v>
      </c>
      <c r="F221" s="50" t="s">
        <v>728</v>
      </c>
      <c r="G221" s="2" t="s">
        <v>815</v>
      </c>
      <c r="H221" s="2">
        <v>18258.868320000001</v>
      </c>
      <c r="I221" s="2">
        <f t="shared" si="12"/>
        <v>602003.39344999986</v>
      </c>
      <c r="J221" s="51">
        <f t="shared" si="13"/>
        <v>3.0330175076523906E-2</v>
      </c>
      <c r="K221" s="2">
        <f t="shared" si="14"/>
        <v>6.000614080961001E-2</v>
      </c>
      <c r="L221" s="2" t="str">
        <f t="shared" si="15"/>
        <v>A</v>
      </c>
      <c r="M221" s="52"/>
    </row>
    <row r="222" spans="1:13" x14ac:dyDescent="0.3">
      <c r="A222" s="2" t="s">
        <v>728</v>
      </c>
      <c r="B222" s="2" t="s">
        <v>1260</v>
      </c>
      <c r="C222" s="83">
        <v>11406.96</v>
      </c>
      <c r="F222" s="50" t="s">
        <v>727</v>
      </c>
      <c r="G222" s="2" t="s">
        <v>944</v>
      </c>
      <c r="H222" s="2">
        <v>18061.204320000004</v>
      </c>
      <c r="I222" s="2">
        <f t="shared" si="12"/>
        <v>465300.88508000004</v>
      </c>
      <c r="J222" s="51">
        <f t="shared" si="13"/>
        <v>3.8816183031533905E-2</v>
      </c>
      <c r="K222" s="2">
        <f t="shared" si="14"/>
        <v>3.8816183031533905E-2</v>
      </c>
      <c r="L222" s="2" t="str">
        <f t="shared" si="15"/>
        <v>A</v>
      </c>
      <c r="M222" s="52"/>
    </row>
    <row r="223" spans="1:13" x14ac:dyDescent="0.3">
      <c r="A223" s="2" t="s">
        <v>728</v>
      </c>
      <c r="B223" s="2" t="s">
        <v>738</v>
      </c>
      <c r="C223" s="83">
        <v>10957.9797</v>
      </c>
      <c r="F223" s="50" t="s">
        <v>728</v>
      </c>
      <c r="G223" s="2" t="s">
        <v>1343</v>
      </c>
      <c r="H223" s="2">
        <v>18003.847679999999</v>
      </c>
      <c r="I223" s="2">
        <f t="shared" si="12"/>
        <v>583744.52512999973</v>
      </c>
      <c r="J223" s="51">
        <f t="shared" si="13"/>
        <v>3.0841998348490801E-2</v>
      </c>
      <c r="K223" s="2">
        <f t="shared" si="14"/>
        <v>3.0841998348490801E-2</v>
      </c>
      <c r="L223" s="2" t="str">
        <f t="shared" si="15"/>
        <v>A</v>
      </c>
      <c r="M223" s="52"/>
    </row>
    <row r="224" spans="1:13" x14ac:dyDescent="0.3">
      <c r="A224" s="2" t="s">
        <v>728</v>
      </c>
      <c r="B224" s="2" t="s">
        <v>1235</v>
      </c>
      <c r="C224" s="83">
        <v>10869.182940000001</v>
      </c>
      <c r="F224" s="50" t="s">
        <v>733</v>
      </c>
      <c r="G224" s="2" t="s">
        <v>995</v>
      </c>
      <c r="H224" s="2">
        <v>17964.4038</v>
      </c>
      <c r="I224" s="2">
        <f t="shared" si="12"/>
        <v>505971.37553999998</v>
      </c>
      <c r="J224" s="51">
        <f t="shared" si="13"/>
        <v>3.5504782816671035E-2</v>
      </c>
      <c r="K224" s="2">
        <f t="shared" si="14"/>
        <v>3.5504782816671035E-2</v>
      </c>
      <c r="L224" s="2" t="str">
        <f t="shared" si="15"/>
        <v>A</v>
      </c>
      <c r="M224" s="52"/>
    </row>
    <row r="225" spans="1:13" x14ac:dyDescent="0.3">
      <c r="A225" s="2" t="s">
        <v>728</v>
      </c>
      <c r="B225" s="2" t="s">
        <v>777</v>
      </c>
      <c r="C225" s="83">
        <v>10666.229420000001</v>
      </c>
      <c r="F225" s="50" t="s">
        <v>728</v>
      </c>
      <c r="G225" s="2" t="s">
        <v>735</v>
      </c>
      <c r="H225" s="2">
        <v>17960.432489999999</v>
      </c>
      <c r="I225" s="2">
        <f t="shared" si="12"/>
        <v>565740.67744999996</v>
      </c>
      <c r="J225" s="51">
        <f t="shared" si="13"/>
        <v>3.1746758198392649E-2</v>
      </c>
      <c r="K225" s="2">
        <f t="shared" si="14"/>
        <v>3.1746758198392649E-2</v>
      </c>
      <c r="L225" s="2" t="str">
        <f t="shared" si="15"/>
        <v>A</v>
      </c>
      <c r="M225" s="52"/>
    </row>
    <row r="226" spans="1:13" x14ac:dyDescent="0.3">
      <c r="A226" s="2" t="s">
        <v>728</v>
      </c>
      <c r="B226" s="2" t="s">
        <v>1347</v>
      </c>
      <c r="C226" s="83">
        <v>10464.138360000001</v>
      </c>
      <c r="F226" s="50" t="s">
        <v>727</v>
      </c>
      <c r="G226" s="2" t="s">
        <v>778</v>
      </c>
      <c r="H226" s="2">
        <v>17930.494560000003</v>
      </c>
      <c r="I226" s="2">
        <f t="shared" si="12"/>
        <v>447239.68076000002</v>
      </c>
      <c r="J226" s="51">
        <f t="shared" si="13"/>
        <v>4.0091466234683126E-2</v>
      </c>
      <c r="K226" s="2">
        <f t="shared" si="14"/>
        <v>4.0091466234683126E-2</v>
      </c>
      <c r="L226" s="2" t="str">
        <f t="shared" si="15"/>
        <v>A</v>
      </c>
      <c r="M226" s="52"/>
    </row>
    <row r="227" spans="1:13" x14ac:dyDescent="0.3">
      <c r="A227" s="2" t="s">
        <v>728</v>
      </c>
      <c r="B227" s="2" t="s">
        <v>1203</v>
      </c>
      <c r="C227" s="83">
        <v>10428.057360000001</v>
      </c>
      <c r="F227" s="50" t="s">
        <v>733</v>
      </c>
      <c r="G227" s="2" t="s">
        <v>943</v>
      </c>
      <c r="H227" s="2">
        <v>17847.907199999998</v>
      </c>
      <c r="I227" s="2">
        <f t="shared" si="12"/>
        <v>488006.97173999995</v>
      </c>
      <c r="J227" s="51">
        <f t="shared" si="13"/>
        <v>3.6573057832274158E-2</v>
      </c>
      <c r="K227" s="2">
        <f t="shared" si="14"/>
        <v>3.6573057832274158E-2</v>
      </c>
      <c r="L227" s="2" t="str">
        <f t="shared" si="15"/>
        <v>A</v>
      </c>
      <c r="M227" s="52"/>
    </row>
    <row r="228" spans="1:13" x14ac:dyDescent="0.3">
      <c r="A228" s="2" t="s">
        <v>728</v>
      </c>
      <c r="B228" s="2" t="s">
        <v>1342</v>
      </c>
      <c r="C228" s="83">
        <v>10260.060159999999</v>
      </c>
      <c r="F228" s="50" t="s">
        <v>729</v>
      </c>
      <c r="G228" s="2" t="s">
        <v>1133</v>
      </c>
      <c r="H228" s="2">
        <v>17731.623</v>
      </c>
      <c r="I228" s="2">
        <f t="shared" si="12"/>
        <v>379838.35302999988</v>
      </c>
      <c r="J228" s="51">
        <f t="shared" si="13"/>
        <v>4.6682023704434986E-2</v>
      </c>
      <c r="K228" s="2">
        <f t="shared" si="14"/>
        <v>4.6682023704434986E-2</v>
      </c>
      <c r="L228" s="2" t="str">
        <f t="shared" si="15"/>
        <v>A</v>
      </c>
      <c r="M228" s="52"/>
    </row>
    <row r="229" spans="1:13" x14ac:dyDescent="0.3">
      <c r="A229" s="2" t="s">
        <v>728</v>
      </c>
      <c r="B229" s="2" t="s">
        <v>826</v>
      </c>
      <c r="C229" s="83">
        <v>10161.46624</v>
      </c>
      <c r="F229" s="50" t="s">
        <v>732</v>
      </c>
      <c r="G229" s="2" t="s">
        <v>986</v>
      </c>
      <c r="H229" s="2">
        <v>17689.623</v>
      </c>
      <c r="I229" s="2">
        <f t="shared" si="12"/>
        <v>513005.00064999994</v>
      </c>
      <c r="J229" s="51">
        <f t="shared" si="13"/>
        <v>3.4482359777363705E-2</v>
      </c>
      <c r="K229" s="2">
        <f t="shared" si="14"/>
        <v>3.4482359777363705E-2</v>
      </c>
      <c r="L229" s="2" t="str">
        <f t="shared" si="15"/>
        <v>A</v>
      </c>
      <c r="M229" s="52"/>
    </row>
    <row r="230" spans="1:13" x14ac:dyDescent="0.3">
      <c r="A230" s="2" t="s">
        <v>728</v>
      </c>
      <c r="B230" s="2" t="s">
        <v>877</v>
      </c>
      <c r="C230" s="83">
        <v>9969.4201499999999</v>
      </c>
      <c r="F230" s="50" t="s">
        <v>727</v>
      </c>
      <c r="G230" s="2" t="s">
        <v>1001</v>
      </c>
      <c r="H230" s="2">
        <v>17594.028880000002</v>
      </c>
      <c r="I230" s="2">
        <f t="shared" si="12"/>
        <v>429309.1862</v>
      </c>
      <c r="J230" s="51">
        <f t="shared" si="13"/>
        <v>4.0982185905995415E-2</v>
      </c>
      <c r="K230" s="2">
        <f t="shared" si="14"/>
        <v>4.0982185905995415E-2</v>
      </c>
      <c r="L230" s="2" t="str">
        <f t="shared" si="15"/>
        <v>A</v>
      </c>
      <c r="M230" s="52"/>
    </row>
    <row r="231" spans="1:13" x14ac:dyDescent="0.3">
      <c r="A231" s="2" t="s">
        <v>728</v>
      </c>
      <c r="B231" s="2" t="s">
        <v>1035</v>
      </c>
      <c r="C231" s="83">
        <v>9866.3104799999983</v>
      </c>
      <c r="F231" s="50" t="s">
        <v>727</v>
      </c>
      <c r="G231" s="2" t="s">
        <v>1298</v>
      </c>
      <c r="H231" s="2">
        <v>17540.201120000002</v>
      </c>
      <c r="I231" s="2">
        <f t="shared" si="12"/>
        <v>411715.15731999988</v>
      </c>
      <c r="J231" s="51">
        <f t="shared" si="13"/>
        <v>4.2602757775971611E-2</v>
      </c>
      <c r="K231" s="2">
        <f t="shared" si="14"/>
        <v>8.3584943681967033E-2</v>
      </c>
      <c r="L231" s="2" t="str">
        <f t="shared" si="15"/>
        <v>A</v>
      </c>
      <c r="M231" s="52"/>
    </row>
    <row r="232" spans="1:13" x14ac:dyDescent="0.3">
      <c r="A232" s="2" t="s">
        <v>728</v>
      </c>
      <c r="B232" s="2" t="s">
        <v>1119</v>
      </c>
      <c r="C232" s="83">
        <v>9586.8057599999993</v>
      </c>
      <c r="F232" s="50" t="s">
        <v>731</v>
      </c>
      <c r="G232" s="2" t="s">
        <v>985</v>
      </c>
      <c r="H232" s="2">
        <v>17453.3436</v>
      </c>
      <c r="I232" s="2">
        <f t="shared" si="12"/>
        <v>387968.63432000001</v>
      </c>
      <c r="J232" s="51">
        <f t="shared" si="13"/>
        <v>4.4986481009195001E-2</v>
      </c>
      <c r="K232" s="2">
        <f t="shared" si="14"/>
        <v>4.4986481009195001E-2</v>
      </c>
      <c r="L232" s="2" t="str">
        <f t="shared" si="15"/>
        <v>A</v>
      </c>
      <c r="M232" s="52"/>
    </row>
    <row r="233" spans="1:13" x14ac:dyDescent="0.3">
      <c r="A233" s="2" t="s">
        <v>728</v>
      </c>
      <c r="B233" s="2" t="s">
        <v>1258</v>
      </c>
      <c r="C233" s="83">
        <v>8326.6852500000005</v>
      </c>
      <c r="F233" s="50" t="s">
        <v>732</v>
      </c>
      <c r="G233" s="2" t="s">
        <v>1014</v>
      </c>
      <c r="H233" s="2">
        <v>17441.021520000002</v>
      </c>
      <c r="I233" s="2">
        <f t="shared" si="12"/>
        <v>495315.37764999992</v>
      </c>
      <c r="J233" s="51">
        <f t="shared" si="13"/>
        <v>3.5211952438763544E-2</v>
      </c>
      <c r="K233" s="2">
        <f t="shared" si="14"/>
        <v>3.5211952438763544E-2</v>
      </c>
      <c r="L233" s="2" t="str">
        <f t="shared" si="15"/>
        <v>A</v>
      </c>
      <c r="M233" s="52"/>
    </row>
    <row r="234" spans="1:13" x14ac:dyDescent="0.3">
      <c r="A234" s="2" t="s">
        <v>728</v>
      </c>
      <c r="B234" s="2" t="s">
        <v>884</v>
      </c>
      <c r="C234" s="83">
        <v>7901.5041599999995</v>
      </c>
      <c r="F234" s="50" t="s">
        <v>728</v>
      </c>
      <c r="G234" s="2" t="s">
        <v>1134</v>
      </c>
      <c r="H234" s="2">
        <v>17427.164800000002</v>
      </c>
      <c r="I234" s="2">
        <f t="shared" si="12"/>
        <v>547780.24496000004</v>
      </c>
      <c r="J234" s="51">
        <f t="shared" si="13"/>
        <v>3.1814153504700717E-2</v>
      </c>
      <c r="K234" s="2">
        <f t="shared" si="14"/>
        <v>3.1814153504700717E-2</v>
      </c>
      <c r="L234" s="2" t="str">
        <f t="shared" si="15"/>
        <v>A</v>
      </c>
      <c r="M234" s="52"/>
    </row>
    <row r="235" spans="1:13" x14ac:dyDescent="0.3">
      <c r="A235" s="2" t="s">
        <v>728</v>
      </c>
      <c r="B235" s="2" t="s">
        <v>1003</v>
      </c>
      <c r="C235" s="83">
        <v>7678.2113999999992</v>
      </c>
      <c r="F235" s="50" t="s">
        <v>728</v>
      </c>
      <c r="G235" s="2" t="s">
        <v>969</v>
      </c>
      <c r="H235" s="2">
        <v>17359.804799999998</v>
      </c>
      <c r="I235" s="2">
        <f t="shared" si="12"/>
        <v>530353.08016000001</v>
      </c>
      <c r="J235" s="51">
        <f t="shared" si="13"/>
        <v>3.273254262002738E-2</v>
      </c>
      <c r="K235" s="2">
        <f t="shared" si="14"/>
        <v>6.4546696124728103E-2</v>
      </c>
      <c r="L235" s="2" t="str">
        <f t="shared" si="15"/>
        <v>A</v>
      </c>
      <c r="M235" s="52"/>
    </row>
    <row r="236" spans="1:13" x14ac:dyDescent="0.3">
      <c r="A236" s="2" t="s">
        <v>728</v>
      </c>
      <c r="B236" s="2" t="s">
        <v>1333</v>
      </c>
      <c r="C236" s="83">
        <v>7466.3063999999986</v>
      </c>
      <c r="F236" s="50" t="s">
        <v>727</v>
      </c>
      <c r="G236" s="2" t="s">
        <v>1135</v>
      </c>
      <c r="H236" s="2">
        <v>16946.091840000001</v>
      </c>
      <c r="I236" s="2">
        <f t="shared" si="12"/>
        <v>394174.95619999996</v>
      </c>
      <c r="J236" s="51">
        <f t="shared" si="13"/>
        <v>4.2991295041589966E-2</v>
      </c>
      <c r="K236" s="2">
        <f t="shared" si="14"/>
        <v>4.2991295041589966E-2</v>
      </c>
      <c r="L236" s="2" t="str">
        <f t="shared" si="15"/>
        <v>A</v>
      </c>
      <c r="M236" s="52"/>
    </row>
    <row r="237" spans="1:13" x14ac:dyDescent="0.3">
      <c r="A237" s="2" t="s">
        <v>728</v>
      </c>
      <c r="B237" s="2" t="s">
        <v>963</v>
      </c>
      <c r="C237" s="83">
        <v>7446.5209000000004</v>
      </c>
      <c r="F237" s="50" t="s">
        <v>730</v>
      </c>
      <c r="G237" s="2" t="s">
        <v>1105</v>
      </c>
      <c r="H237" s="2">
        <v>16873.45</v>
      </c>
      <c r="I237" s="2">
        <f t="shared" si="12"/>
        <v>389793.98644999985</v>
      </c>
      <c r="J237" s="51">
        <f t="shared" si="13"/>
        <v>4.3288122922759388E-2</v>
      </c>
      <c r="K237" s="2">
        <f t="shared" si="14"/>
        <v>4.3288122922759388E-2</v>
      </c>
      <c r="L237" s="2" t="str">
        <f t="shared" si="15"/>
        <v>A</v>
      </c>
      <c r="M237" s="52"/>
    </row>
    <row r="238" spans="1:13" x14ac:dyDescent="0.3">
      <c r="A238" s="2" t="s">
        <v>728</v>
      </c>
      <c r="B238" s="2" t="s">
        <v>780</v>
      </c>
      <c r="C238" s="83">
        <v>7135.57</v>
      </c>
      <c r="F238" s="50" t="s">
        <v>728</v>
      </c>
      <c r="G238" s="2" t="s">
        <v>962</v>
      </c>
      <c r="H238" s="2">
        <v>16609.090809999998</v>
      </c>
      <c r="I238" s="2">
        <f t="shared" si="12"/>
        <v>512993.27536000009</v>
      </c>
      <c r="J238" s="51">
        <f t="shared" si="13"/>
        <v>3.2376819751378495E-2</v>
      </c>
      <c r="K238" s="2">
        <f t="shared" si="14"/>
        <v>3.2376819751378495E-2</v>
      </c>
      <c r="L238" s="2" t="str">
        <f t="shared" si="15"/>
        <v>A</v>
      </c>
      <c r="M238" s="52"/>
    </row>
    <row r="239" spans="1:13" x14ac:dyDescent="0.3">
      <c r="A239" s="2" t="s">
        <v>728</v>
      </c>
      <c r="B239" s="2" t="s">
        <v>946</v>
      </c>
      <c r="C239" s="83">
        <v>6984.8246399999998</v>
      </c>
      <c r="F239" s="50" t="s">
        <v>732</v>
      </c>
      <c r="G239" s="2" t="s">
        <v>1232</v>
      </c>
      <c r="H239" s="2">
        <v>16574.544740000001</v>
      </c>
      <c r="I239" s="2">
        <f t="shared" si="12"/>
        <v>477874.35612999991</v>
      </c>
      <c r="J239" s="51">
        <f t="shared" si="13"/>
        <v>3.4683896566927518E-2</v>
      </c>
      <c r="K239" s="2">
        <f t="shared" si="14"/>
        <v>3.4683896566927518E-2</v>
      </c>
      <c r="L239" s="2" t="str">
        <f t="shared" si="15"/>
        <v>A</v>
      </c>
      <c r="M239" s="52"/>
    </row>
    <row r="240" spans="1:13" x14ac:dyDescent="0.3">
      <c r="A240" s="2" t="s">
        <v>728</v>
      </c>
      <c r="B240" s="2" t="s">
        <v>1144</v>
      </c>
      <c r="C240" s="83">
        <v>6899.8804600000003</v>
      </c>
      <c r="F240" s="50" t="s">
        <v>732</v>
      </c>
      <c r="G240" s="2" t="s">
        <v>1085</v>
      </c>
      <c r="H240" s="2">
        <v>16487.22781</v>
      </c>
      <c r="I240" s="2">
        <f t="shared" si="12"/>
        <v>461299.81138999993</v>
      </c>
      <c r="J240" s="51">
        <f t="shared" si="13"/>
        <v>3.574080761125889E-2</v>
      </c>
      <c r="K240" s="2">
        <f t="shared" si="14"/>
        <v>7.0424704178186415E-2</v>
      </c>
      <c r="L240" s="2" t="str">
        <f t="shared" si="15"/>
        <v>A</v>
      </c>
      <c r="M240" s="52"/>
    </row>
    <row r="241" spans="1:13" x14ac:dyDescent="0.3">
      <c r="A241" s="2" t="s">
        <v>728</v>
      </c>
      <c r="B241" s="2" t="s">
        <v>769</v>
      </c>
      <c r="C241" s="83">
        <v>6631.6443100000006</v>
      </c>
      <c r="F241" s="50" t="s">
        <v>729</v>
      </c>
      <c r="G241" s="2" t="s">
        <v>1051</v>
      </c>
      <c r="H241" s="2">
        <v>16306.59375</v>
      </c>
      <c r="I241" s="2">
        <f t="shared" si="12"/>
        <v>362106.73002999986</v>
      </c>
      <c r="J241" s="51">
        <f t="shared" si="13"/>
        <v>4.5032561942853232E-2</v>
      </c>
      <c r="K241" s="2">
        <f t="shared" si="14"/>
        <v>4.5032561942853232E-2</v>
      </c>
      <c r="L241" s="2" t="str">
        <f t="shared" si="15"/>
        <v>A</v>
      </c>
      <c r="M241" s="52"/>
    </row>
    <row r="242" spans="1:13" x14ac:dyDescent="0.3">
      <c r="A242" s="2" t="s">
        <v>728</v>
      </c>
      <c r="B242" s="2" t="s">
        <v>952</v>
      </c>
      <c r="C242" s="83">
        <v>6535.6324800000002</v>
      </c>
      <c r="F242" s="50" t="s">
        <v>728</v>
      </c>
      <c r="G242" s="2" t="s">
        <v>1202</v>
      </c>
      <c r="H242" s="2">
        <v>16252.219979999998</v>
      </c>
      <c r="I242" s="2">
        <f t="shared" si="12"/>
        <v>496384.18455000012</v>
      </c>
      <c r="J242" s="51">
        <f t="shared" si="13"/>
        <v>3.2741212322736551E-2</v>
      </c>
      <c r="K242" s="2">
        <f t="shared" si="14"/>
        <v>3.2741212322736551E-2</v>
      </c>
      <c r="L242" s="2" t="str">
        <f t="shared" si="15"/>
        <v>A</v>
      </c>
      <c r="M242" s="52"/>
    </row>
    <row r="243" spans="1:13" x14ac:dyDescent="0.3">
      <c r="A243" s="2" t="s">
        <v>728</v>
      </c>
      <c r="B243" s="2" t="s">
        <v>1176</v>
      </c>
      <c r="C243" s="83">
        <v>5960.04288</v>
      </c>
      <c r="F243" s="50" t="s">
        <v>728</v>
      </c>
      <c r="G243" s="2" t="s">
        <v>1069</v>
      </c>
      <c r="H243" s="2">
        <v>16219.34496</v>
      </c>
      <c r="I243" s="2">
        <f t="shared" si="12"/>
        <v>480131.96457000019</v>
      </c>
      <c r="J243" s="51">
        <f t="shared" si="13"/>
        <v>3.3781014714414671E-2</v>
      </c>
      <c r="K243" s="2">
        <f t="shared" si="14"/>
        <v>6.6522227037151216E-2</v>
      </c>
      <c r="L243" s="2" t="str">
        <f t="shared" si="15"/>
        <v>A</v>
      </c>
      <c r="M243" s="52"/>
    </row>
    <row r="244" spans="1:13" x14ac:dyDescent="0.3">
      <c r="A244" s="2" t="s">
        <v>728</v>
      </c>
      <c r="B244" s="2" t="s">
        <v>1336</v>
      </c>
      <c r="C244" s="83">
        <v>5457.4317000000001</v>
      </c>
      <c r="F244" s="50" t="s">
        <v>732</v>
      </c>
      <c r="G244" s="2" t="s">
        <v>1123</v>
      </c>
      <c r="H244" s="2">
        <v>16142.527829999999</v>
      </c>
      <c r="I244" s="2">
        <f t="shared" si="12"/>
        <v>444812.58357999992</v>
      </c>
      <c r="J244" s="51">
        <f t="shared" si="13"/>
        <v>3.629062761687081E-2</v>
      </c>
      <c r="K244" s="2">
        <f t="shared" si="14"/>
        <v>3.629062761687081E-2</v>
      </c>
      <c r="L244" s="2" t="str">
        <f t="shared" si="15"/>
        <v>A</v>
      </c>
      <c r="M244" s="52"/>
    </row>
    <row r="245" spans="1:13" x14ac:dyDescent="0.3">
      <c r="A245" s="2" t="s">
        <v>728</v>
      </c>
      <c r="B245" s="2" t="s">
        <v>1042</v>
      </c>
      <c r="C245" s="83">
        <v>5334.9141999999993</v>
      </c>
      <c r="F245" s="50" t="s">
        <v>730</v>
      </c>
      <c r="G245" s="2" t="s">
        <v>1146</v>
      </c>
      <c r="H245" s="2">
        <v>16134.22069</v>
      </c>
      <c r="I245" s="2">
        <f t="shared" si="12"/>
        <v>372920.5364499999</v>
      </c>
      <c r="J245" s="51">
        <f t="shared" si="13"/>
        <v>4.3264500377450332E-2</v>
      </c>
      <c r="K245" s="2">
        <f t="shared" si="14"/>
        <v>4.3264500377450332E-2</v>
      </c>
      <c r="L245" s="2" t="str">
        <f t="shared" si="15"/>
        <v>A</v>
      </c>
      <c r="M245" s="52"/>
    </row>
    <row r="246" spans="1:13" x14ac:dyDescent="0.3">
      <c r="A246" s="2" t="s">
        <v>728</v>
      </c>
      <c r="B246" s="2" t="s">
        <v>1214</v>
      </c>
      <c r="C246" s="83">
        <v>4738.5261</v>
      </c>
      <c r="F246" s="50" t="s">
        <v>732</v>
      </c>
      <c r="G246" s="2" t="s">
        <v>1256</v>
      </c>
      <c r="H246" s="2">
        <v>16121.273400000002</v>
      </c>
      <c r="I246" s="2">
        <f t="shared" si="12"/>
        <v>428670.05574999988</v>
      </c>
      <c r="J246" s="51">
        <f t="shared" si="13"/>
        <v>3.760764994838342E-2</v>
      </c>
      <c r="K246" s="2">
        <f t="shared" si="14"/>
        <v>3.760764994838342E-2</v>
      </c>
      <c r="L246" s="2" t="str">
        <f t="shared" si="15"/>
        <v>A</v>
      </c>
      <c r="M246" s="52"/>
    </row>
    <row r="247" spans="1:13" x14ac:dyDescent="0.3">
      <c r="A247" s="2" t="s">
        <v>728</v>
      </c>
      <c r="B247" s="2" t="s">
        <v>935</v>
      </c>
      <c r="C247" s="83">
        <v>4637.7968000000001</v>
      </c>
      <c r="F247" s="50" t="s">
        <v>729</v>
      </c>
      <c r="G247" s="2" t="s">
        <v>863</v>
      </c>
      <c r="H247" s="2">
        <v>16071.44868</v>
      </c>
      <c r="I247" s="2">
        <f t="shared" si="12"/>
        <v>345800.13627999986</v>
      </c>
      <c r="J247" s="51">
        <f t="shared" si="13"/>
        <v>4.6476120145269958E-2</v>
      </c>
      <c r="K247" s="2">
        <f t="shared" si="14"/>
        <v>4.6476120145269958E-2</v>
      </c>
      <c r="L247" s="2" t="str">
        <f t="shared" si="15"/>
        <v>A</v>
      </c>
      <c r="M247" s="52"/>
    </row>
    <row r="248" spans="1:13" x14ac:dyDescent="0.3">
      <c r="A248" s="2" t="s">
        <v>728</v>
      </c>
      <c r="B248" s="2" t="s">
        <v>1103</v>
      </c>
      <c r="C248" s="83">
        <v>4569.5735999999997</v>
      </c>
      <c r="F248" s="50" t="s">
        <v>730</v>
      </c>
      <c r="G248" s="2" t="s">
        <v>856</v>
      </c>
      <c r="H248" s="2">
        <v>16061.972879999999</v>
      </c>
      <c r="I248" s="2">
        <f t="shared" si="12"/>
        <v>356786.31575999991</v>
      </c>
      <c r="J248" s="51">
        <f t="shared" si="13"/>
        <v>4.5018466713853553E-2</v>
      </c>
      <c r="K248" s="2">
        <f t="shared" si="14"/>
        <v>4.5018466713853553E-2</v>
      </c>
      <c r="L248" s="2" t="str">
        <f t="shared" si="15"/>
        <v>A</v>
      </c>
      <c r="M248" s="52"/>
    </row>
    <row r="249" spans="1:13" x14ac:dyDescent="0.3">
      <c r="A249" s="2" t="s">
        <v>728</v>
      </c>
      <c r="B249" s="2" t="s">
        <v>974</v>
      </c>
      <c r="C249" s="83">
        <v>4436.6291200000005</v>
      </c>
      <c r="F249" s="50" t="s">
        <v>733</v>
      </c>
      <c r="G249" s="2" t="s">
        <v>800</v>
      </c>
      <c r="H249" s="2">
        <v>16013.681599999998</v>
      </c>
      <c r="I249" s="2">
        <f t="shared" si="12"/>
        <v>470159.06453999993</v>
      </c>
      <c r="J249" s="51">
        <f t="shared" si="13"/>
        <v>3.406013583013158E-2</v>
      </c>
      <c r="K249" s="2">
        <f t="shared" si="14"/>
        <v>3.406013583013158E-2</v>
      </c>
      <c r="L249" s="2" t="str">
        <f t="shared" si="15"/>
        <v>A</v>
      </c>
      <c r="M249" s="52"/>
    </row>
    <row r="250" spans="1:13" x14ac:dyDescent="0.3">
      <c r="A250" s="2" t="s">
        <v>728</v>
      </c>
      <c r="B250" s="2" t="s">
        <v>913</v>
      </c>
      <c r="C250" s="83">
        <v>4420.5961799999995</v>
      </c>
      <c r="F250" s="50" t="s">
        <v>733</v>
      </c>
      <c r="G250" s="2" t="s">
        <v>744</v>
      </c>
      <c r="H250" s="2">
        <v>16006.14344</v>
      </c>
      <c r="I250" s="2">
        <f t="shared" si="12"/>
        <v>454145.38293999992</v>
      </c>
      <c r="J250" s="51">
        <f t="shared" si="13"/>
        <v>3.5244536312096945E-2</v>
      </c>
      <c r="K250" s="2">
        <f t="shared" si="14"/>
        <v>6.9304672142228518E-2</v>
      </c>
      <c r="L250" s="2" t="str">
        <f t="shared" si="15"/>
        <v>A</v>
      </c>
      <c r="M250" s="52"/>
    </row>
    <row r="251" spans="1:13" x14ac:dyDescent="0.3">
      <c r="A251" s="2" t="s">
        <v>728</v>
      </c>
      <c r="B251" s="2" t="s">
        <v>1330</v>
      </c>
      <c r="C251" s="83">
        <v>4409.5168800000001</v>
      </c>
      <c r="F251" s="50" t="s">
        <v>733</v>
      </c>
      <c r="G251" s="2" t="s">
        <v>1286</v>
      </c>
      <c r="H251" s="2">
        <v>15860.782080000001</v>
      </c>
      <c r="I251" s="2">
        <f t="shared" si="12"/>
        <v>438139.23949999991</v>
      </c>
      <c r="J251" s="51">
        <f t="shared" si="13"/>
        <v>3.6200323207983304E-2</v>
      </c>
      <c r="K251" s="2">
        <f t="shared" si="14"/>
        <v>0.10550499535021182</v>
      </c>
      <c r="L251" s="2" t="str">
        <f t="shared" si="15"/>
        <v>A</v>
      </c>
      <c r="M251" s="52"/>
    </row>
    <row r="252" spans="1:13" x14ac:dyDescent="0.3">
      <c r="A252" s="2" t="s">
        <v>728</v>
      </c>
      <c r="B252" s="2" t="s">
        <v>927</v>
      </c>
      <c r="C252" s="83">
        <v>4402.1164799999997</v>
      </c>
      <c r="F252" s="50" t="s">
        <v>728</v>
      </c>
      <c r="G252" s="2" t="s">
        <v>942</v>
      </c>
      <c r="H252" s="2">
        <v>15825.399369999997</v>
      </c>
      <c r="I252" s="2">
        <f t="shared" si="12"/>
        <v>463912.61961000017</v>
      </c>
      <c r="J252" s="51">
        <f t="shared" si="13"/>
        <v>3.4112888291989163E-2</v>
      </c>
      <c r="K252" s="2">
        <f t="shared" si="14"/>
        <v>3.4112888291989163E-2</v>
      </c>
      <c r="L252" s="2" t="str">
        <f t="shared" si="15"/>
        <v>A</v>
      </c>
      <c r="M252" s="52"/>
    </row>
    <row r="253" spans="1:13" x14ac:dyDescent="0.3">
      <c r="A253" s="2" t="s">
        <v>728</v>
      </c>
      <c r="B253" s="2" t="s">
        <v>1030</v>
      </c>
      <c r="C253" s="83">
        <v>4241.88105</v>
      </c>
      <c r="F253" s="50" t="s">
        <v>728</v>
      </c>
      <c r="G253" s="2" t="s">
        <v>910</v>
      </c>
      <c r="H253" s="2">
        <v>15656.47056</v>
      </c>
      <c r="I253" s="2">
        <f t="shared" si="12"/>
        <v>448087.22024000017</v>
      </c>
      <c r="J253" s="51">
        <f t="shared" si="13"/>
        <v>3.494067639691717E-2</v>
      </c>
      <c r="K253" s="2">
        <f t="shared" si="14"/>
        <v>6.9053564688906333E-2</v>
      </c>
      <c r="L253" s="2" t="str">
        <f t="shared" si="15"/>
        <v>A</v>
      </c>
      <c r="M253" s="52"/>
    </row>
    <row r="254" spans="1:13" x14ac:dyDescent="0.3">
      <c r="A254" s="2" t="s">
        <v>728</v>
      </c>
      <c r="B254" s="2" t="s">
        <v>886</v>
      </c>
      <c r="C254" s="83">
        <v>4139.8127999999997</v>
      </c>
      <c r="F254" s="50" t="s">
        <v>733</v>
      </c>
      <c r="G254" s="2" t="s">
        <v>1279</v>
      </c>
      <c r="H254" s="2">
        <v>15530.929919999999</v>
      </c>
      <c r="I254" s="2">
        <f t="shared" si="12"/>
        <v>422278.45741999993</v>
      </c>
      <c r="J254" s="51">
        <f t="shared" si="13"/>
        <v>3.6778882860588058E-2</v>
      </c>
      <c r="K254" s="2">
        <f t="shared" si="14"/>
        <v>3.6778882860588058E-2</v>
      </c>
      <c r="L254" s="2" t="str">
        <f t="shared" si="15"/>
        <v>A</v>
      </c>
      <c r="M254" s="52"/>
    </row>
    <row r="255" spans="1:13" x14ac:dyDescent="0.3">
      <c r="A255" s="2" t="s">
        <v>728</v>
      </c>
      <c r="B255" s="2" t="s">
        <v>1084</v>
      </c>
      <c r="C255" s="83">
        <v>4132.0325200000007</v>
      </c>
      <c r="F255" s="50" t="s">
        <v>731</v>
      </c>
      <c r="G255" s="2" t="s">
        <v>1018</v>
      </c>
      <c r="H255" s="2">
        <v>15505.479600000001</v>
      </c>
      <c r="I255" s="2">
        <f t="shared" si="12"/>
        <v>370515.29071999999</v>
      </c>
      <c r="J255" s="51">
        <f t="shared" si="13"/>
        <v>4.1848420263220817E-2</v>
      </c>
      <c r="K255" s="2">
        <f t="shared" si="14"/>
        <v>4.1848420263220817E-2</v>
      </c>
      <c r="L255" s="2" t="str">
        <f t="shared" si="15"/>
        <v>A</v>
      </c>
      <c r="M255" s="52"/>
    </row>
    <row r="256" spans="1:13" x14ac:dyDescent="0.3">
      <c r="A256" s="2" t="s">
        <v>728</v>
      </c>
      <c r="B256" s="2" t="s">
        <v>1107</v>
      </c>
      <c r="C256" s="83">
        <v>4117.4880599999997</v>
      </c>
      <c r="F256" s="50" t="s">
        <v>731</v>
      </c>
      <c r="G256" s="2" t="s">
        <v>958</v>
      </c>
      <c r="H256" s="2">
        <v>15490.527</v>
      </c>
      <c r="I256" s="2">
        <f t="shared" si="12"/>
        <v>355009.81111999997</v>
      </c>
      <c r="J256" s="51">
        <f t="shared" si="13"/>
        <v>4.3634081410679412E-2</v>
      </c>
      <c r="K256" s="2">
        <f t="shared" si="14"/>
        <v>8.548250167390023E-2</v>
      </c>
      <c r="L256" s="2" t="str">
        <f t="shared" si="15"/>
        <v>A</v>
      </c>
      <c r="M256" s="52"/>
    </row>
    <row r="257" spans="1:13" x14ac:dyDescent="0.3">
      <c r="A257" s="2" t="s">
        <v>728</v>
      </c>
      <c r="B257" s="2" t="s">
        <v>1195</v>
      </c>
      <c r="C257" s="83">
        <v>4055.5175999999997</v>
      </c>
      <c r="F257" s="50" t="s">
        <v>727</v>
      </c>
      <c r="G257" s="2" t="s">
        <v>1205</v>
      </c>
      <c r="H257" s="2">
        <v>15374.563199999999</v>
      </c>
      <c r="I257" s="2">
        <f t="shared" si="12"/>
        <v>377228.86435999989</v>
      </c>
      <c r="J257" s="51">
        <f t="shared" si="13"/>
        <v>4.0756592754597989E-2</v>
      </c>
      <c r="K257" s="2">
        <f t="shared" si="14"/>
        <v>4.0756592754597989E-2</v>
      </c>
      <c r="L257" s="2" t="str">
        <f t="shared" si="15"/>
        <v>A</v>
      </c>
      <c r="M257" s="52"/>
    </row>
    <row r="258" spans="1:13" x14ac:dyDescent="0.3">
      <c r="A258" s="2" t="s">
        <v>728</v>
      </c>
      <c r="B258" s="2" t="s">
        <v>1221</v>
      </c>
      <c r="C258" s="83">
        <v>4025.8565599999993</v>
      </c>
      <c r="F258" s="50" t="s">
        <v>731</v>
      </c>
      <c r="G258" s="2" t="s">
        <v>1158</v>
      </c>
      <c r="H258" s="2">
        <v>15366.983199999999</v>
      </c>
      <c r="I258" s="2">
        <f t="shared" si="12"/>
        <v>339519.28411999997</v>
      </c>
      <c r="J258" s="51">
        <f t="shared" si="13"/>
        <v>4.5261002596154981E-2</v>
      </c>
      <c r="K258" s="2">
        <f t="shared" si="14"/>
        <v>4.5261002596154981E-2</v>
      </c>
      <c r="L258" s="2" t="str">
        <f t="shared" si="15"/>
        <v>A</v>
      </c>
      <c r="M258" s="52"/>
    </row>
    <row r="259" spans="1:13" x14ac:dyDescent="0.3">
      <c r="A259" s="2" t="s">
        <v>728</v>
      </c>
      <c r="B259" s="2" t="s">
        <v>773</v>
      </c>
      <c r="C259" s="83">
        <v>3562.1983800000003</v>
      </c>
      <c r="F259" s="50" t="s">
        <v>727</v>
      </c>
      <c r="G259" s="2" t="s">
        <v>1111</v>
      </c>
      <c r="H259" s="2">
        <v>15348.702599999999</v>
      </c>
      <c r="I259" s="2">
        <f t="shared" si="12"/>
        <v>361854.30115999992</v>
      </c>
      <c r="J259" s="51">
        <f t="shared" si="13"/>
        <v>4.241680298063754E-2</v>
      </c>
      <c r="K259" s="2">
        <f t="shared" si="14"/>
        <v>4.241680298063754E-2</v>
      </c>
      <c r="L259" s="2" t="str">
        <f t="shared" si="15"/>
        <v>A</v>
      </c>
      <c r="M259" s="52"/>
    </row>
    <row r="260" spans="1:13" x14ac:dyDescent="0.3">
      <c r="A260" s="2" t="s">
        <v>728</v>
      </c>
      <c r="B260" s="2" t="s">
        <v>1329</v>
      </c>
      <c r="C260" s="83">
        <v>3116.21</v>
      </c>
      <c r="F260" s="50" t="s">
        <v>729</v>
      </c>
      <c r="G260" s="2" t="s">
        <v>1240</v>
      </c>
      <c r="H260" s="2">
        <v>15323.926799999999</v>
      </c>
      <c r="I260" s="2">
        <f t="shared" ref="I260:I323" si="16">SUMIF(F260:F888, F260, H260:H888)</f>
        <v>329728.68759999989</v>
      </c>
      <c r="J260" s="51">
        <f t="shared" ref="J260:J323" si="17">H260/I260</f>
        <v>4.6474351114361469E-2</v>
      </c>
      <c r="K260" s="2">
        <f t="shared" si="14"/>
        <v>4.6474351114361469E-2</v>
      </c>
      <c r="L260" s="2" t="str">
        <f t="shared" si="15"/>
        <v>A</v>
      </c>
      <c r="M260" s="52"/>
    </row>
    <row r="261" spans="1:13" x14ac:dyDescent="0.3">
      <c r="A261" s="2" t="s">
        <v>728</v>
      </c>
      <c r="B261" s="2" t="s">
        <v>966</v>
      </c>
      <c r="C261" s="83">
        <v>2879.9836</v>
      </c>
      <c r="F261" s="50" t="s">
        <v>732</v>
      </c>
      <c r="G261" s="2" t="s">
        <v>1117</v>
      </c>
      <c r="H261" s="2">
        <v>15257.51748</v>
      </c>
      <c r="I261" s="2">
        <f t="shared" si="16"/>
        <v>412548.78234999988</v>
      </c>
      <c r="J261" s="51">
        <f t="shared" si="17"/>
        <v>3.6983547480345644E-2</v>
      </c>
      <c r="K261" s="2">
        <f t="shared" ref="K261:K324" si="18">IF(F261=F260, K260+J261, J261)</f>
        <v>3.6983547480345644E-2</v>
      </c>
      <c r="L261" s="2" t="str">
        <f t="shared" ref="L261:L324" si="19">IF(K261&lt;=0.8,"A", IF(K261&lt;=0.95,"B","C"))</f>
        <v>A</v>
      </c>
      <c r="M261" s="52"/>
    </row>
    <row r="262" spans="1:13" x14ac:dyDescent="0.3">
      <c r="A262" s="2" t="s">
        <v>728</v>
      </c>
      <c r="B262" s="2" t="s">
        <v>1340</v>
      </c>
      <c r="C262" s="83">
        <v>2736.27018</v>
      </c>
      <c r="F262" s="50" t="s">
        <v>729</v>
      </c>
      <c r="G262" s="2" t="s">
        <v>949</v>
      </c>
      <c r="H262" s="2">
        <v>15253.069799999999</v>
      </c>
      <c r="I262" s="2">
        <f t="shared" si="16"/>
        <v>314404.76079999987</v>
      </c>
      <c r="J262" s="51">
        <f t="shared" si="17"/>
        <v>4.8514118428705441E-2</v>
      </c>
      <c r="K262" s="2">
        <f t="shared" si="18"/>
        <v>4.8514118428705441E-2</v>
      </c>
      <c r="L262" s="2" t="str">
        <f t="shared" si="19"/>
        <v>A</v>
      </c>
      <c r="M262" s="52"/>
    </row>
    <row r="263" spans="1:13" x14ac:dyDescent="0.3">
      <c r="A263" s="2" t="s">
        <v>728</v>
      </c>
      <c r="B263" s="2" t="s">
        <v>1124</v>
      </c>
      <c r="C263" s="83">
        <v>2525.0635000000002</v>
      </c>
      <c r="F263" s="50" t="s">
        <v>731</v>
      </c>
      <c r="G263" s="2" t="s">
        <v>1268</v>
      </c>
      <c r="H263" s="2">
        <v>15155.326800000001</v>
      </c>
      <c r="I263" s="2">
        <f t="shared" si="16"/>
        <v>324152.30091999995</v>
      </c>
      <c r="J263" s="51">
        <f t="shared" si="17"/>
        <v>4.6753722731526441E-2</v>
      </c>
      <c r="K263" s="2">
        <f t="shared" si="18"/>
        <v>4.6753722731526441E-2</v>
      </c>
      <c r="L263" s="2" t="str">
        <f t="shared" si="19"/>
        <v>A</v>
      </c>
      <c r="M263" s="52"/>
    </row>
    <row r="264" spans="1:13" x14ac:dyDescent="0.3">
      <c r="A264" s="2" t="s">
        <v>728</v>
      </c>
      <c r="B264" s="2" t="s">
        <v>1259</v>
      </c>
      <c r="C264" s="83">
        <v>2146.5580500000001</v>
      </c>
      <c r="F264" s="50" t="s">
        <v>728</v>
      </c>
      <c r="G264" s="2" t="s">
        <v>772</v>
      </c>
      <c r="H264" s="2">
        <v>14968.239</v>
      </c>
      <c r="I264" s="2">
        <f t="shared" si="16"/>
        <v>432430.74968000012</v>
      </c>
      <c r="J264" s="51">
        <f t="shared" si="17"/>
        <v>3.4614187383937275E-2</v>
      </c>
      <c r="K264" s="2">
        <f t="shared" si="18"/>
        <v>3.4614187383937275E-2</v>
      </c>
      <c r="L264" s="2" t="str">
        <f t="shared" si="19"/>
        <v>A</v>
      </c>
      <c r="M264" s="52"/>
    </row>
    <row r="265" spans="1:13" x14ac:dyDescent="0.3">
      <c r="A265" s="2" t="s">
        <v>728</v>
      </c>
      <c r="B265" s="2" t="s">
        <v>908</v>
      </c>
      <c r="C265" s="83">
        <v>1952.6356799999999</v>
      </c>
      <c r="F265" s="50" t="s">
        <v>730</v>
      </c>
      <c r="G265" s="2" t="s">
        <v>934</v>
      </c>
      <c r="H265" s="2">
        <v>14963.769179999999</v>
      </c>
      <c r="I265" s="2">
        <f t="shared" si="16"/>
        <v>340724.34287999989</v>
      </c>
      <c r="J265" s="51">
        <f t="shared" si="17"/>
        <v>4.3917523043753015E-2</v>
      </c>
      <c r="K265" s="2">
        <f t="shared" si="18"/>
        <v>4.3917523043753015E-2</v>
      </c>
      <c r="L265" s="2" t="str">
        <f t="shared" si="19"/>
        <v>A</v>
      </c>
      <c r="M265" s="52"/>
    </row>
    <row r="266" spans="1:13" x14ac:dyDescent="0.3">
      <c r="A266" s="2" t="s">
        <v>728</v>
      </c>
      <c r="B266" s="2" t="s">
        <v>1178</v>
      </c>
      <c r="C266" s="83">
        <v>1925.29872</v>
      </c>
      <c r="F266" s="50" t="s">
        <v>731</v>
      </c>
      <c r="G266" s="2" t="s">
        <v>1327</v>
      </c>
      <c r="H266" s="2">
        <v>14910.609600000002</v>
      </c>
      <c r="I266" s="2">
        <f t="shared" si="16"/>
        <v>308996.97411999997</v>
      </c>
      <c r="J266" s="51">
        <f t="shared" si="17"/>
        <v>4.8254872535448905E-2</v>
      </c>
      <c r="K266" s="2">
        <f t="shared" si="18"/>
        <v>4.8254872535448905E-2</v>
      </c>
      <c r="L266" s="2" t="str">
        <f t="shared" si="19"/>
        <v>A</v>
      </c>
      <c r="M266" s="52"/>
    </row>
    <row r="267" spans="1:13" x14ac:dyDescent="0.3">
      <c r="A267" s="2" t="s">
        <v>728</v>
      </c>
      <c r="B267" s="2" t="s">
        <v>760</v>
      </c>
      <c r="C267" s="83">
        <v>1756.6999999999998</v>
      </c>
      <c r="F267" s="50" t="s">
        <v>733</v>
      </c>
      <c r="G267" s="2" t="s">
        <v>784</v>
      </c>
      <c r="H267" s="2">
        <v>14894.903999999999</v>
      </c>
      <c r="I267" s="2">
        <f t="shared" si="16"/>
        <v>406747.52749999991</v>
      </c>
      <c r="J267" s="51">
        <f t="shared" si="17"/>
        <v>3.6619531756096543E-2</v>
      </c>
      <c r="K267" s="2">
        <f t="shared" si="18"/>
        <v>3.6619531756096543E-2</v>
      </c>
      <c r="L267" s="2" t="str">
        <f t="shared" si="19"/>
        <v>A</v>
      </c>
      <c r="M267" s="52"/>
    </row>
    <row r="268" spans="1:13" x14ac:dyDescent="0.3">
      <c r="A268" s="2" t="s">
        <v>728</v>
      </c>
      <c r="B268" s="2" t="s">
        <v>1088</v>
      </c>
      <c r="C268" s="83">
        <v>1122.0896000000002</v>
      </c>
      <c r="F268" s="50" t="s">
        <v>728</v>
      </c>
      <c r="G268" s="2" t="s">
        <v>882</v>
      </c>
      <c r="H268" s="2">
        <v>14877.464000000002</v>
      </c>
      <c r="I268" s="2">
        <f t="shared" si="16"/>
        <v>417462.51068000018</v>
      </c>
      <c r="J268" s="51">
        <f t="shared" si="17"/>
        <v>3.5637844403719657E-2</v>
      </c>
      <c r="K268" s="2">
        <f t="shared" si="18"/>
        <v>3.5637844403719657E-2</v>
      </c>
      <c r="L268" s="2" t="str">
        <f t="shared" si="19"/>
        <v>A</v>
      </c>
      <c r="M268" s="52"/>
    </row>
    <row r="269" spans="1:13" x14ac:dyDescent="0.3">
      <c r="A269" s="2" t="s">
        <v>728</v>
      </c>
      <c r="B269" s="2" t="s">
        <v>1025</v>
      </c>
      <c r="C269" s="83">
        <v>1098.9470800000001</v>
      </c>
      <c r="F269" s="50" t="s">
        <v>728</v>
      </c>
      <c r="G269" s="2" t="s">
        <v>1093</v>
      </c>
      <c r="H269" s="2">
        <v>14813.731920000002</v>
      </c>
      <c r="I269" s="2">
        <f t="shared" si="16"/>
        <v>402585.04668000026</v>
      </c>
      <c r="J269" s="51">
        <f t="shared" si="17"/>
        <v>3.6796527944007028E-2</v>
      </c>
      <c r="K269" s="2">
        <f t="shared" si="18"/>
        <v>7.2434372347726678E-2</v>
      </c>
      <c r="L269" s="2" t="str">
        <f t="shared" si="19"/>
        <v>A</v>
      </c>
      <c r="M269" s="52"/>
    </row>
    <row r="270" spans="1:13" x14ac:dyDescent="0.3">
      <c r="A270" s="2" t="s">
        <v>728</v>
      </c>
      <c r="B270" s="2" t="s">
        <v>850</v>
      </c>
      <c r="C270" s="83">
        <v>765.99195000000009</v>
      </c>
      <c r="F270" s="50" t="s">
        <v>733</v>
      </c>
      <c r="G270" s="2" t="s">
        <v>1188</v>
      </c>
      <c r="H270" s="2">
        <v>14752.706080000002</v>
      </c>
      <c r="I270" s="2">
        <f t="shared" si="16"/>
        <v>391852.62349999987</v>
      </c>
      <c r="J270" s="51">
        <f t="shared" si="17"/>
        <v>3.7648608673918976E-2</v>
      </c>
      <c r="K270" s="2">
        <f t="shared" si="18"/>
        <v>3.7648608673918976E-2</v>
      </c>
      <c r="L270" s="2" t="str">
        <f t="shared" si="19"/>
        <v>A</v>
      </c>
      <c r="M270" s="52"/>
    </row>
    <row r="271" spans="1:13" x14ac:dyDescent="0.3">
      <c r="A271" s="2" t="s">
        <v>728</v>
      </c>
      <c r="B271" s="2" t="s">
        <v>977</v>
      </c>
      <c r="C271" s="83">
        <v>748.22303999999997</v>
      </c>
      <c r="F271" s="50" t="s">
        <v>732</v>
      </c>
      <c r="G271" s="2" t="s">
        <v>742</v>
      </c>
      <c r="H271" s="2">
        <v>14714.12934</v>
      </c>
      <c r="I271" s="2">
        <f t="shared" si="16"/>
        <v>397291.26486999984</v>
      </c>
      <c r="J271" s="51">
        <f t="shared" si="17"/>
        <v>3.7036125988862863E-2</v>
      </c>
      <c r="K271" s="2">
        <f t="shared" si="18"/>
        <v>3.7036125988862863E-2</v>
      </c>
      <c r="L271" s="2" t="str">
        <f t="shared" si="19"/>
        <v>A</v>
      </c>
      <c r="M271" s="52"/>
    </row>
    <row r="272" spans="1:13" x14ac:dyDescent="0.3">
      <c r="A272" s="2" t="s">
        <v>728</v>
      </c>
      <c r="B272" s="2" t="s">
        <v>1151</v>
      </c>
      <c r="C272" s="83">
        <v>741.43835999999999</v>
      </c>
      <c r="F272" s="50" t="s">
        <v>733</v>
      </c>
      <c r="G272" s="2" t="s">
        <v>904</v>
      </c>
      <c r="H272" s="2">
        <v>14549.029120000001</v>
      </c>
      <c r="I272" s="2">
        <f t="shared" si="16"/>
        <v>377099.9174199999</v>
      </c>
      <c r="J272" s="51">
        <f t="shared" si="17"/>
        <v>3.8581363845263936E-2</v>
      </c>
      <c r="K272" s="2">
        <f t="shared" si="18"/>
        <v>3.8581363845263936E-2</v>
      </c>
      <c r="L272" s="2" t="str">
        <f t="shared" si="19"/>
        <v>A</v>
      </c>
      <c r="M272" s="52"/>
    </row>
    <row r="273" spans="1:13" x14ac:dyDescent="0.3">
      <c r="A273" s="2" t="s">
        <v>728</v>
      </c>
      <c r="B273" s="2" t="s">
        <v>741</v>
      </c>
      <c r="C273" s="83">
        <v>685.06776000000002</v>
      </c>
      <c r="F273" s="50" t="s">
        <v>730</v>
      </c>
      <c r="G273" s="2" t="s">
        <v>1153</v>
      </c>
      <c r="H273" s="2">
        <v>14527.748400000002</v>
      </c>
      <c r="I273" s="2">
        <f t="shared" si="16"/>
        <v>325760.57369999989</v>
      </c>
      <c r="J273" s="51">
        <f t="shared" si="17"/>
        <v>4.4596398621826246E-2</v>
      </c>
      <c r="K273" s="2">
        <f t="shared" si="18"/>
        <v>4.4596398621826246E-2</v>
      </c>
      <c r="L273" s="2" t="str">
        <f t="shared" si="19"/>
        <v>A</v>
      </c>
      <c r="M273" s="52"/>
    </row>
    <row r="274" spans="1:13" x14ac:dyDescent="0.3">
      <c r="A274" s="2" t="s">
        <v>732</v>
      </c>
      <c r="B274" s="2" t="s">
        <v>909</v>
      </c>
      <c r="C274" s="83">
        <v>92715.25</v>
      </c>
      <c r="F274" s="50" t="s">
        <v>732</v>
      </c>
      <c r="G274" s="2" t="s">
        <v>1306</v>
      </c>
      <c r="H274" s="2">
        <v>14466.95104</v>
      </c>
      <c r="I274" s="2">
        <f t="shared" si="16"/>
        <v>382577.13552999985</v>
      </c>
      <c r="J274" s="51">
        <f t="shared" si="17"/>
        <v>3.7814468499165109E-2</v>
      </c>
      <c r="K274" s="2">
        <f t="shared" si="18"/>
        <v>3.7814468499165109E-2</v>
      </c>
      <c r="L274" s="2" t="str">
        <f t="shared" si="19"/>
        <v>A</v>
      </c>
      <c r="M274" s="52"/>
    </row>
    <row r="275" spans="1:13" x14ac:dyDescent="0.3">
      <c r="A275" s="2" t="s">
        <v>732</v>
      </c>
      <c r="B275" s="2" t="s">
        <v>874</v>
      </c>
      <c r="C275" s="83">
        <v>87404.929919999995</v>
      </c>
      <c r="F275" s="50" t="s">
        <v>731</v>
      </c>
      <c r="G275" s="2" t="s">
        <v>900</v>
      </c>
      <c r="H275" s="2">
        <v>14448.298699999998</v>
      </c>
      <c r="I275" s="2">
        <f t="shared" si="16"/>
        <v>294086.36452000006</v>
      </c>
      <c r="J275" s="51">
        <f t="shared" si="17"/>
        <v>4.9129441018396502E-2</v>
      </c>
      <c r="K275" s="2">
        <f t="shared" si="18"/>
        <v>4.9129441018396502E-2</v>
      </c>
      <c r="L275" s="2" t="str">
        <f t="shared" si="19"/>
        <v>A</v>
      </c>
      <c r="M275" s="52"/>
    </row>
    <row r="276" spans="1:13" x14ac:dyDescent="0.3">
      <c r="A276" s="2" t="s">
        <v>732</v>
      </c>
      <c r="B276" s="2" t="s">
        <v>899</v>
      </c>
      <c r="C276" s="83">
        <v>85637.740319999997</v>
      </c>
      <c r="F276" s="50" t="s">
        <v>733</v>
      </c>
      <c r="G276" s="2" t="s">
        <v>1128</v>
      </c>
      <c r="H276" s="2">
        <v>14431.738420000001</v>
      </c>
      <c r="I276" s="2">
        <f t="shared" si="16"/>
        <v>362550.88829999988</v>
      </c>
      <c r="J276" s="51">
        <f t="shared" si="17"/>
        <v>3.9806104151807166E-2</v>
      </c>
      <c r="K276" s="2">
        <f t="shared" si="18"/>
        <v>3.9806104151807166E-2</v>
      </c>
      <c r="L276" s="2" t="str">
        <f t="shared" si="19"/>
        <v>A</v>
      </c>
      <c r="M276" s="52"/>
    </row>
    <row r="277" spans="1:13" x14ac:dyDescent="0.3">
      <c r="A277" s="2" t="s">
        <v>732</v>
      </c>
      <c r="B277" s="2" t="s">
        <v>797</v>
      </c>
      <c r="C277" s="83">
        <v>72665.817450000002</v>
      </c>
      <c r="F277" s="50" t="s">
        <v>732</v>
      </c>
      <c r="G277" s="2" t="s">
        <v>801</v>
      </c>
      <c r="H277" s="2">
        <v>14287.896349999999</v>
      </c>
      <c r="I277" s="2">
        <f t="shared" si="16"/>
        <v>368110.18448999984</v>
      </c>
      <c r="J277" s="51">
        <f t="shared" si="17"/>
        <v>3.8814183774337131E-2</v>
      </c>
      <c r="K277" s="2">
        <f t="shared" si="18"/>
        <v>3.8814183774337131E-2</v>
      </c>
      <c r="L277" s="2" t="str">
        <f t="shared" si="19"/>
        <v>A</v>
      </c>
      <c r="M277" s="52"/>
    </row>
    <row r="278" spans="1:13" x14ac:dyDescent="0.3">
      <c r="A278" s="2" t="s">
        <v>732</v>
      </c>
      <c r="B278" s="2" t="s">
        <v>1129</v>
      </c>
      <c r="C278" s="83">
        <v>56176.777799999996</v>
      </c>
      <c r="F278" s="50" t="s">
        <v>727</v>
      </c>
      <c r="G278" s="2" t="s">
        <v>968</v>
      </c>
      <c r="H278" s="2">
        <v>14269.848599999999</v>
      </c>
      <c r="I278" s="2">
        <f t="shared" si="16"/>
        <v>346505.5985599999</v>
      </c>
      <c r="J278" s="51">
        <f t="shared" si="17"/>
        <v>4.1182158843326953E-2</v>
      </c>
      <c r="K278" s="2">
        <f t="shared" si="18"/>
        <v>4.1182158843326953E-2</v>
      </c>
      <c r="L278" s="2" t="str">
        <f t="shared" si="19"/>
        <v>A</v>
      </c>
      <c r="M278" s="52"/>
    </row>
    <row r="279" spans="1:13" x14ac:dyDescent="0.3">
      <c r="A279" s="2" t="s">
        <v>732</v>
      </c>
      <c r="B279" s="2" t="s">
        <v>1181</v>
      </c>
      <c r="C279" s="83">
        <v>45547.183360000003</v>
      </c>
      <c r="F279" s="50" t="s">
        <v>729</v>
      </c>
      <c r="G279" s="2" t="s">
        <v>1200</v>
      </c>
      <c r="H279" s="2">
        <v>14261.92439</v>
      </c>
      <c r="I279" s="2">
        <f t="shared" si="16"/>
        <v>299151.69099999993</v>
      </c>
      <c r="J279" s="51">
        <f t="shared" si="17"/>
        <v>4.767455715301306E-2</v>
      </c>
      <c r="K279" s="2">
        <f t="shared" si="18"/>
        <v>4.767455715301306E-2</v>
      </c>
      <c r="L279" s="2" t="str">
        <f t="shared" si="19"/>
        <v>A</v>
      </c>
      <c r="M279" s="52"/>
    </row>
    <row r="280" spans="1:13" x14ac:dyDescent="0.3">
      <c r="A280" s="2" t="s">
        <v>732</v>
      </c>
      <c r="B280" s="2" t="s">
        <v>774</v>
      </c>
      <c r="C280" s="83">
        <v>41106.800970000004</v>
      </c>
      <c r="F280" s="50" t="s">
        <v>727</v>
      </c>
      <c r="G280" s="2" t="s">
        <v>820</v>
      </c>
      <c r="H280" s="2">
        <v>14197.064400000001</v>
      </c>
      <c r="I280" s="2">
        <f t="shared" si="16"/>
        <v>332235.74995999987</v>
      </c>
      <c r="J280" s="51">
        <f t="shared" si="17"/>
        <v>4.2731898664455231E-2</v>
      </c>
      <c r="K280" s="2">
        <f t="shared" si="18"/>
        <v>4.2731898664455231E-2</v>
      </c>
      <c r="L280" s="2" t="str">
        <f t="shared" si="19"/>
        <v>A</v>
      </c>
      <c r="M280" s="52"/>
    </row>
    <row r="281" spans="1:13" x14ac:dyDescent="0.3">
      <c r="A281" s="2" t="s">
        <v>732</v>
      </c>
      <c r="B281" s="2" t="s">
        <v>1000</v>
      </c>
      <c r="C281" s="83">
        <v>38818.760160000005</v>
      </c>
      <c r="F281" s="50" t="s">
        <v>731</v>
      </c>
      <c r="G281" s="2" t="s">
        <v>1276</v>
      </c>
      <c r="H281" s="2">
        <v>14114.068500000001</v>
      </c>
      <c r="I281" s="2">
        <f t="shared" si="16"/>
        <v>279638.06581999996</v>
      </c>
      <c r="J281" s="51">
        <f t="shared" si="17"/>
        <v>5.047262953493991E-2</v>
      </c>
      <c r="K281" s="2">
        <f t="shared" si="18"/>
        <v>5.047262953493991E-2</v>
      </c>
      <c r="L281" s="2" t="str">
        <f t="shared" si="19"/>
        <v>A</v>
      </c>
      <c r="M281" s="52"/>
    </row>
    <row r="282" spans="1:13" x14ac:dyDescent="0.3">
      <c r="A282" s="2" t="s">
        <v>732</v>
      </c>
      <c r="B282" s="2" t="s">
        <v>1006</v>
      </c>
      <c r="C282" s="83">
        <v>34632.106319999999</v>
      </c>
      <c r="F282" s="50" t="s">
        <v>727</v>
      </c>
      <c r="G282" s="2" t="s">
        <v>1358</v>
      </c>
      <c r="H282" s="2">
        <v>13983.752729999998</v>
      </c>
      <c r="I282" s="2">
        <f t="shared" si="16"/>
        <v>318038.6855599999</v>
      </c>
      <c r="J282" s="51">
        <f t="shared" si="17"/>
        <v>4.3968716275435242E-2</v>
      </c>
      <c r="K282" s="2">
        <f t="shared" si="18"/>
        <v>4.3968716275435242E-2</v>
      </c>
      <c r="L282" s="2" t="str">
        <f t="shared" si="19"/>
        <v>A</v>
      </c>
      <c r="M282" s="52"/>
    </row>
    <row r="283" spans="1:13" x14ac:dyDescent="0.3">
      <c r="A283" s="2" t="s">
        <v>732</v>
      </c>
      <c r="B283" s="2" t="s">
        <v>1106</v>
      </c>
      <c r="C283" s="83">
        <v>32280.32474</v>
      </c>
      <c r="F283" s="50" t="s">
        <v>729</v>
      </c>
      <c r="G283" s="2" t="s">
        <v>1309</v>
      </c>
      <c r="H283" s="2">
        <v>13882.6016</v>
      </c>
      <c r="I283" s="2">
        <f t="shared" si="16"/>
        <v>284889.76661000005</v>
      </c>
      <c r="J283" s="51">
        <f t="shared" si="17"/>
        <v>4.8729730678619257E-2</v>
      </c>
      <c r="K283" s="2">
        <f t="shared" si="18"/>
        <v>4.8729730678619257E-2</v>
      </c>
      <c r="L283" s="2" t="str">
        <f t="shared" si="19"/>
        <v>A</v>
      </c>
      <c r="M283" s="52"/>
    </row>
    <row r="284" spans="1:13" x14ac:dyDescent="0.3">
      <c r="A284" s="2" t="s">
        <v>732</v>
      </c>
      <c r="B284" s="2" t="s">
        <v>789</v>
      </c>
      <c r="C284" s="83">
        <v>31680.795320000001</v>
      </c>
      <c r="F284" s="50" t="s">
        <v>733</v>
      </c>
      <c r="G284" s="2" t="s">
        <v>1338</v>
      </c>
      <c r="H284" s="2">
        <v>13856.52411</v>
      </c>
      <c r="I284" s="2">
        <f t="shared" si="16"/>
        <v>348119.14987999987</v>
      </c>
      <c r="J284" s="51">
        <f t="shared" si="17"/>
        <v>3.9803969746497664E-2</v>
      </c>
      <c r="K284" s="2">
        <f t="shared" si="18"/>
        <v>3.9803969746497664E-2</v>
      </c>
      <c r="L284" s="2" t="str">
        <f t="shared" si="19"/>
        <v>A</v>
      </c>
      <c r="M284" s="52"/>
    </row>
    <row r="285" spans="1:13" x14ac:dyDescent="0.3">
      <c r="A285" s="2" t="s">
        <v>732</v>
      </c>
      <c r="B285" s="2" t="s">
        <v>929</v>
      </c>
      <c r="C285" s="83">
        <v>31191.64716</v>
      </c>
      <c r="F285" s="50" t="s">
        <v>731</v>
      </c>
      <c r="G285" s="2" t="s">
        <v>1102</v>
      </c>
      <c r="H285" s="2">
        <v>13784.586000000001</v>
      </c>
      <c r="I285" s="2">
        <f t="shared" si="16"/>
        <v>265523.99731999997</v>
      </c>
      <c r="J285" s="51">
        <f t="shared" si="17"/>
        <v>5.1914652306877238E-2</v>
      </c>
      <c r="K285" s="2">
        <f t="shared" si="18"/>
        <v>5.1914652306877238E-2</v>
      </c>
      <c r="L285" s="2" t="str">
        <f t="shared" si="19"/>
        <v>A</v>
      </c>
      <c r="M285" s="52"/>
    </row>
    <row r="286" spans="1:13" x14ac:dyDescent="0.3">
      <c r="A286" s="2" t="s">
        <v>732</v>
      </c>
      <c r="B286" s="2" t="s">
        <v>1044</v>
      </c>
      <c r="C286" s="83">
        <v>30799.273800000003</v>
      </c>
      <c r="F286" s="50" t="s">
        <v>731</v>
      </c>
      <c r="G286" s="2" t="s">
        <v>836</v>
      </c>
      <c r="H286" s="2">
        <v>13669.81</v>
      </c>
      <c r="I286" s="2">
        <f t="shared" si="16"/>
        <v>251739.41131999993</v>
      </c>
      <c r="J286" s="51">
        <f t="shared" si="17"/>
        <v>5.4301429912472249E-2</v>
      </c>
      <c r="K286" s="2">
        <f t="shared" si="18"/>
        <v>0.10621608221934949</v>
      </c>
      <c r="L286" s="2" t="str">
        <f t="shared" si="19"/>
        <v>A</v>
      </c>
      <c r="M286" s="52"/>
    </row>
    <row r="287" spans="1:13" x14ac:dyDescent="0.3">
      <c r="A287" s="2" t="s">
        <v>732</v>
      </c>
      <c r="B287" s="2" t="s">
        <v>1274</v>
      </c>
      <c r="C287" s="83">
        <v>30652.403519999996</v>
      </c>
      <c r="F287" s="50" t="s">
        <v>731</v>
      </c>
      <c r="G287" s="2" t="s">
        <v>1079</v>
      </c>
      <c r="H287" s="2">
        <v>13637.287999999999</v>
      </c>
      <c r="I287" s="2">
        <f t="shared" si="16"/>
        <v>238069.60131999993</v>
      </c>
      <c r="J287" s="51">
        <f t="shared" si="17"/>
        <v>5.7282777491904621E-2</v>
      </c>
      <c r="K287" s="2">
        <f t="shared" si="18"/>
        <v>0.16349885971125411</v>
      </c>
      <c r="L287" s="2" t="str">
        <f t="shared" si="19"/>
        <v>A</v>
      </c>
      <c r="M287" s="52"/>
    </row>
    <row r="288" spans="1:13" x14ac:dyDescent="0.3">
      <c r="A288" s="2" t="s">
        <v>732</v>
      </c>
      <c r="B288" s="2" t="s">
        <v>1007</v>
      </c>
      <c r="C288" s="83">
        <v>29536.716</v>
      </c>
      <c r="F288" s="50" t="s">
        <v>727</v>
      </c>
      <c r="G288" s="2" t="s">
        <v>954</v>
      </c>
      <c r="H288" s="2">
        <v>13519.529099999998</v>
      </c>
      <c r="I288" s="2">
        <f t="shared" si="16"/>
        <v>304054.93282999977</v>
      </c>
      <c r="J288" s="51">
        <f t="shared" si="17"/>
        <v>4.4464100530014768E-2</v>
      </c>
      <c r="K288" s="2">
        <f t="shared" si="18"/>
        <v>4.4464100530014768E-2</v>
      </c>
      <c r="L288" s="2" t="str">
        <f t="shared" si="19"/>
        <v>A</v>
      </c>
      <c r="M288" s="52"/>
    </row>
    <row r="289" spans="1:13" x14ac:dyDescent="0.3">
      <c r="A289" s="2" t="s">
        <v>732</v>
      </c>
      <c r="B289" s="2" t="s">
        <v>922</v>
      </c>
      <c r="C289" s="83">
        <v>28072.190160000002</v>
      </c>
      <c r="F289" s="50" t="s">
        <v>732</v>
      </c>
      <c r="G289" s="2" t="s">
        <v>1161</v>
      </c>
      <c r="H289" s="2">
        <v>13450.74</v>
      </c>
      <c r="I289" s="2">
        <f t="shared" si="16"/>
        <v>353822.28813999984</v>
      </c>
      <c r="J289" s="51">
        <f t="shared" si="17"/>
        <v>3.8015524885978445E-2</v>
      </c>
      <c r="K289" s="2">
        <f t="shared" si="18"/>
        <v>3.8015524885978445E-2</v>
      </c>
      <c r="L289" s="2" t="str">
        <f t="shared" si="19"/>
        <v>A</v>
      </c>
      <c r="M289" s="52"/>
    </row>
    <row r="290" spans="1:13" x14ac:dyDescent="0.3">
      <c r="A290" s="2" t="s">
        <v>732</v>
      </c>
      <c r="B290" s="2" t="s">
        <v>869</v>
      </c>
      <c r="C290" s="83">
        <v>27370.540859999997</v>
      </c>
      <c r="F290" s="50" t="s">
        <v>732</v>
      </c>
      <c r="G290" s="2" t="s">
        <v>1138</v>
      </c>
      <c r="H290" s="2">
        <v>13437.300239999999</v>
      </c>
      <c r="I290" s="2">
        <f t="shared" si="16"/>
        <v>340371.54813999985</v>
      </c>
      <c r="J290" s="51">
        <f t="shared" si="17"/>
        <v>3.9478329823481713E-2</v>
      </c>
      <c r="K290" s="2">
        <f t="shared" si="18"/>
        <v>7.7493854709460158E-2</v>
      </c>
      <c r="L290" s="2" t="str">
        <f t="shared" si="19"/>
        <v>A</v>
      </c>
      <c r="M290" s="52"/>
    </row>
    <row r="291" spans="1:13" x14ac:dyDescent="0.3">
      <c r="A291" s="2" t="s">
        <v>732</v>
      </c>
      <c r="B291" s="2" t="s">
        <v>918</v>
      </c>
      <c r="C291" s="83">
        <v>26408.63841</v>
      </c>
      <c r="F291" s="50" t="s">
        <v>729</v>
      </c>
      <c r="G291" s="2" t="s">
        <v>1015</v>
      </c>
      <c r="H291" s="2">
        <v>13360.438</v>
      </c>
      <c r="I291" s="2">
        <f t="shared" si="16"/>
        <v>271007.16501</v>
      </c>
      <c r="J291" s="51">
        <f t="shared" si="17"/>
        <v>4.929920579593166E-2</v>
      </c>
      <c r="K291" s="2">
        <f t="shared" si="18"/>
        <v>4.929920579593166E-2</v>
      </c>
      <c r="L291" s="2" t="str">
        <f t="shared" si="19"/>
        <v>A</v>
      </c>
      <c r="M291" s="52"/>
    </row>
    <row r="292" spans="1:13" x14ac:dyDescent="0.3">
      <c r="A292" s="2" t="s">
        <v>732</v>
      </c>
      <c r="B292" s="2" t="s">
        <v>939</v>
      </c>
      <c r="C292" s="83">
        <v>26131.70736</v>
      </c>
      <c r="F292" s="50" t="s">
        <v>733</v>
      </c>
      <c r="G292" s="2" t="s">
        <v>881</v>
      </c>
      <c r="H292" s="2">
        <v>13321.14</v>
      </c>
      <c r="I292" s="2">
        <f t="shared" si="16"/>
        <v>334262.62576999987</v>
      </c>
      <c r="J292" s="51">
        <f t="shared" si="17"/>
        <v>3.9852316630714313E-2</v>
      </c>
      <c r="K292" s="2">
        <f t="shared" si="18"/>
        <v>3.9852316630714313E-2</v>
      </c>
      <c r="L292" s="2" t="str">
        <f t="shared" si="19"/>
        <v>A</v>
      </c>
      <c r="M292" s="52"/>
    </row>
    <row r="293" spans="1:13" x14ac:dyDescent="0.3">
      <c r="A293" s="2" t="s">
        <v>732</v>
      </c>
      <c r="B293" s="2" t="s">
        <v>1073</v>
      </c>
      <c r="C293" s="83">
        <v>26106.613960000002</v>
      </c>
      <c r="F293" s="50" t="s">
        <v>728</v>
      </c>
      <c r="G293" s="2" t="s">
        <v>1292</v>
      </c>
      <c r="H293" s="2">
        <v>13251.48</v>
      </c>
      <c r="I293" s="2">
        <f t="shared" si="16"/>
        <v>387771.31476000021</v>
      </c>
      <c r="J293" s="51">
        <f t="shared" si="17"/>
        <v>3.4173440622346236E-2</v>
      </c>
      <c r="K293" s="2">
        <f t="shared" si="18"/>
        <v>3.4173440622346236E-2</v>
      </c>
      <c r="L293" s="2" t="str">
        <f t="shared" si="19"/>
        <v>A</v>
      </c>
      <c r="M293" s="52"/>
    </row>
    <row r="294" spans="1:13" x14ac:dyDescent="0.3">
      <c r="A294" s="2" t="s">
        <v>732</v>
      </c>
      <c r="B294" s="2" t="s">
        <v>938</v>
      </c>
      <c r="C294" s="83">
        <v>25553.782800000001</v>
      </c>
      <c r="F294" s="50" t="s">
        <v>731</v>
      </c>
      <c r="G294" s="2" t="s">
        <v>767</v>
      </c>
      <c r="H294" s="2">
        <v>13218.5</v>
      </c>
      <c r="I294" s="2">
        <f t="shared" si="16"/>
        <v>224432.31331999993</v>
      </c>
      <c r="J294" s="51">
        <f t="shared" si="17"/>
        <v>5.8897490314386271E-2</v>
      </c>
      <c r="K294" s="2">
        <f t="shared" si="18"/>
        <v>5.8897490314386271E-2</v>
      </c>
      <c r="L294" s="2" t="str">
        <f t="shared" si="19"/>
        <v>A</v>
      </c>
      <c r="M294" s="52"/>
    </row>
    <row r="295" spans="1:13" x14ac:dyDescent="0.3">
      <c r="A295" s="2" t="s">
        <v>732</v>
      </c>
      <c r="B295" s="2" t="s">
        <v>1300</v>
      </c>
      <c r="C295" s="83">
        <v>25079.480689999997</v>
      </c>
      <c r="F295" s="50" t="s">
        <v>727</v>
      </c>
      <c r="G295" s="2" t="s">
        <v>1131</v>
      </c>
      <c r="H295" s="2">
        <v>13185.543</v>
      </c>
      <c r="I295" s="2">
        <f t="shared" si="16"/>
        <v>290535.40372999985</v>
      </c>
      <c r="J295" s="51">
        <f t="shared" si="17"/>
        <v>4.5383601553267428E-2</v>
      </c>
      <c r="K295" s="2">
        <f t="shared" si="18"/>
        <v>4.5383601553267428E-2</v>
      </c>
      <c r="L295" s="2" t="str">
        <f t="shared" si="19"/>
        <v>A</v>
      </c>
      <c r="M295" s="52"/>
    </row>
    <row r="296" spans="1:13" x14ac:dyDescent="0.3">
      <c r="A296" s="2" t="s">
        <v>732</v>
      </c>
      <c r="B296" s="2" t="s">
        <v>849</v>
      </c>
      <c r="C296" s="83">
        <v>24523.006720000001</v>
      </c>
      <c r="F296" s="50" t="s">
        <v>727</v>
      </c>
      <c r="G296" s="2" t="s">
        <v>819</v>
      </c>
      <c r="H296" s="2">
        <v>13146.470699999998</v>
      </c>
      <c r="I296" s="2">
        <f t="shared" si="16"/>
        <v>277349.86072999984</v>
      </c>
      <c r="J296" s="51">
        <f t="shared" si="17"/>
        <v>4.7400314769936336E-2</v>
      </c>
      <c r="K296" s="2">
        <f t="shared" si="18"/>
        <v>9.2783916323203763E-2</v>
      </c>
      <c r="L296" s="2" t="str">
        <f t="shared" si="19"/>
        <v>A</v>
      </c>
      <c r="M296" s="52"/>
    </row>
    <row r="297" spans="1:13" x14ac:dyDescent="0.3">
      <c r="A297" s="2" t="s">
        <v>732</v>
      </c>
      <c r="B297" s="2" t="s">
        <v>1187</v>
      </c>
      <c r="C297" s="83">
        <v>23132.398349999996</v>
      </c>
      <c r="F297" s="50" t="s">
        <v>733</v>
      </c>
      <c r="G297" s="2" t="s">
        <v>1291</v>
      </c>
      <c r="H297" s="2">
        <v>13108.78584</v>
      </c>
      <c r="I297" s="2">
        <f t="shared" si="16"/>
        <v>320941.48576999985</v>
      </c>
      <c r="J297" s="51">
        <f t="shared" si="17"/>
        <v>4.0844784551768126E-2</v>
      </c>
      <c r="K297" s="2">
        <f t="shared" si="18"/>
        <v>4.0844784551768126E-2</v>
      </c>
      <c r="L297" s="2" t="str">
        <f t="shared" si="19"/>
        <v>A</v>
      </c>
      <c r="M297" s="52"/>
    </row>
    <row r="298" spans="1:13" x14ac:dyDescent="0.3">
      <c r="A298" s="2" t="s">
        <v>732</v>
      </c>
      <c r="B298" s="2" t="s">
        <v>855</v>
      </c>
      <c r="C298" s="83">
        <v>22983.34563</v>
      </c>
      <c r="F298" s="50" t="s">
        <v>732</v>
      </c>
      <c r="G298" s="2" t="s">
        <v>1132</v>
      </c>
      <c r="H298" s="2">
        <v>12972.00222</v>
      </c>
      <c r="I298" s="2">
        <f t="shared" si="16"/>
        <v>326934.24789999984</v>
      </c>
      <c r="J298" s="51">
        <f t="shared" si="17"/>
        <v>3.9677709824905767E-2</v>
      </c>
      <c r="K298" s="2">
        <f t="shared" si="18"/>
        <v>3.9677709824905767E-2</v>
      </c>
      <c r="L298" s="2" t="str">
        <f t="shared" si="19"/>
        <v>A</v>
      </c>
      <c r="M298" s="52"/>
    </row>
    <row r="299" spans="1:13" x14ac:dyDescent="0.3">
      <c r="A299" s="2" t="s">
        <v>732</v>
      </c>
      <c r="B299" s="2" t="s">
        <v>894</v>
      </c>
      <c r="C299" s="83">
        <v>22044.871499999997</v>
      </c>
      <c r="F299" s="50" t="s">
        <v>732</v>
      </c>
      <c r="G299" s="2" t="s">
        <v>1166</v>
      </c>
      <c r="H299" s="2">
        <v>12967.958640000001</v>
      </c>
      <c r="I299" s="2">
        <f t="shared" si="16"/>
        <v>313962.24567999993</v>
      </c>
      <c r="J299" s="51">
        <f t="shared" si="17"/>
        <v>4.1304197617497443E-2</v>
      </c>
      <c r="K299" s="2">
        <f t="shared" si="18"/>
        <v>8.0981907442403217E-2</v>
      </c>
      <c r="L299" s="2" t="str">
        <f t="shared" si="19"/>
        <v>A</v>
      </c>
      <c r="M299" s="52"/>
    </row>
    <row r="300" spans="1:13" x14ac:dyDescent="0.3">
      <c r="A300" s="2" t="s">
        <v>732</v>
      </c>
      <c r="B300" s="2" t="s">
        <v>1233</v>
      </c>
      <c r="C300" s="83">
        <v>20332.775539999999</v>
      </c>
      <c r="F300" s="50" t="s">
        <v>728</v>
      </c>
      <c r="G300" s="2" t="s">
        <v>1163</v>
      </c>
      <c r="H300" s="2">
        <v>12955.824749999998</v>
      </c>
      <c r="I300" s="2">
        <f t="shared" si="16"/>
        <v>374519.83476000023</v>
      </c>
      <c r="J300" s="51">
        <f t="shared" si="17"/>
        <v>3.4593160488555562E-2</v>
      </c>
      <c r="K300" s="2">
        <f t="shared" si="18"/>
        <v>3.4593160488555562E-2</v>
      </c>
      <c r="L300" s="2" t="str">
        <f t="shared" si="19"/>
        <v>A</v>
      </c>
      <c r="M300" s="52"/>
    </row>
    <row r="301" spans="1:13" x14ac:dyDescent="0.3">
      <c r="A301" s="2" t="s">
        <v>732</v>
      </c>
      <c r="B301" s="2" t="s">
        <v>986</v>
      </c>
      <c r="C301" s="83">
        <v>17689.623</v>
      </c>
      <c r="F301" s="50" t="s">
        <v>731</v>
      </c>
      <c r="G301" s="2" t="s">
        <v>879</v>
      </c>
      <c r="H301" s="2">
        <v>12954.358080000002</v>
      </c>
      <c r="I301" s="2">
        <f t="shared" si="16"/>
        <v>211213.81331999993</v>
      </c>
      <c r="J301" s="51">
        <f t="shared" si="17"/>
        <v>6.1332911310935309E-2</v>
      </c>
      <c r="K301" s="2">
        <f t="shared" si="18"/>
        <v>6.1332911310935309E-2</v>
      </c>
      <c r="L301" s="2" t="str">
        <f t="shared" si="19"/>
        <v>A</v>
      </c>
      <c r="M301" s="52"/>
    </row>
    <row r="302" spans="1:13" x14ac:dyDescent="0.3">
      <c r="A302" s="2" t="s">
        <v>732</v>
      </c>
      <c r="B302" s="2" t="s">
        <v>1014</v>
      </c>
      <c r="C302" s="83">
        <v>17441.021520000002</v>
      </c>
      <c r="F302" s="50" t="s">
        <v>729</v>
      </c>
      <c r="G302" s="2" t="s">
        <v>1114</v>
      </c>
      <c r="H302" s="2">
        <v>12881.097599999999</v>
      </c>
      <c r="I302" s="2">
        <f t="shared" si="16"/>
        <v>257646.72701000009</v>
      </c>
      <c r="J302" s="51">
        <f t="shared" si="17"/>
        <v>4.9995192058077426E-2</v>
      </c>
      <c r="K302" s="2">
        <f t="shared" si="18"/>
        <v>4.9995192058077426E-2</v>
      </c>
      <c r="L302" s="2" t="str">
        <f t="shared" si="19"/>
        <v>A</v>
      </c>
      <c r="M302" s="52"/>
    </row>
    <row r="303" spans="1:13" x14ac:dyDescent="0.3">
      <c r="A303" s="2" t="s">
        <v>732</v>
      </c>
      <c r="B303" s="2" t="s">
        <v>1232</v>
      </c>
      <c r="C303" s="83">
        <v>16574.544740000001</v>
      </c>
      <c r="F303" s="50" t="s">
        <v>730</v>
      </c>
      <c r="G303" s="2" t="s">
        <v>1362</v>
      </c>
      <c r="H303" s="2">
        <v>12769.38768</v>
      </c>
      <c r="I303" s="2">
        <f t="shared" si="16"/>
        <v>311232.82529999997</v>
      </c>
      <c r="J303" s="51">
        <f t="shared" si="17"/>
        <v>4.1028409094353971E-2</v>
      </c>
      <c r="K303" s="2">
        <f t="shared" si="18"/>
        <v>4.1028409094353971E-2</v>
      </c>
      <c r="L303" s="2" t="str">
        <f t="shared" si="19"/>
        <v>A</v>
      </c>
      <c r="M303" s="52"/>
    </row>
    <row r="304" spans="1:13" x14ac:dyDescent="0.3">
      <c r="A304" s="2" t="s">
        <v>732</v>
      </c>
      <c r="B304" s="2" t="s">
        <v>1085</v>
      </c>
      <c r="C304" s="83">
        <v>16487.22781</v>
      </c>
      <c r="F304" s="50" t="s">
        <v>728</v>
      </c>
      <c r="G304" s="2" t="s">
        <v>1098</v>
      </c>
      <c r="H304" s="2">
        <v>12717.311040000001</v>
      </c>
      <c r="I304" s="2">
        <f t="shared" si="16"/>
        <v>361564.01001000014</v>
      </c>
      <c r="J304" s="51">
        <f t="shared" si="17"/>
        <v>3.5173055635842367E-2</v>
      </c>
      <c r="K304" s="2">
        <f t="shared" si="18"/>
        <v>3.5173055635842367E-2</v>
      </c>
      <c r="L304" s="2" t="str">
        <f t="shared" si="19"/>
        <v>A</v>
      </c>
      <c r="M304" s="52"/>
    </row>
    <row r="305" spans="1:13" x14ac:dyDescent="0.3">
      <c r="A305" s="2" t="s">
        <v>732</v>
      </c>
      <c r="B305" s="2" t="s">
        <v>1123</v>
      </c>
      <c r="C305" s="83">
        <v>16142.527829999999</v>
      </c>
      <c r="F305" s="50" t="s">
        <v>733</v>
      </c>
      <c r="G305" s="2" t="s">
        <v>1033</v>
      </c>
      <c r="H305" s="2">
        <v>12699.28</v>
      </c>
      <c r="I305" s="2">
        <f t="shared" si="16"/>
        <v>307832.69992999983</v>
      </c>
      <c r="J305" s="51">
        <f t="shared" si="17"/>
        <v>4.1253836914946905E-2</v>
      </c>
      <c r="K305" s="2">
        <f t="shared" si="18"/>
        <v>4.1253836914946905E-2</v>
      </c>
      <c r="L305" s="2" t="str">
        <f t="shared" si="19"/>
        <v>A</v>
      </c>
      <c r="M305" s="52"/>
    </row>
    <row r="306" spans="1:13" x14ac:dyDescent="0.3">
      <c r="A306" s="2" t="s">
        <v>732</v>
      </c>
      <c r="B306" s="2" t="s">
        <v>1256</v>
      </c>
      <c r="C306" s="83">
        <v>16121.273400000002</v>
      </c>
      <c r="F306" s="50" t="s">
        <v>730</v>
      </c>
      <c r="G306" s="2" t="s">
        <v>1174</v>
      </c>
      <c r="H306" s="2">
        <v>12668.50728</v>
      </c>
      <c r="I306" s="2">
        <f t="shared" si="16"/>
        <v>298463.43761999992</v>
      </c>
      <c r="J306" s="51">
        <f t="shared" si="17"/>
        <v>4.2445759457241765E-2</v>
      </c>
      <c r="K306" s="2">
        <f t="shared" si="18"/>
        <v>4.2445759457241765E-2</v>
      </c>
      <c r="L306" s="2" t="str">
        <f t="shared" si="19"/>
        <v>A</v>
      </c>
      <c r="M306" s="52"/>
    </row>
    <row r="307" spans="1:13" x14ac:dyDescent="0.3">
      <c r="A307" s="2" t="s">
        <v>732</v>
      </c>
      <c r="B307" s="2" t="s">
        <v>1117</v>
      </c>
      <c r="C307" s="83">
        <v>15257.51748</v>
      </c>
      <c r="F307" s="50" t="s">
        <v>728</v>
      </c>
      <c r="G307" s="2" t="s">
        <v>999</v>
      </c>
      <c r="H307" s="2">
        <v>12597.52224</v>
      </c>
      <c r="I307" s="2">
        <f t="shared" si="16"/>
        <v>348846.69897000014</v>
      </c>
      <c r="J307" s="51">
        <f t="shared" si="17"/>
        <v>3.6111914709800227E-2</v>
      </c>
      <c r="K307" s="2">
        <f t="shared" si="18"/>
        <v>3.6111914709800227E-2</v>
      </c>
      <c r="L307" s="2" t="str">
        <f t="shared" si="19"/>
        <v>A</v>
      </c>
      <c r="M307" s="52"/>
    </row>
    <row r="308" spans="1:13" x14ac:dyDescent="0.3">
      <c r="A308" s="2" t="s">
        <v>732</v>
      </c>
      <c r="B308" s="2" t="s">
        <v>742</v>
      </c>
      <c r="C308" s="83">
        <v>14714.12934</v>
      </c>
      <c r="F308" s="50" t="s">
        <v>728</v>
      </c>
      <c r="G308" s="2" t="s">
        <v>1183</v>
      </c>
      <c r="H308" s="2">
        <v>12462.65055</v>
      </c>
      <c r="I308" s="2">
        <f t="shared" si="16"/>
        <v>336249.17673000012</v>
      </c>
      <c r="J308" s="51">
        <f t="shared" si="17"/>
        <v>3.7063735504718288E-2</v>
      </c>
      <c r="K308" s="2">
        <f t="shared" si="18"/>
        <v>7.3175650214518523E-2</v>
      </c>
      <c r="L308" s="2" t="str">
        <f t="shared" si="19"/>
        <v>A</v>
      </c>
      <c r="M308" s="52"/>
    </row>
    <row r="309" spans="1:13" x14ac:dyDescent="0.3">
      <c r="A309" s="2" t="s">
        <v>732</v>
      </c>
      <c r="B309" s="2" t="s">
        <v>1306</v>
      </c>
      <c r="C309" s="83">
        <v>14466.95104</v>
      </c>
      <c r="F309" s="50" t="s">
        <v>732</v>
      </c>
      <c r="G309" s="2" t="s">
        <v>901</v>
      </c>
      <c r="H309" s="2">
        <v>12413.98458</v>
      </c>
      <c r="I309" s="2">
        <f t="shared" si="16"/>
        <v>300994.28703999997</v>
      </c>
      <c r="J309" s="51">
        <f t="shared" si="17"/>
        <v>4.1243256481975257E-2</v>
      </c>
      <c r="K309" s="2">
        <f t="shared" si="18"/>
        <v>4.1243256481975257E-2</v>
      </c>
      <c r="L309" s="2" t="str">
        <f t="shared" si="19"/>
        <v>A</v>
      </c>
      <c r="M309" s="52"/>
    </row>
    <row r="310" spans="1:13" x14ac:dyDescent="0.3">
      <c r="A310" s="2" t="s">
        <v>732</v>
      </c>
      <c r="B310" s="2" t="s">
        <v>801</v>
      </c>
      <c r="C310" s="83">
        <v>14287.896349999999</v>
      </c>
      <c r="F310" s="50" t="s">
        <v>731</v>
      </c>
      <c r="G310" s="2" t="s">
        <v>838</v>
      </c>
      <c r="H310" s="2">
        <v>12335.654849999999</v>
      </c>
      <c r="I310" s="2">
        <f t="shared" si="16"/>
        <v>198259.45523999995</v>
      </c>
      <c r="J310" s="51">
        <f t="shared" si="17"/>
        <v>6.2219755597871795E-2</v>
      </c>
      <c r="K310" s="2">
        <f t="shared" si="18"/>
        <v>6.2219755597871795E-2</v>
      </c>
      <c r="L310" s="2" t="str">
        <f t="shared" si="19"/>
        <v>A</v>
      </c>
      <c r="M310" s="52"/>
    </row>
    <row r="311" spans="1:13" x14ac:dyDescent="0.3">
      <c r="A311" s="2" t="s">
        <v>732</v>
      </c>
      <c r="B311" s="2" t="s">
        <v>1161</v>
      </c>
      <c r="C311" s="83">
        <v>13450.74</v>
      </c>
      <c r="F311" s="50" t="s">
        <v>730</v>
      </c>
      <c r="G311" s="2" t="s">
        <v>1182</v>
      </c>
      <c r="H311" s="2">
        <v>12289.2</v>
      </c>
      <c r="I311" s="2">
        <f t="shared" si="16"/>
        <v>285794.9303399999</v>
      </c>
      <c r="J311" s="51">
        <f t="shared" si="17"/>
        <v>4.3000062966057455E-2</v>
      </c>
      <c r="K311" s="2">
        <f t="shared" si="18"/>
        <v>4.3000062966057455E-2</v>
      </c>
      <c r="L311" s="2" t="str">
        <f t="shared" si="19"/>
        <v>A</v>
      </c>
      <c r="M311" s="52"/>
    </row>
    <row r="312" spans="1:13" x14ac:dyDescent="0.3">
      <c r="A312" s="2" t="s">
        <v>732</v>
      </c>
      <c r="B312" s="2" t="s">
        <v>1138</v>
      </c>
      <c r="C312" s="83">
        <v>13437.300239999999</v>
      </c>
      <c r="F312" s="50" t="s">
        <v>730</v>
      </c>
      <c r="G312" s="2" t="s">
        <v>978</v>
      </c>
      <c r="H312" s="2">
        <v>12248.675999999999</v>
      </c>
      <c r="I312" s="2">
        <f t="shared" si="16"/>
        <v>273505.73033999995</v>
      </c>
      <c r="J312" s="51">
        <f t="shared" si="17"/>
        <v>4.4783983080623022E-2</v>
      </c>
      <c r="K312" s="2">
        <f t="shared" si="18"/>
        <v>8.778404604668047E-2</v>
      </c>
      <c r="L312" s="2" t="str">
        <f t="shared" si="19"/>
        <v>A</v>
      </c>
      <c r="M312" s="52"/>
    </row>
    <row r="313" spans="1:13" x14ac:dyDescent="0.3">
      <c r="A313" s="2" t="s">
        <v>732</v>
      </c>
      <c r="B313" s="2" t="s">
        <v>1132</v>
      </c>
      <c r="C313" s="83">
        <v>12972.00222</v>
      </c>
      <c r="F313" s="50" t="s">
        <v>731</v>
      </c>
      <c r="G313" s="2" t="s">
        <v>1083</v>
      </c>
      <c r="H313" s="2">
        <v>12236.874600000001</v>
      </c>
      <c r="I313" s="2">
        <f t="shared" si="16"/>
        <v>185923.80038999993</v>
      </c>
      <c r="J313" s="51">
        <f t="shared" si="17"/>
        <v>6.5816611828778918E-2</v>
      </c>
      <c r="K313" s="2">
        <f t="shared" si="18"/>
        <v>6.5816611828778918E-2</v>
      </c>
      <c r="L313" s="2" t="str">
        <f t="shared" si="19"/>
        <v>A</v>
      </c>
      <c r="M313" s="52"/>
    </row>
    <row r="314" spans="1:13" x14ac:dyDescent="0.3">
      <c r="A314" s="2" t="s">
        <v>732</v>
      </c>
      <c r="B314" s="2" t="s">
        <v>1166</v>
      </c>
      <c r="C314" s="83">
        <v>12967.958640000001</v>
      </c>
      <c r="F314" s="50" t="s">
        <v>732</v>
      </c>
      <c r="G314" s="2" t="s">
        <v>897</v>
      </c>
      <c r="H314" s="2">
        <v>12194.714</v>
      </c>
      <c r="I314" s="2">
        <f t="shared" si="16"/>
        <v>288580.30245999992</v>
      </c>
      <c r="J314" s="51">
        <f t="shared" si="17"/>
        <v>4.225761043302776E-2</v>
      </c>
      <c r="K314" s="2">
        <f t="shared" si="18"/>
        <v>4.225761043302776E-2</v>
      </c>
      <c r="L314" s="2" t="str">
        <f t="shared" si="19"/>
        <v>A</v>
      </c>
      <c r="M314" s="52"/>
    </row>
    <row r="315" spans="1:13" x14ac:dyDescent="0.3">
      <c r="A315" s="2" t="s">
        <v>732</v>
      </c>
      <c r="B315" s="2" t="s">
        <v>901</v>
      </c>
      <c r="C315" s="83">
        <v>12413.98458</v>
      </c>
      <c r="F315" s="50" t="s">
        <v>727</v>
      </c>
      <c r="G315" s="2" t="s">
        <v>984</v>
      </c>
      <c r="H315" s="2">
        <v>12186.368600000002</v>
      </c>
      <c r="I315" s="2">
        <f t="shared" si="16"/>
        <v>264203.39002999989</v>
      </c>
      <c r="J315" s="51">
        <f t="shared" si="17"/>
        <v>4.6124951684443784E-2</v>
      </c>
      <c r="K315" s="2">
        <f t="shared" si="18"/>
        <v>4.6124951684443784E-2</v>
      </c>
      <c r="L315" s="2" t="str">
        <f t="shared" si="19"/>
        <v>A</v>
      </c>
      <c r="M315" s="52"/>
    </row>
    <row r="316" spans="1:13" x14ac:dyDescent="0.3">
      <c r="A316" s="2" t="s">
        <v>732</v>
      </c>
      <c r="B316" s="2" t="s">
        <v>897</v>
      </c>
      <c r="C316" s="83">
        <v>12194.714</v>
      </c>
      <c r="F316" s="50" t="s">
        <v>730</v>
      </c>
      <c r="G316" s="2" t="s">
        <v>799</v>
      </c>
      <c r="H316" s="2">
        <v>12153.267360000002</v>
      </c>
      <c r="I316" s="2">
        <f t="shared" si="16"/>
        <v>261257.05434</v>
      </c>
      <c r="J316" s="51">
        <f t="shared" si="17"/>
        <v>4.6518427572040735E-2</v>
      </c>
      <c r="K316" s="2">
        <f t="shared" si="18"/>
        <v>4.6518427572040735E-2</v>
      </c>
      <c r="L316" s="2" t="str">
        <f t="shared" si="19"/>
        <v>A</v>
      </c>
      <c r="M316" s="52"/>
    </row>
    <row r="317" spans="1:13" x14ac:dyDescent="0.3">
      <c r="A317" s="2" t="s">
        <v>732</v>
      </c>
      <c r="B317" s="2" t="s">
        <v>822</v>
      </c>
      <c r="C317" s="83">
        <v>11842.8464</v>
      </c>
      <c r="F317" s="50" t="s">
        <v>729</v>
      </c>
      <c r="G317" s="2" t="s">
        <v>1308</v>
      </c>
      <c r="H317" s="2">
        <v>12091.190399999999</v>
      </c>
      <c r="I317" s="2">
        <f t="shared" si="16"/>
        <v>244765.62941000005</v>
      </c>
      <c r="J317" s="51">
        <f t="shared" si="17"/>
        <v>4.9399053409359142E-2</v>
      </c>
      <c r="K317" s="2">
        <f t="shared" si="18"/>
        <v>4.9399053409359142E-2</v>
      </c>
      <c r="L317" s="2" t="str">
        <f t="shared" si="19"/>
        <v>A</v>
      </c>
      <c r="M317" s="52"/>
    </row>
    <row r="318" spans="1:13" x14ac:dyDescent="0.3">
      <c r="A318" s="2" t="s">
        <v>732</v>
      </c>
      <c r="B318" s="2" t="s">
        <v>983</v>
      </c>
      <c r="C318" s="83">
        <v>11813.604160000001</v>
      </c>
      <c r="F318" s="50" t="s">
        <v>727</v>
      </c>
      <c r="G318" s="2" t="s">
        <v>839</v>
      </c>
      <c r="H318" s="2">
        <v>12080.215199999999</v>
      </c>
      <c r="I318" s="2">
        <f t="shared" si="16"/>
        <v>252017.02142999991</v>
      </c>
      <c r="J318" s="51">
        <f t="shared" si="17"/>
        <v>4.7934124177225035E-2</v>
      </c>
      <c r="K318" s="2">
        <f t="shared" si="18"/>
        <v>4.7934124177225035E-2</v>
      </c>
      <c r="L318" s="2" t="str">
        <f t="shared" si="19"/>
        <v>A</v>
      </c>
      <c r="M318" s="52"/>
    </row>
    <row r="319" spans="1:13" x14ac:dyDescent="0.3">
      <c r="A319" s="2" t="s">
        <v>732</v>
      </c>
      <c r="B319" s="2" t="s">
        <v>1281</v>
      </c>
      <c r="C319" s="83">
        <v>10937.519999999999</v>
      </c>
      <c r="F319" s="50" t="s">
        <v>733</v>
      </c>
      <c r="G319" s="2" t="s">
        <v>1321</v>
      </c>
      <c r="H319" s="2">
        <v>12040.64352</v>
      </c>
      <c r="I319" s="2">
        <f t="shared" si="16"/>
        <v>295133.41992999992</v>
      </c>
      <c r="J319" s="51">
        <f t="shared" si="17"/>
        <v>4.0797289317000475E-2</v>
      </c>
      <c r="K319" s="2">
        <f t="shared" si="18"/>
        <v>4.0797289317000475E-2</v>
      </c>
      <c r="L319" s="2" t="str">
        <f t="shared" si="19"/>
        <v>A</v>
      </c>
      <c r="M319" s="52"/>
    </row>
    <row r="320" spans="1:13" x14ac:dyDescent="0.3">
      <c r="A320" s="2" t="s">
        <v>732</v>
      </c>
      <c r="B320" s="2" t="s">
        <v>1290</v>
      </c>
      <c r="C320" s="83">
        <v>10519.776450000001</v>
      </c>
      <c r="F320" s="50" t="s">
        <v>728</v>
      </c>
      <c r="G320" s="2" t="s">
        <v>868</v>
      </c>
      <c r="H320" s="2">
        <v>12031.491680000001</v>
      </c>
      <c r="I320" s="2">
        <f t="shared" si="16"/>
        <v>323786.5261800001</v>
      </c>
      <c r="J320" s="51">
        <f t="shared" si="17"/>
        <v>3.7158716336798486E-2</v>
      </c>
      <c r="K320" s="2">
        <f t="shared" si="18"/>
        <v>3.7158716336798486E-2</v>
      </c>
      <c r="L320" s="2" t="str">
        <f t="shared" si="19"/>
        <v>A</v>
      </c>
      <c r="M320" s="52"/>
    </row>
    <row r="321" spans="1:13" x14ac:dyDescent="0.3">
      <c r="A321" s="2" t="s">
        <v>732</v>
      </c>
      <c r="B321" s="2" t="s">
        <v>1152</v>
      </c>
      <c r="C321" s="83">
        <v>9509.2865999999995</v>
      </c>
      <c r="F321" s="50" t="s">
        <v>727</v>
      </c>
      <c r="G321" s="2" t="s">
        <v>771</v>
      </c>
      <c r="H321" s="2">
        <v>11995.153920000001</v>
      </c>
      <c r="I321" s="2">
        <f t="shared" si="16"/>
        <v>239936.80622999996</v>
      </c>
      <c r="J321" s="51">
        <f t="shared" si="17"/>
        <v>4.9992971518098894E-2</v>
      </c>
      <c r="K321" s="2">
        <f t="shared" si="18"/>
        <v>4.9992971518098894E-2</v>
      </c>
      <c r="L321" s="2" t="str">
        <f t="shared" si="19"/>
        <v>A</v>
      </c>
      <c r="M321" s="52"/>
    </row>
    <row r="322" spans="1:13" x14ac:dyDescent="0.3">
      <c r="A322" s="2" t="s">
        <v>732</v>
      </c>
      <c r="B322" s="2" t="s">
        <v>1344</v>
      </c>
      <c r="C322" s="83">
        <v>9256.14</v>
      </c>
      <c r="F322" s="50" t="s">
        <v>730</v>
      </c>
      <c r="G322" s="2" t="s">
        <v>1186</v>
      </c>
      <c r="H322" s="2">
        <v>11984.891250000001</v>
      </c>
      <c r="I322" s="2">
        <f t="shared" si="16"/>
        <v>249103.78697999995</v>
      </c>
      <c r="J322" s="51">
        <f t="shared" si="17"/>
        <v>4.8112039545036074E-2</v>
      </c>
      <c r="K322" s="2">
        <f t="shared" si="18"/>
        <v>4.8112039545036074E-2</v>
      </c>
      <c r="L322" s="2" t="str">
        <f t="shared" si="19"/>
        <v>A</v>
      </c>
      <c r="M322" s="52"/>
    </row>
    <row r="323" spans="1:13" x14ac:dyDescent="0.3">
      <c r="A323" s="2" t="s">
        <v>732</v>
      </c>
      <c r="B323" s="2" t="s">
        <v>1243</v>
      </c>
      <c r="C323" s="83">
        <v>9232.2830599999998</v>
      </c>
      <c r="F323" s="50" t="s">
        <v>730</v>
      </c>
      <c r="G323" s="2" t="s">
        <v>1266</v>
      </c>
      <c r="H323" s="2">
        <v>11924.0978</v>
      </c>
      <c r="I323" s="2">
        <f t="shared" si="16"/>
        <v>237118.89572999999</v>
      </c>
      <c r="J323" s="51">
        <f t="shared" si="17"/>
        <v>5.0287421267251532E-2</v>
      </c>
      <c r="K323" s="2">
        <f t="shared" si="18"/>
        <v>9.8399460812287606E-2</v>
      </c>
      <c r="L323" s="2" t="str">
        <f t="shared" si="19"/>
        <v>A</v>
      </c>
      <c r="M323" s="52"/>
    </row>
    <row r="324" spans="1:13" x14ac:dyDescent="0.3">
      <c r="A324" s="2" t="s">
        <v>732</v>
      </c>
      <c r="B324" s="2" t="s">
        <v>925</v>
      </c>
      <c r="C324" s="83">
        <v>8763.2849999999999</v>
      </c>
      <c r="F324" s="50" t="s">
        <v>733</v>
      </c>
      <c r="G324" s="2" t="s">
        <v>1227</v>
      </c>
      <c r="H324" s="2">
        <v>11859.695119999998</v>
      </c>
      <c r="I324" s="2">
        <f t="shared" ref="I324:I387" si="20">SUMIF(F324:F952, F324, H324:H952)</f>
        <v>283092.77640999987</v>
      </c>
      <c r="J324" s="51">
        <f t="shared" ref="J324:J387" si="21">H324/I324</f>
        <v>4.1893315931254088E-2</v>
      </c>
      <c r="K324" s="2">
        <f t="shared" si="18"/>
        <v>4.1893315931254088E-2</v>
      </c>
      <c r="L324" s="2" t="str">
        <f t="shared" si="19"/>
        <v>A</v>
      </c>
      <c r="M324" s="52"/>
    </row>
    <row r="325" spans="1:13" x14ac:dyDescent="0.3">
      <c r="A325" s="2" t="s">
        <v>732</v>
      </c>
      <c r="B325" s="2" t="s">
        <v>917</v>
      </c>
      <c r="C325" s="83">
        <v>8698.8768300000011</v>
      </c>
      <c r="F325" s="50" t="s">
        <v>728</v>
      </c>
      <c r="G325" s="2" t="s">
        <v>898</v>
      </c>
      <c r="H325" s="2">
        <v>11851.806399999999</v>
      </c>
      <c r="I325" s="2">
        <f t="shared" si="20"/>
        <v>311755.03450000007</v>
      </c>
      <c r="J325" s="51">
        <f t="shared" si="21"/>
        <v>3.8016407398225982E-2</v>
      </c>
      <c r="K325" s="2">
        <f t="shared" ref="K325:K388" si="22">IF(F325=F324, K324+J325, J325)</f>
        <v>3.8016407398225982E-2</v>
      </c>
      <c r="L325" s="2" t="str">
        <f t="shared" ref="L325:L388" si="23">IF(K325&lt;=0.8,"A", IF(K325&lt;=0.95,"B","C"))</f>
        <v>A</v>
      </c>
      <c r="M325" s="52"/>
    </row>
    <row r="326" spans="1:13" x14ac:dyDescent="0.3">
      <c r="A326" s="2" t="s">
        <v>732</v>
      </c>
      <c r="B326" s="2" t="s">
        <v>802</v>
      </c>
      <c r="C326" s="83">
        <v>8671.7354400000004</v>
      </c>
      <c r="F326" s="50" t="s">
        <v>732</v>
      </c>
      <c r="G326" s="2" t="s">
        <v>822</v>
      </c>
      <c r="H326" s="2">
        <v>11842.8464</v>
      </c>
      <c r="I326" s="2">
        <f t="shared" si="20"/>
        <v>276385.58845999994</v>
      </c>
      <c r="J326" s="51">
        <f t="shared" si="21"/>
        <v>4.2849001158083044E-2</v>
      </c>
      <c r="K326" s="2">
        <f t="shared" si="22"/>
        <v>4.2849001158083044E-2</v>
      </c>
      <c r="L326" s="2" t="str">
        <f t="shared" si="23"/>
        <v>A</v>
      </c>
      <c r="M326" s="52"/>
    </row>
    <row r="327" spans="1:13" x14ac:dyDescent="0.3">
      <c r="A327" s="2" t="s">
        <v>732</v>
      </c>
      <c r="B327" s="2" t="s">
        <v>923</v>
      </c>
      <c r="C327" s="83">
        <v>8590.7094000000016</v>
      </c>
      <c r="F327" s="50" t="s">
        <v>732</v>
      </c>
      <c r="G327" s="2" t="s">
        <v>983</v>
      </c>
      <c r="H327" s="2">
        <v>11813.604160000001</v>
      </c>
      <c r="I327" s="2">
        <f t="shared" si="20"/>
        <v>264542.74206000008</v>
      </c>
      <c r="J327" s="51">
        <f t="shared" si="21"/>
        <v>4.4656693538470224E-2</v>
      </c>
      <c r="K327" s="2">
        <f t="shared" si="22"/>
        <v>8.7505694696553268E-2</v>
      </c>
      <c r="L327" s="2" t="str">
        <f t="shared" si="23"/>
        <v>A</v>
      </c>
      <c r="M327" s="52"/>
    </row>
    <row r="328" spans="1:13" x14ac:dyDescent="0.3">
      <c r="A328" s="2" t="s">
        <v>732</v>
      </c>
      <c r="B328" s="2" t="s">
        <v>1295</v>
      </c>
      <c r="C328" s="83">
        <v>8520.2954399999999</v>
      </c>
      <c r="F328" s="50" t="s">
        <v>727</v>
      </c>
      <c r="G328" s="2" t="s">
        <v>1323</v>
      </c>
      <c r="H328" s="2">
        <v>11742.8703</v>
      </c>
      <c r="I328" s="2">
        <f t="shared" si="20"/>
        <v>227941.65230999995</v>
      </c>
      <c r="J328" s="51">
        <f t="shared" si="21"/>
        <v>5.1517000868405272E-2</v>
      </c>
      <c r="K328" s="2">
        <f t="shared" si="22"/>
        <v>5.1517000868405272E-2</v>
      </c>
      <c r="L328" s="2" t="str">
        <f t="shared" si="23"/>
        <v>A</v>
      </c>
      <c r="M328" s="52"/>
    </row>
    <row r="329" spans="1:13" x14ac:dyDescent="0.3">
      <c r="A329" s="2" t="s">
        <v>732</v>
      </c>
      <c r="B329" s="2" t="s">
        <v>1206</v>
      </c>
      <c r="C329" s="83">
        <v>8330.2513199999994</v>
      </c>
      <c r="F329" s="50" t="s">
        <v>731</v>
      </c>
      <c r="G329" s="2" t="s">
        <v>1017</v>
      </c>
      <c r="H329" s="2">
        <v>11696.156879999999</v>
      </c>
      <c r="I329" s="2">
        <f t="shared" si="20"/>
        <v>173686.92578999992</v>
      </c>
      <c r="J329" s="51">
        <f t="shared" si="21"/>
        <v>6.7340456553082753E-2</v>
      </c>
      <c r="K329" s="2">
        <f t="shared" si="22"/>
        <v>6.7340456553082753E-2</v>
      </c>
      <c r="L329" s="2" t="str">
        <f t="shared" si="23"/>
        <v>A</v>
      </c>
      <c r="M329" s="52"/>
    </row>
    <row r="330" spans="1:13" x14ac:dyDescent="0.3">
      <c r="A330" s="2" t="s">
        <v>732</v>
      </c>
      <c r="B330" s="2" t="s">
        <v>1190</v>
      </c>
      <c r="C330" s="83">
        <v>7854.6931199999999</v>
      </c>
      <c r="F330" s="50" t="s">
        <v>728</v>
      </c>
      <c r="G330" s="2" t="s">
        <v>1008</v>
      </c>
      <c r="H330" s="2">
        <v>11417.429099999999</v>
      </c>
      <c r="I330" s="2">
        <f t="shared" si="20"/>
        <v>299903.22810000007</v>
      </c>
      <c r="J330" s="51">
        <f t="shared" si="21"/>
        <v>3.8070377475873517E-2</v>
      </c>
      <c r="K330" s="2">
        <f t="shared" si="22"/>
        <v>3.8070377475873517E-2</v>
      </c>
      <c r="L330" s="2" t="str">
        <f t="shared" si="23"/>
        <v>A</v>
      </c>
      <c r="M330" s="52"/>
    </row>
    <row r="331" spans="1:13" x14ac:dyDescent="0.3">
      <c r="A331" s="2" t="s">
        <v>732</v>
      </c>
      <c r="B331" s="2" t="s">
        <v>950</v>
      </c>
      <c r="C331" s="83">
        <v>7738.9596900000006</v>
      </c>
      <c r="F331" s="50" t="s">
        <v>728</v>
      </c>
      <c r="G331" s="2" t="s">
        <v>1260</v>
      </c>
      <c r="H331" s="2">
        <v>11406.96</v>
      </c>
      <c r="I331" s="2">
        <f t="shared" si="20"/>
        <v>288485.799</v>
      </c>
      <c r="J331" s="51">
        <f t="shared" si="21"/>
        <v>3.9540802491979853E-2</v>
      </c>
      <c r="K331" s="2">
        <f t="shared" si="22"/>
        <v>7.7611179967853369E-2</v>
      </c>
      <c r="L331" s="2" t="str">
        <f t="shared" si="23"/>
        <v>A</v>
      </c>
      <c r="M331" s="52"/>
    </row>
    <row r="332" spans="1:13" x14ac:dyDescent="0.3">
      <c r="A332" s="2" t="s">
        <v>732</v>
      </c>
      <c r="B332" s="2" t="s">
        <v>864</v>
      </c>
      <c r="C332" s="83">
        <v>7703.8640800000003</v>
      </c>
      <c r="F332" s="50" t="s">
        <v>730</v>
      </c>
      <c r="G332" s="2" t="s">
        <v>931</v>
      </c>
      <c r="H332" s="2">
        <v>11326.846439999999</v>
      </c>
      <c r="I332" s="2">
        <f t="shared" si="20"/>
        <v>225194.79792999997</v>
      </c>
      <c r="J332" s="51">
        <f t="shared" si="21"/>
        <v>5.0297993311199225E-2</v>
      </c>
      <c r="K332" s="2">
        <f t="shared" si="22"/>
        <v>5.0297993311199225E-2</v>
      </c>
      <c r="L332" s="2" t="str">
        <f t="shared" si="23"/>
        <v>A</v>
      </c>
      <c r="M332" s="52"/>
    </row>
    <row r="333" spans="1:13" x14ac:dyDescent="0.3">
      <c r="A333" s="2" t="s">
        <v>732</v>
      </c>
      <c r="B333" s="2" t="s">
        <v>1097</v>
      </c>
      <c r="C333" s="83">
        <v>7327.9533600000004</v>
      </c>
      <c r="F333" s="50" t="s">
        <v>730</v>
      </c>
      <c r="G333" s="2" t="s">
        <v>1126</v>
      </c>
      <c r="H333" s="2">
        <v>11285.764020000001</v>
      </c>
      <c r="I333" s="2">
        <f t="shared" si="20"/>
        <v>213867.95148999998</v>
      </c>
      <c r="J333" s="51">
        <f t="shared" si="21"/>
        <v>5.2769776590522489E-2</v>
      </c>
      <c r="K333" s="2">
        <f t="shared" si="22"/>
        <v>0.10306776990172171</v>
      </c>
      <c r="L333" s="2" t="str">
        <f t="shared" si="23"/>
        <v>A</v>
      </c>
      <c r="M333" s="52"/>
    </row>
    <row r="334" spans="1:13" x14ac:dyDescent="0.3">
      <c r="A334" s="2" t="s">
        <v>732</v>
      </c>
      <c r="B334" s="2" t="s">
        <v>1005</v>
      </c>
      <c r="C334" s="83">
        <v>7120.6486400000003</v>
      </c>
      <c r="F334" s="50" t="s">
        <v>733</v>
      </c>
      <c r="G334" s="2" t="s">
        <v>1046</v>
      </c>
      <c r="H334" s="2">
        <v>11283.400799999999</v>
      </c>
      <c r="I334" s="2">
        <f t="shared" si="20"/>
        <v>271233.08128999989</v>
      </c>
      <c r="J334" s="51">
        <f t="shared" si="21"/>
        <v>4.160038571377616E-2</v>
      </c>
      <c r="K334" s="2">
        <f t="shared" si="22"/>
        <v>4.160038571377616E-2</v>
      </c>
      <c r="L334" s="2" t="str">
        <f t="shared" si="23"/>
        <v>A</v>
      </c>
      <c r="M334" s="52"/>
    </row>
    <row r="335" spans="1:13" x14ac:dyDescent="0.3">
      <c r="A335" s="2" t="s">
        <v>732</v>
      </c>
      <c r="B335" s="2" t="s">
        <v>912</v>
      </c>
      <c r="C335" s="83">
        <v>7098.5495999999994</v>
      </c>
      <c r="F335" s="50" t="s">
        <v>733</v>
      </c>
      <c r="G335" s="2" t="s">
        <v>888</v>
      </c>
      <c r="H335" s="2">
        <v>11015.510400000003</v>
      </c>
      <c r="I335" s="2">
        <f t="shared" si="20"/>
        <v>259949.68049</v>
      </c>
      <c r="J335" s="51">
        <f t="shared" si="21"/>
        <v>4.2375548910989172E-2</v>
      </c>
      <c r="K335" s="2">
        <f t="shared" si="22"/>
        <v>8.3975934624765325E-2</v>
      </c>
      <c r="L335" s="2" t="str">
        <f t="shared" si="23"/>
        <v>A</v>
      </c>
      <c r="M335" s="52"/>
    </row>
    <row r="336" spans="1:13" x14ac:dyDescent="0.3">
      <c r="A336" s="2" t="s">
        <v>732</v>
      </c>
      <c r="B336" s="2" t="s">
        <v>902</v>
      </c>
      <c r="C336" s="83">
        <v>6824.2884000000004</v>
      </c>
      <c r="F336" s="50" t="s">
        <v>728</v>
      </c>
      <c r="G336" s="2" t="s">
        <v>738</v>
      </c>
      <c r="H336" s="2">
        <v>10957.9797</v>
      </c>
      <c r="I336" s="2">
        <f t="shared" si="20"/>
        <v>277078.83899999998</v>
      </c>
      <c r="J336" s="51">
        <f t="shared" si="21"/>
        <v>3.9548237388131978E-2</v>
      </c>
      <c r="K336" s="2">
        <f t="shared" si="22"/>
        <v>3.9548237388131978E-2</v>
      </c>
      <c r="L336" s="2" t="str">
        <f t="shared" si="23"/>
        <v>A</v>
      </c>
      <c r="M336" s="52"/>
    </row>
    <row r="337" spans="1:13" x14ac:dyDescent="0.3">
      <c r="A337" s="2" t="s">
        <v>732</v>
      </c>
      <c r="B337" s="2" t="s">
        <v>1062</v>
      </c>
      <c r="C337" s="83">
        <v>6667.9199999999983</v>
      </c>
      <c r="F337" s="50" t="s">
        <v>730</v>
      </c>
      <c r="G337" s="2" t="s">
        <v>796</v>
      </c>
      <c r="H337" s="2">
        <v>10947.904</v>
      </c>
      <c r="I337" s="2">
        <f t="shared" si="20"/>
        <v>202582.18746999995</v>
      </c>
      <c r="J337" s="51">
        <f t="shared" si="21"/>
        <v>5.4041789837130955E-2</v>
      </c>
      <c r="K337" s="2">
        <f t="shared" si="22"/>
        <v>5.4041789837130955E-2</v>
      </c>
      <c r="L337" s="2" t="str">
        <f t="shared" si="23"/>
        <v>A</v>
      </c>
      <c r="M337" s="52"/>
    </row>
    <row r="338" spans="1:13" x14ac:dyDescent="0.3">
      <c r="A338" s="2" t="s">
        <v>732</v>
      </c>
      <c r="B338" s="2" t="s">
        <v>988</v>
      </c>
      <c r="C338" s="83">
        <v>6468.2751599999992</v>
      </c>
      <c r="F338" s="50" t="s">
        <v>732</v>
      </c>
      <c r="G338" s="2" t="s">
        <v>1281</v>
      </c>
      <c r="H338" s="2">
        <v>10937.519999999999</v>
      </c>
      <c r="I338" s="2">
        <f t="shared" si="20"/>
        <v>252729.13790000012</v>
      </c>
      <c r="J338" s="51">
        <f t="shared" si="21"/>
        <v>4.327763743778431E-2</v>
      </c>
      <c r="K338" s="2">
        <f t="shared" si="22"/>
        <v>4.327763743778431E-2</v>
      </c>
      <c r="L338" s="2" t="str">
        <f t="shared" si="23"/>
        <v>A</v>
      </c>
      <c r="M338" s="52"/>
    </row>
    <row r="339" spans="1:13" x14ac:dyDescent="0.3">
      <c r="A339" s="2" t="s">
        <v>732</v>
      </c>
      <c r="B339" s="2" t="s">
        <v>1331</v>
      </c>
      <c r="C339" s="83">
        <v>5962.1422499999999</v>
      </c>
      <c r="F339" s="50" t="s">
        <v>733</v>
      </c>
      <c r="G339" s="2" t="s">
        <v>756</v>
      </c>
      <c r="H339" s="2">
        <v>10936.992</v>
      </c>
      <c r="I339" s="2">
        <f t="shared" si="20"/>
        <v>248934.17008999997</v>
      </c>
      <c r="J339" s="51">
        <f t="shared" si="21"/>
        <v>4.3935278134158227E-2</v>
      </c>
      <c r="K339" s="2">
        <f t="shared" si="22"/>
        <v>4.3935278134158227E-2</v>
      </c>
      <c r="L339" s="2" t="str">
        <f t="shared" si="23"/>
        <v>A</v>
      </c>
      <c r="M339" s="52"/>
    </row>
    <row r="340" spans="1:13" x14ac:dyDescent="0.3">
      <c r="A340" s="2" t="s">
        <v>732</v>
      </c>
      <c r="B340" s="2" t="s">
        <v>852</v>
      </c>
      <c r="C340" s="83">
        <v>5769.2758000000003</v>
      </c>
      <c r="F340" s="50" t="s">
        <v>733</v>
      </c>
      <c r="G340" s="2" t="s">
        <v>1149</v>
      </c>
      <c r="H340" s="2">
        <v>10893.6232</v>
      </c>
      <c r="I340" s="2">
        <f t="shared" si="20"/>
        <v>237997.17809</v>
      </c>
      <c r="J340" s="51">
        <f t="shared" si="21"/>
        <v>4.5772068759069542E-2</v>
      </c>
      <c r="K340" s="2">
        <f t="shared" si="22"/>
        <v>8.9707346893227763E-2</v>
      </c>
      <c r="L340" s="2" t="str">
        <f t="shared" si="23"/>
        <v>A</v>
      </c>
      <c r="M340" s="52"/>
    </row>
    <row r="341" spans="1:13" x14ac:dyDescent="0.3">
      <c r="A341" s="2" t="s">
        <v>732</v>
      </c>
      <c r="B341" s="2" t="s">
        <v>1325</v>
      </c>
      <c r="C341" s="83">
        <v>5725.6496000000006</v>
      </c>
      <c r="F341" s="50" t="s">
        <v>728</v>
      </c>
      <c r="G341" s="2" t="s">
        <v>1235</v>
      </c>
      <c r="H341" s="2">
        <v>10869.182940000001</v>
      </c>
      <c r="I341" s="2">
        <f t="shared" si="20"/>
        <v>266120.85929999995</v>
      </c>
      <c r="J341" s="51">
        <f t="shared" si="21"/>
        <v>4.0843032630324905E-2</v>
      </c>
      <c r="K341" s="2">
        <f t="shared" si="22"/>
        <v>4.0843032630324905E-2</v>
      </c>
      <c r="L341" s="2" t="str">
        <f t="shared" si="23"/>
        <v>A</v>
      </c>
      <c r="M341" s="52"/>
    </row>
    <row r="342" spans="1:13" x14ac:dyDescent="0.3">
      <c r="A342" s="2" t="s">
        <v>732</v>
      </c>
      <c r="B342" s="2" t="s">
        <v>1180</v>
      </c>
      <c r="C342" s="83">
        <v>5565.3272500000003</v>
      </c>
      <c r="F342" s="50" t="s">
        <v>731</v>
      </c>
      <c r="G342" s="2" t="s">
        <v>1248</v>
      </c>
      <c r="H342" s="2">
        <v>10859.64</v>
      </c>
      <c r="I342" s="2">
        <f t="shared" si="20"/>
        <v>161990.76890999993</v>
      </c>
      <c r="J342" s="51">
        <f t="shared" si="21"/>
        <v>6.7038634812786657E-2</v>
      </c>
      <c r="K342" s="2">
        <f t="shared" si="22"/>
        <v>6.7038634812786657E-2</v>
      </c>
      <c r="L342" s="2" t="str">
        <f t="shared" si="23"/>
        <v>A</v>
      </c>
      <c r="M342" s="52"/>
    </row>
    <row r="343" spans="1:13" x14ac:dyDescent="0.3">
      <c r="A343" s="2" t="s">
        <v>732</v>
      </c>
      <c r="B343" s="2" t="s">
        <v>967</v>
      </c>
      <c r="C343" s="83">
        <v>5280.8577599999999</v>
      </c>
      <c r="F343" s="50" t="s">
        <v>729</v>
      </c>
      <c r="G343" s="2" t="s">
        <v>857</v>
      </c>
      <c r="H343" s="2">
        <v>10817.3416</v>
      </c>
      <c r="I343" s="2">
        <f t="shared" si="20"/>
        <v>232674.43901000009</v>
      </c>
      <c r="J343" s="51">
        <f t="shared" si="21"/>
        <v>4.6491319141141595E-2</v>
      </c>
      <c r="K343" s="2">
        <f t="shared" si="22"/>
        <v>4.6491319141141595E-2</v>
      </c>
      <c r="L343" s="2" t="str">
        <f t="shared" si="23"/>
        <v>A</v>
      </c>
      <c r="M343" s="52"/>
    </row>
    <row r="344" spans="1:13" x14ac:dyDescent="0.3">
      <c r="A344" s="2" t="s">
        <v>732</v>
      </c>
      <c r="B344" s="2" t="s">
        <v>1359</v>
      </c>
      <c r="C344" s="83">
        <v>5096.4790800000001</v>
      </c>
      <c r="F344" s="50" t="s">
        <v>729</v>
      </c>
      <c r="G344" s="2" t="s">
        <v>1277</v>
      </c>
      <c r="H344" s="2">
        <v>10792.637119999999</v>
      </c>
      <c r="I344" s="2">
        <f t="shared" si="20"/>
        <v>221857.0974100001</v>
      </c>
      <c r="J344" s="51">
        <f t="shared" si="21"/>
        <v>4.8646796726339606E-2</v>
      </c>
      <c r="K344" s="2">
        <f t="shared" si="22"/>
        <v>9.5138115867481193E-2</v>
      </c>
      <c r="L344" s="2" t="str">
        <f t="shared" si="23"/>
        <v>A</v>
      </c>
      <c r="M344" s="52"/>
    </row>
    <row r="345" spans="1:13" x14ac:dyDescent="0.3">
      <c r="A345" s="2" t="s">
        <v>732</v>
      </c>
      <c r="B345" s="2" t="s">
        <v>1048</v>
      </c>
      <c r="C345" s="83">
        <v>5032.4433599999993</v>
      </c>
      <c r="F345" s="50" t="s">
        <v>729</v>
      </c>
      <c r="G345" s="2" t="s">
        <v>1348</v>
      </c>
      <c r="H345" s="2">
        <v>10786.32144</v>
      </c>
      <c r="I345" s="2">
        <f t="shared" si="20"/>
        <v>211064.46029000008</v>
      </c>
      <c r="J345" s="51">
        <f t="shared" si="21"/>
        <v>5.1104394482992171E-2</v>
      </c>
      <c r="K345" s="2">
        <f t="shared" si="22"/>
        <v>0.14624251035047336</v>
      </c>
      <c r="L345" s="2" t="str">
        <f t="shared" si="23"/>
        <v>A</v>
      </c>
      <c r="M345" s="52"/>
    </row>
    <row r="346" spans="1:13" x14ac:dyDescent="0.3">
      <c r="A346" s="2" t="s">
        <v>732</v>
      </c>
      <c r="B346" s="2" t="s">
        <v>813</v>
      </c>
      <c r="C346" s="83">
        <v>4877.1379800000004</v>
      </c>
      <c r="F346" s="50" t="s">
        <v>733</v>
      </c>
      <c r="G346" s="2" t="s">
        <v>1355</v>
      </c>
      <c r="H346" s="2">
        <v>10693.88488</v>
      </c>
      <c r="I346" s="2">
        <f t="shared" si="20"/>
        <v>227103.55488999997</v>
      </c>
      <c r="J346" s="51">
        <f t="shared" si="21"/>
        <v>4.7088143931431181E-2</v>
      </c>
      <c r="K346" s="2">
        <f t="shared" si="22"/>
        <v>4.7088143931431181E-2</v>
      </c>
      <c r="L346" s="2" t="str">
        <f t="shared" si="23"/>
        <v>A</v>
      </c>
      <c r="M346" s="52"/>
    </row>
    <row r="347" spans="1:13" x14ac:dyDescent="0.3">
      <c r="A347" s="2" t="s">
        <v>732</v>
      </c>
      <c r="B347" s="2" t="s">
        <v>920</v>
      </c>
      <c r="C347" s="83">
        <v>4831.9464600000001</v>
      </c>
      <c r="F347" s="50" t="s">
        <v>728</v>
      </c>
      <c r="G347" s="2" t="s">
        <v>777</v>
      </c>
      <c r="H347" s="2">
        <v>10666.229420000001</v>
      </c>
      <c r="I347" s="2">
        <f t="shared" si="20"/>
        <v>255251.67635999998</v>
      </c>
      <c r="J347" s="51">
        <f t="shared" si="21"/>
        <v>4.1787108206712199E-2</v>
      </c>
      <c r="K347" s="2">
        <f t="shared" si="22"/>
        <v>4.1787108206712199E-2</v>
      </c>
      <c r="L347" s="2" t="str">
        <f t="shared" si="23"/>
        <v>A</v>
      </c>
      <c r="M347" s="52"/>
    </row>
    <row r="348" spans="1:13" x14ac:dyDescent="0.3">
      <c r="A348" s="2" t="s">
        <v>732</v>
      </c>
      <c r="B348" s="2" t="s">
        <v>1278</v>
      </c>
      <c r="C348" s="83">
        <v>4826.5396199999996</v>
      </c>
      <c r="F348" s="50" t="s">
        <v>733</v>
      </c>
      <c r="G348" s="2" t="s">
        <v>804</v>
      </c>
      <c r="H348" s="2">
        <v>10647.727199999999</v>
      </c>
      <c r="I348" s="2">
        <f t="shared" si="20"/>
        <v>216409.67001</v>
      </c>
      <c r="J348" s="51">
        <f t="shared" si="21"/>
        <v>4.9201716353562124E-2</v>
      </c>
      <c r="K348" s="2">
        <f t="shared" si="22"/>
        <v>4.9201716353562124E-2</v>
      </c>
      <c r="L348" s="2" t="str">
        <f t="shared" si="23"/>
        <v>A</v>
      </c>
      <c r="M348" s="52"/>
    </row>
    <row r="349" spans="1:13" x14ac:dyDescent="0.3">
      <c r="A349" s="2" t="s">
        <v>732</v>
      </c>
      <c r="B349" s="2" t="s">
        <v>1228</v>
      </c>
      <c r="C349" s="83">
        <v>4682.9519799999998</v>
      </c>
      <c r="F349" s="50" t="s">
        <v>729</v>
      </c>
      <c r="G349" s="2" t="s">
        <v>775</v>
      </c>
      <c r="H349" s="2">
        <v>10558.74</v>
      </c>
      <c r="I349" s="2">
        <f t="shared" si="20"/>
        <v>200278.1388500001</v>
      </c>
      <c r="J349" s="51">
        <f t="shared" si="21"/>
        <v>5.2720382067800477E-2</v>
      </c>
      <c r="K349" s="2">
        <f t="shared" si="22"/>
        <v>5.2720382067800477E-2</v>
      </c>
      <c r="L349" s="2" t="str">
        <f t="shared" si="23"/>
        <v>A</v>
      </c>
      <c r="M349" s="52"/>
    </row>
    <row r="350" spans="1:13" x14ac:dyDescent="0.3">
      <c r="A350" s="2" t="s">
        <v>732</v>
      </c>
      <c r="B350" s="2" t="s">
        <v>992</v>
      </c>
      <c r="C350" s="83">
        <v>4375.3620000000001</v>
      </c>
      <c r="F350" s="50" t="s">
        <v>732</v>
      </c>
      <c r="G350" s="2" t="s">
        <v>1290</v>
      </c>
      <c r="H350" s="2">
        <v>10519.776450000001</v>
      </c>
      <c r="I350" s="2">
        <f t="shared" si="20"/>
        <v>241791.6179000001</v>
      </c>
      <c r="J350" s="51">
        <f t="shared" si="21"/>
        <v>4.3507614289386813E-2</v>
      </c>
      <c r="K350" s="2">
        <f t="shared" si="22"/>
        <v>4.3507614289386813E-2</v>
      </c>
      <c r="L350" s="2" t="str">
        <f t="shared" si="23"/>
        <v>A</v>
      </c>
      <c r="M350" s="52"/>
    </row>
    <row r="351" spans="1:13" x14ac:dyDescent="0.3">
      <c r="A351" s="2" t="s">
        <v>732</v>
      </c>
      <c r="B351" s="2" t="s">
        <v>1031</v>
      </c>
      <c r="C351" s="83">
        <v>3190.8713200000002</v>
      </c>
      <c r="F351" s="50" t="s">
        <v>728</v>
      </c>
      <c r="G351" s="2" t="s">
        <v>1347</v>
      </c>
      <c r="H351" s="2">
        <v>10464.138360000001</v>
      </c>
      <c r="I351" s="2">
        <f t="shared" si="20"/>
        <v>244585.44693999994</v>
      </c>
      <c r="J351" s="51">
        <f t="shared" si="21"/>
        <v>4.2783160203996085E-2</v>
      </c>
      <c r="K351" s="2">
        <f t="shared" si="22"/>
        <v>4.2783160203996085E-2</v>
      </c>
      <c r="L351" s="2" t="str">
        <f t="shared" si="23"/>
        <v>A</v>
      </c>
      <c r="M351" s="52"/>
    </row>
    <row r="352" spans="1:13" x14ac:dyDescent="0.3">
      <c r="A352" s="2" t="s">
        <v>732</v>
      </c>
      <c r="B352" s="2" t="s">
        <v>1052</v>
      </c>
      <c r="C352" s="83">
        <v>2915.4540999999999</v>
      </c>
      <c r="F352" s="50" t="s">
        <v>727</v>
      </c>
      <c r="G352" s="2" t="s">
        <v>1023</v>
      </c>
      <c r="H352" s="2">
        <v>10456.416880000001</v>
      </c>
      <c r="I352" s="2">
        <f t="shared" si="20"/>
        <v>216198.78200999997</v>
      </c>
      <c r="J352" s="51">
        <f t="shared" si="21"/>
        <v>4.8364827881020873E-2</v>
      </c>
      <c r="K352" s="2">
        <f t="shared" si="22"/>
        <v>4.8364827881020873E-2</v>
      </c>
      <c r="L352" s="2" t="str">
        <f t="shared" si="23"/>
        <v>A</v>
      </c>
      <c r="M352" s="52"/>
    </row>
    <row r="353" spans="1:13" x14ac:dyDescent="0.3">
      <c r="A353" s="2" t="s">
        <v>732</v>
      </c>
      <c r="B353" s="2" t="s">
        <v>740</v>
      </c>
      <c r="C353" s="83">
        <v>2886.4496399999998</v>
      </c>
      <c r="F353" s="50" t="s">
        <v>728</v>
      </c>
      <c r="G353" s="2" t="s">
        <v>1203</v>
      </c>
      <c r="H353" s="2">
        <v>10428.057360000001</v>
      </c>
      <c r="I353" s="2">
        <f t="shared" si="20"/>
        <v>234121.30857999995</v>
      </c>
      <c r="J353" s="51">
        <f t="shared" si="21"/>
        <v>4.4541256937476507E-2</v>
      </c>
      <c r="K353" s="2">
        <f t="shared" si="22"/>
        <v>4.4541256937476507E-2</v>
      </c>
      <c r="L353" s="2" t="str">
        <f t="shared" si="23"/>
        <v>A</v>
      </c>
      <c r="M353" s="52"/>
    </row>
    <row r="354" spans="1:13" x14ac:dyDescent="0.3">
      <c r="A354" s="2" t="s">
        <v>732</v>
      </c>
      <c r="B354" s="2" t="s">
        <v>1165</v>
      </c>
      <c r="C354" s="83">
        <v>2627.6239999999998</v>
      </c>
      <c r="F354" s="50" t="s">
        <v>733</v>
      </c>
      <c r="G354" s="2" t="s">
        <v>919</v>
      </c>
      <c r="H354" s="2">
        <v>10388.429999999998</v>
      </c>
      <c r="I354" s="2">
        <f t="shared" si="20"/>
        <v>205761.94280999998</v>
      </c>
      <c r="J354" s="51">
        <f t="shared" si="21"/>
        <v>5.0487616213813875E-2</v>
      </c>
      <c r="K354" s="2">
        <f t="shared" si="22"/>
        <v>5.0487616213813875E-2</v>
      </c>
      <c r="L354" s="2" t="str">
        <f t="shared" si="23"/>
        <v>A</v>
      </c>
      <c r="M354" s="52"/>
    </row>
    <row r="355" spans="1:13" x14ac:dyDescent="0.3">
      <c r="A355" s="2" t="s">
        <v>732</v>
      </c>
      <c r="B355" s="2" t="s">
        <v>951</v>
      </c>
      <c r="C355" s="83">
        <v>2231.6467200000002</v>
      </c>
      <c r="F355" s="50" t="s">
        <v>733</v>
      </c>
      <c r="G355" s="2" t="s">
        <v>892</v>
      </c>
      <c r="H355" s="2">
        <v>10382.65884</v>
      </c>
      <c r="I355" s="2">
        <f t="shared" si="20"/>
        <v>195373.51280999999</v>
      </c>
      <c r="J355" s="51">
        <f t="shared" si="21"/>
        <v>5.3142612274659246E-2</v>
      </c>
      <c r="K355" s="2">
        <f t="shared" si="22"/>
        <v>0.10363022848847311</v>
      </c>
      <c r="L355" s="2" t="str">
        <f t="shared" si="23"/>
        <v>A</v>
      </c>
      <c r="M355" s="52"/>
    </row>
    <row r="356" spans="1:13" x14ac:dyDescent="0.3">
      <c r="A356" s="2" t="s">
        <v>732</v>
      </c>
      <c r="B356" s="2" t="s">
        <v>1283</v>
      </c>
      <c r="C356" s="83">
        <v>1846.8040799999999</v>
      </c>
      <c r="F356" s="50" t="s">
        <v>730</v>
      </c>
      <c r="G356" s="2" t="s">
        <v>745</v>
      </c>
      <c r="H356" s="2">
        <v>10370.549999999999</v>
      </c>
      <c r="I356" s="2">
        <f t="shared" si="20"/>
        <v>191634.28346999999</v>
      </c>
      <c r="J356" s="51">
        <f t="shared" si="21"/>
        <v>5.4116360664784133E-2</v>
      </c>
      <c r="K356" s="2">
        <f t="shared" si="22"/>
        <v>5.4116360664784133E-2</v>
      </c>
      <c r="L356" s="2" t="str">
        <f t="shared" si="23"/>
        <v>A</v>
      </c>
      <c r="M356" s="52"/>
    </row>
    <row r="357" spans="1:13" x14ac:dyDescent="0.3">
      <c r="A357" s="2" t="s">
        <v>732</v>
      </c>
      <c r="B357" s="2" t="s">
        <v>1314</v>
      </c>
      <c r="C357" s="83">
        <v>1801.4076000000002</v>
      </c>
      <c r="F357" s="50" t="s">
        <v>728</v>
      </c>
      <c r="G357" s="2" t="s">
        <v>1342</v>
      </c>
      <c r="H357" s="2">
        <v>10260.060159999999</v>
      </c>
      <c r="I357" s="2">
        <f t="shared" si="20"/>
        <v>223693.25121999998</v>
      </c>
      <c r="J357" s="51">
        <f t="shared" si="21"/>
        <v>4.5866650442258253E-2</v>
      </c>
      <c r="K357" s="2">
        <f t="shared" si="22"/>
        <v>4.5866650442258253E-2</v>
      </c>
      <c r="L357" s="2" t="str">
        <f t="shared" si="23"/>
        <v>A</v>
      </c>
      <c r="M357" s="52"/>
    </row>
    <row r="358" spans="1:13" x14ac:dyDescent="0.3">
      <c r="A358" s="2" t="s">
        <v>732</v>
      </c>
      <c r="B358" s="2" t="s">
        <v>945</v>
      </c>
      <c r="C358" s="83">
        <v>1774.8072</v>
      </c>
      <c r="F358" s="50" t="s">
        <v>729</v>
      </c>
      <c r="G358" s="2" t="s">
        <v>1237</v>
      </c>
      <c r="H358" s="2">
        <v>10189.8891</v>
      </c>
      <c r="I358" s="2">
        <f t="shared" si="20"/>
        <v>189719.39885000011</v>
      </c>
      <c r="J358" s="51">
        <f t="shared" si="21"/>
        <v>5.3710317246242922E-2</v>
      </c>
      <c r="K358" s="2">
        <f t="shared" si="22"/>
        <v>5.3710317246242922E-2</v>
      </c>
      <c r="L358" s="2" t="str">
        <f t="shared" si="23"/>
        <v>A</v>
      </c>
      <c r="M358" s="52"/>
    </row>
    <row r="359" spans="1:13" x14ac:dyDescent="0.3">
      <c r="A359" s="2" t="s">
        <v>732</v>
      </c>
      <c r="B359" s="2" t="s">
        <v>1039</v>
      </c>
      <c r="C359" s="83">
        <v>1641.7107199999998</v>
      </c>
      <c r="F359" s="50" t="s">
        <v>729</v>
      </c>
      <c r="G359" s="2" t="s">
        <v>1296</v>
      </c>
      <c r="H359" s="2">
        <v>10166.535600000001</v>
      </c>
      <c r="I359" s="2">
        <f t="shared" si="20"/>
        <v>179529.50975000008</v>
      </c>
      <c r="J359" s="51">
        <f t="shared" si="21"/>
        <v>5.6628771582773157E-2</v>
      </c>
      <c r="K359" s="2">
        <f t="shared" si="22"/>
        <v>0.11033908882901608</v>
      </c>
      <c r="L359" s="2" t="str">
        <f t="shared" si="23"/>
        <v>A</v>
      </c>
      <c r="M359" s="52"/>
    </row>
    <row r="360" spans="1:13" x14ac:dyDescent="0.3">
      <c r="A360" s="2" t="s">
        <v>732</v>
      </c>
      <c r="B360" s="2" t="s">
        <v>1349</v>
      </c>
      <c r="C360" s="83">
        <v>846.34703999999988</v>
      </c>
      <c r="F360" s="50" t="s">
        <v>728</v>
      </c>
      <c r="G360" s="2" t="s">
        <v>826</v>
      </c>
      <c r="H360" s="2">
        <v>10161.46624</v>
      </c>
      <c r="I360" s="2">
        <f t="shared" si="20"/>
        <v>213433.19105999998</v>
      </c>
      <c r="J360" s="51">
        <f t="shared" si="21"/>
        <v>4.7609587756870603E-2</v>
      </c>
      <c r="K360" s="2">
        <f t="shared" si="22"/>
        <v>4.7609587756870603E-2</v>
      </c>
      <c r="L360" s="2" t="str">
        <f t="shared" si="23"/>
        <v>A</v>
      </c>
      <c r="M360" s="52"/>
    </row>
    <row r="361" spans="1:13" x14ac:dyDescent="0.3">
      <c r="A361" s="2" t="s">
        <v>732</v>
      </c>
      <c r="B361" s="2" t="s">
        <v>823</v>
      </c>
      <c r="C361" s="83">
        <v>624.43503999999996</v>
      </c>
      <c r="F361" s="50" t="s">
        <v>730</v>
      </c>
      <c r="G361" s="2" t="s">
        <v>1154</v>
      </c>
      <c r="H361" s="2">
        <v>9984.7160999999978</v>
      </c>
      <c r="I361" s="2">
        <f t="shared" si="20"/>
        <v>181263.73346999998</v>
      </c>
      <c r="J361" s="51">
        <f t="shared" si="21"/>
        <v>5.5083915071475212E-2</v>
      </c>
      <c r="K361" s="2">
        <f t="shared" si="22"/>
        <v>5.5083915071475212E-2</v>
      </c>
      <c r="L361" s="2" t="str">
        <f t="shared" si="23"/>
        <v>A</v>
      </c>
      <c r="M361" s="52"/>
    </row>
    <row r="362" spans="1:13" x14ac:dyDescent="0.3">
      <c r="A362" s="2" t="s">
        <v>732</v>
      </c>
      <c r="B362" s="2" t="s">
        <v>981</v>
      </c>
      <c r="C362" s="83">
        <v>607.30668000000003</v>
      </c>
      <c r="F362" s="50" t="s">
        <v>728</v>
      </c>
      <c r="G362" s="2" t="s">
        <v>877</v>
      </c>
      <c r="H362" s="2">
        <v>9969.4201499999999</v>
      </c>
      <c r="I362" s="2">
        <f t="shared" si="20"/>
        <v>203271.72482</v>
      </c>
      <c r="J362" s="51">
        <f t="shared" si="21"/>
        <v>4.9044795378344247E-2</v>
      </c>
      <c r="K362" s="2">
        <f t="shared" si="22"/>
        <v>4.9044795378344247E-2</v>
      </c>
      <c r="L362" s="2" t="str">
        <f t="shared" si="23"/>
        <v>A</v>
      </c>
      <c r="M362" s="52"/>
    </row>
    <row r="363" spans="1:13" x14ac:dyDescent="0.3">
      <c r="A363" s="2" t="s">
        <v>732</v>
      </c>
      <c r="B363" s="2" t="s">
        <v>785</v>
      </c>
      <c r="C363" s="83">
        <v>599.53200000000004</v>
      </c>
      <c r="F363" s="50" t="s">
        <v>728</v>
      </c>
      <c r="G363" s="2" t="s">
        <v>1035</v>
      </c>
      <c r="H363" s="2">
        <v>9866.3104799999983</v>
      </c>
      <c r="I363" s="2">
        <f t="shared" si="20"/>
        <v>193302.30466999998</v>
      </c>
      <c r="J363" s="51">
        <f t="shared" si="21"/>
        <v>5.1040832114461719E-2</v>
      </c>
      <c r="K363" s="2">
        <f t="shared" si="22"/>
        <v>0.10008562749280597</v>
      </c>
      <c r="L363" s="2" t="str">
        <f t="shared" si="23"/>
        <v>A</v>
      </c>
      <c r="M363" s="52"/>
    </row>
    <row r="364" spans="1:13" x14ac:dyDescent="0.3">
      <c r="A364" s="2" t="s">
        <v>732</v>
      </c>
      <c r="B364" s="2" t="s">
        <v>1265</v>
      </c>
      <c r="C364" s="83">
        <v>534.57695999999999</v>
      </c>
      <c r="F364" s="50" t="s">
        <v>731</v>
      </c>
      <c r="G364" s="2" t="s">
        <v>1043</v>
      </c>
      <c r="H364" s="2">
        <v>9847.2358600000007</v>
      </c>
      <c r="I364" s="2">
        <f t="shared" si="20"/>
        <v>151131.12890999994</v>
      </c>
      <c r="J364" s="51">
        <f t="shared" si="21"/>
        <v>6.5156900044491331E-2</v>
      </c>
      <c r="K364" s="2">
        <f t="shared" si="22"/>
        <v>6.5156900044491331E-2</v>
      </c>
      <c r="L364" s="2" t="str">
        <f t="shared" si="23"/>
        <v>A</v>
      </c>
      <c r="M364" s="52"/>
    </row>
    <row r="365" spans="1:13" x14ac:dyDescent="0.3">
      <c r="A365" s="2" t="s">
        <v>732</v>
      </c>
      <c r="B365" s="2" t="s">
        <v>817</v>
      </c>
      <c r="C365" s="83">
        <v>524.81174999999996</v>
      </c>
      <c r="F365" s="50" t="s">
        <v>733</v>
      </c>
      <c r="G365" s="2" t="s">
        <v>1059</v>
      </c>
      <c r="H365" s="2">
        <v>9829.0483199999999</v>
      </c>
      <c r="I365" s="2">
        <f t="shared" si="20"/>
        <v>184990.85397</v>
      </c>
      <c r="J365" s="51">
        <f t="shared" si="21"/>
        <v>5.3132617689272243E-2</v>
      </c>
      <c r="K365" s="2">
        <f t="shared" si="22"/>
        <v>5.3132617689272243E-2</v>
      </c>
      <c r="L365" s="2" t="str">
        <f t="shared" si="23"/>
        <v>A</v>
      </c>
      <c r="M365" s="52"/>
    </row>
    <row r="366" spans="1:13" x14ac:dyDescent="0.3">
      <c r="A366" s="2" t="s">
        <v>732</v>
      </c>
      <c r="B366" s="2" t="s">
        <v>830</v>
      </c>
      <c r="C366" s="83">
        <v>147.00756000000001</v>
      </c>
      <c r="F366" s="50" t="s">
        <v>729</v>
      </c>
      <c r="G366" s="2" t="s">
        <v>1251</v>
      </c>
      <c r="H366" s="2">
        <v>9807.7842799999999</v>
      </c>
      <c r="I366" s="2">
        <f t="shared" si="20"/>
        <v>169362.97415000008</v>
      </c>
      <c r="J366" s="51">
        <f t="shared" si="21"/>
        <v>5.7909849122710362E-2</v>
      </c>
      <c r="K366" s="2">
        <f t="shared" si="22"/>
        <v>5.7909849122710362E-2</v>
      </c>
      <c r="L366" s="2" t="str">
        <f t="shared" si="23"/>
        <v>A</v>
      </c>
      <c r="M366" s="52"/>
    </row>
    <row r="367" spans="1:13" x14ac:dyDescent="0.3">
      <c r="A367" s="2" t="s">
        <v>732</v>
      </c>
      <c r="B367" s="2" t="s">
        <v>1032</v>
      </c>
      <c r="C367" s="83">
        <v>66.920760000000001</v>
      </c>
      <c r="F367" s="50" t="s">
        <v>727</v>
      </c>
      <c r="G367" s="2" t="s">
        <v>764</v>
      </c>
      <c r="H367" s="2">
        <v>9805.8573800000013</v>
      </c>
      <c r="I367" s="2">
        <f t="shared" si="20"/>
        <v>205742.36512999996</v>
      </c>
      <c r="J367" s="51">
        <f t="shared" si="21"/>
        <v>4.7660856692320473E-2</v>
      </c>
      <c r="K367" s="2">
        <f t="shared" si="22"/>
        <v>4.7660856692320473E-2</v>
      </c>
      <c r="L367" s="2" t="str">
        <f t="shared" si="23"/>
        <v>A</v>
      </c>
      <c r="M367" s="52"/>
    </row>
    <row r="368" spans="1:13" x14ac:dyDescent="0.3">
      <c r="A368" s="2" t="s">
        <v>727</v>
      </c>
      <c r="B368" s="2" t="s">
        <v>971</v>
      </c>
      <c r="C368" s="83">
        <v>139277.83032000001</v>
      </c>
      <c r="F368" s="50" t="s">
        <v>731</v>
      </c>
      <c r="G368" s="2" t="s">
        <v>980</v>
      </c>
      <c r="H368" s="2">
        <v>9774.3888000000006</v>
      </c>
      <c r="I368" s="2">
        <f t="shared" si="20"/>
        <v>141283.89304999996</v>
      </c>
      <c r="J368" s="51">
        <f t="shared" si="21"/>
        <v>6.9182612320435377E-2</v>
      </c>
      <c r="K368" s="2">
        <f t="shared" si="22"/>
        <v>6.9182612320435377E-2</v>
      </c>
      <c r="L368" s="2" t="str">
        <f t="shared" si="23"/>
        <v>A</v>
      </c>
      <c r="M368" s="52"/>
    </row>
    <row r="369" spans="1:13" x14ac:dyDescent="0.3">
      <c r="A369" s="2" t="s">
        <v>727</v>
      </c>
      <c r="B369" s="2" t="s">
        <v>1198</v>
      </c>
      <c r="C369" s="83">
        <v>84136.119600000005</v>
      </c>
      <c r="F369" s="50" t="s">
        <v>731</v>
      </c>
      <c r="G369" s="2" t="s">
        <v>1179</v>
      </c>
      <c r="H369" s="2">
        <v>9771.4483199999995</v>
      </c>
      <c r="I369" s="2">
        <f t="shared" si="20"/>
        <v>131509.50425000003</v>
      </c>
      <c r="J369" s="51">
        <f t="shared" si="21"/>
        <v>7.4302221544569447E-2</v>
      </c>
      <c r="K369" s="2">
        <f t="shared" si="22"/>
        <v>0.14348483386500482</v>
      </c>
      <c r="L369" s="2" t="str">
        <f t="shared" si="23"/>
        <v>A</v>
      </c>
      <c r="M369" s="52"/>
    </row>
    <row r="370" spans="1:13" x14ac:dyDescent="0.3">
      <c r="A370" s="2" t="s">
        <v>727</v>
      </c>
      <c r="B370" s="2" t="s">
        <v>860</v>
      </c>
      <c r="C370" s="83">
        <v>65111.38614000001</v>
      </c>
      <c r="F370" s="50" t="s">
        <v>727</v>
      </c>
      <c r="G370" s="2" t="s">
        <v>870</v>
      </c>
      <c r="H370" s="2">
        <v>9698.1638399999993</v>
      </c>
      <c r="I370" s="2">
        <f t="shared" si="20"/>
        <v>195936.50774999996</v>
      </c>
      <c r="J370" s="51">
        <f t="shared" si="21"/>
        <v>4.9496461641411499E-2</v>
      </c>
      <c r="K370" s="2">
        <f t="shared" si="22"/>
        <v>4.9496461641411499E-2</v>
      </c>
      <c r="L370" s="2" t="str">
        <f t="shared" si="23"/>
        <v>A</v>
      </c>
      <c r="M370" s="52"/>
    </row>
    <row r="371" spans="1:13" x14ac:dyDescent="0.3">
      <c r="A371" s="2" t="s">
        <v>727</v>
      </c>
      <c r="B371" s="2" t="s">
        <v>743</v>
      </c>
      <c r="C371" s="83">
        <v>60928.502359999999</v>
      </c>
      <c r="F371" s="50" t="s">
        <v>730</v>
      </c>
      <c r="G371" s="2" t="s">
        <v>975</v>
      </c>
      <c r="H371" s="2">
        <v>9684.8756000000012</v>
      </c>
      <c r="I371" s="2">
        <f t="shared" si="20"/>
        <v>171279.01736999999</v>
      </c>
      <c r="J371" s="51">
        <f t="shared" si="21"/>
        <v>5.6544436958547939E-2</v>
      </c>
      <c r="K371" s="2">
        <f t="shared" si="22"/>
        <v>5.6544436958547939E-2</v>
      </c>
      <c r="L371" s="2" t="str">
        <f t="shared" si="23"/>
        <v>A</v>
      </c>
      <c r="M371" s="52"/>
    </row>
    <row r="372" spans="1:13" x14ac:dyDescent="0.3">
      <c r="A372" s="2" t="s">
        <v>727</v>
      </c>
      <c r="B372" s="2" t="s">
        <v>1125</v>
      </c>
      <c r="C372" s="83">
        <v>52361.645000000004</v>
      </c>
      <c r="F372" s="50" t="s">
        <v>729</v>
      </c>
      <c r="G372" s="2" t="s">
        <v>766</v>
      </c>
      <c r="H372" s="2">
        <v>9647.3852800000004</v>
      </c>
      <c r="I372" s="2">
        <f t="shared" si="20"/>
        <v>159555.18987000003</v>
      </c>
      <c r="J372" s="51">
        <f t="shared" si="21"/>
        <v>6.0464252449953848E-2</v>
      </c>
      <c r="K372" s="2">
        <f t="shared" si="22"/>
        <v>6.0464252449953848E-2</v>
      </c>
      <c r="L372" s="2" t="str">
        <f t="shared" si="23"/>
        <v>A</v>
      </c>
      <c r="M372" s="52"/>
    </row>
    <row r="373" spans="1:13" x14ac:dyDescent="0.3">
      <c r="A373" s="2" t="s">
        <v>727</v>
      </c>
      <c r="B373" s="2" t="s">
        <v>1245</v>
      </c>
      <c r="C373" s="83">
        <v>50296.415399999998</v>
      </c>
      <c r="F373" s="50" t="s">
        <v>730</v>
      </c>
      <c r="G373" s="2" t="s">
        <v>1222</v>
      </c>
      <c r="H373" s="2">
        <v>9614.4403999999995</v>
      </c>
      <c r="I373" s="2">
        <f t="shared" si="20"/>
        <v>161594.14177000002</v>
      </c>
      <c r="J373" s="51">
        <f t="shared" si="21"/>
        <v>5.9497456372424769E-2</v>
      </c>
      <c r="K373" s="2">
        <f t="shared" si="22"/>
        <v>5.9497456372424769E-2</v>
      </c>
      <c r="L373" s="2" t="str">
        <f t="shared" si="23"/>
        <v>A</v>
      </c>
      <c r="M373" s="52"/>
    </row>
    <row r="374" spans="1:13" x14ac:dyDescent="0.3">
      <c r="A374" s="2" t="s">
        <v>727</v>
      </c>
      <c r="B374" s="2" t="s">
        <v>1351</v>
      </c>
      <c r="C374" s="83">
        <v>41419.524249999995</v>
      </c>
      <c r="F374" s="50" t="s">
        <v>728</v>
      </c>
      <c r="G374" s="2" t="s">
        <v>1119</v>
      </c>
      <c r="H374" s="2">
        <v>9586.8057599999993</v>
      </c>
      <c r="I374" s="2">
        <f t="shared" si="20"/>
        <v>183435.99419</v>
      </c>
      <c r="J374" s="51">
        <f t="shared" si="21"/>
        <v>5.2262402492665332E-2</v>
      </c>
      <c r="K374" s="2">
        <f t="shared" si="22"/>
        <v>5.2262402492665332E-2</v>
      </c>
      <c r="L374" s="2" t="str">
        <f t="shared" si="23"/>
        <v>A</v>
      </c>
      <c r="M374" s="52"/>
    </row>
    <row r="375" spans="1:13" x14ac:dyDescent="0.3">
      <c r="A375" s="2" t="s">
        <v>727</v>
      </c>
      <c r="B375" s="2" t="s">
        <v>1361</v>
      </c>
      <c r="C375" s="83">
        <v>40476.013200000001</v>
      </c>
      <c r="F375" s="50" t="s">
        <v>732</v>
      </c>
      <c r="G375" s="2" t="s">
        <v>1152</v>
      </c>
      <c r="H375" s="2">
        <v>9509.2865999999995</v>
      </c>
      <c r="I375" s="2">
        <f t="shared" si="20"/>
        <v>231271.84145000004</v>
      </c>
      <c r="J375" s="51">
        <f t="shared" si="21"/>
        <v>4.1117355837095568E-2</v>
      </c>
      <c r="K375" s="2">
        <f t="shared" si="22"/>
        <v>4.1117355837095568E-2</v>
      </c>
      <c r="L375" s="2" t="str">
        <f t="shared" si="23"/>
        <v>A</v>
      </c>
      <c r="M375" s="52"/>
    </row>
    <row r="376" spans="1:13" x14ac:dyDescent="0.3">
      <c r="A376" s="2" t="s">
        <v>727</v>
      </c>
      <c r="B376" s="2" t="s">
        <v>794</v>
      </c>
      <c r="C376" s="83">
        <v>33687.501800000005</v>
      </c>
      <c r="F376" s="50" t="s">
        <v>729</v>
      </c>
      <c r="G376" s="2" t="s">
        <v>807</v>
      </c>
      <c r="H376" s="2">
        <v>9373.460219999999</v>
      </c>
      <c r="I376" s="2">
        <f t="shared" si="20"/>
        <v>149907.80459000001</v>
      </c>
      <c r="J376" s="51">
        <f t="shared" si="21"/>
        <v>6.2528166866538712E-2</v>
      </c>
      <c r="K376" s="2">
        <f t="shared" si="22"/>
        <v>6.2528166866538712E-2</v>
      </c>
      <c r="L376" s="2" t="str">
        <f t="shared" si="23"/>
        <v>A</v>
      </c>
      <c r="M376" s="52"/>
    </row>
    <row r="377" spans="1:13" x14ac:dyDescent="0.3">
      <c r="A377" s="2" t="s">
        <v>727</v>
      </c>
      <c r="B377" s="2" t="s">
        <v>1247</v>
      </c>
      <c r="C377" s="83">
        <v>33308.550000000003</v>
      </c>
      <c r="F377" s="50" t="s">
        <v>729</v>
      </c>
      <c r="G377" s="2" t="s">
        <v>1263</v>
      </c>
      <c r="H377" s="2">
        <v>9262.0686600000008</v>
      </c>
      <c r="I377" s="2">
        <f t="shared" si="20"/>
        <v>140534.34437000004</v>
      </c>
      <c r="J377" s="51">
        <f t="shared" si="21"/>
        <v>6.5906086526541494E-2</v>
      </c>
      <c r="K377" s="2">
        <f t="shared" si="22"/>
        <v>0.12843425339308021</v>
      </c>
      <c r="L377" s="2" t="str">
        <f t="shared" si="23"/>
        <v>A</v>
      </c>
      <c r="M377" s="52"/>
    </row>
    <row r="378" spans="1:13" x14ac:dyDescent="0.3">
      <c r="A378" s="2" t="s">
        <v>727</v>
      </c>
      <c r="B378" s="2" t="s">
        <v>1238</v>
      </c>
      <c r="C378" s="83">
        <v>32335.21802</v>
      </c>
      <c r="F378" s="50" t="s">
        <v>732</v>
      </c>
      <c r="G378" s="2" t="s">
        <v>1344</v>
      </c>
      <c r="H378" s="2">
        <v>9256.14</v>
      </c>
      <c r="I378" s="2">
        <f t="shared" si="20"/>
        <v>221762.5548500001</v>
      </c>
      <c r="J378" s="51">
        <f t="shared" si="21"/>
        <v>4.173896718614574E-2</v>
      </c>
      <c r="K378" s="2">
        <f t="shared" si="22"/>
        <v>4.173896718614574E-2</v>
      </c>
      <c r="L378" s="2" t="str">
        <f t="shared" si="23"/>
        <v>A</v>
      </c>
      <c r="M378" s="52"/>
    </row>
    <row r="379" spans="1:13" x14ac:dyDescent="0.3">
      <c r="A379" s="2" t="s">
        <v>727</v>
      </c>
      <c r="B379" s="2" t="s">
        <v>795</v>
      </c>
      <c r="C379" s="83">
        <v>27701.570400000001</v>
      </c>
      <c r="F379" s="50" t="s">
        <v>732</v>
      </c>
      <c r="G379" s="2" t="s">
        <v>1243</v>
      </c>
      <c r="H379" s="2">
        <v>9232.2830599999998</v>
      </c>
      <c r="I379" s="2">
        <f t="shared" si="20"/>
        <v>212506.41485000009</v>
      </c>
      <c r="J379" s="51">
        <f t="shared" si="21"/>
        <v>4.3444726440454537E-2</v>
      </c>
      <c r="K379" s="2">
        <f t="shared" si="22"/>
        <v>8.5183693626600276E-2</v>
      </c>
      <c r="L379" s="2" t="str">
        <f t="shared" si="23"/>
        <v>A</v>
      </c>
      <c r="M379" s="52"/>
    </row>
    <row r="380" spans="1:13" x14ac:dyDescent="0.3">
      <c r="A380" s="2" t="s">
        <v>727</v>
      </c>
      <c r="B380" s="2" t="s">
        <v>844</v>
      </c>
      <c r="C380" s="83">
        <v>27676.35</v>
      </c>
      <c r="F380" s="50" t="s">
        <v>730</v>
      </c>
      <c r="G380" s="2" t="s">
        <v>1050</v>
      </c>
      <c r="H380" s="2">
        <v>9062.34692</v>
      </c>
      <c r="I380" s="2">
        <f t="shared" si="20"/>
        <v>151979.70137000002</v>
      </c>
      <c r="J380" s="51">
        <f t="shared" si="21"/>
        <v>5.9628666448931833E-2</v>
      </c>
      <c r="K380" s="2">
        <f t="shared" si="22"/>
        <v>5.9628666448931833E-2</v>
      </c>
      <c r="L380" s="2" t="str">
        <f t="shared" si="23"/>
        <v>A</v>
      </c>
      <c r="M380" s="52"/>
    </row>
    <row r="381" spans="1:13" x14ac:dyDescent="0.3">
      <c r="A381" s="2" t="s">
        <v>727</v>
      </c>
      <c r="B381" s="2" t="s">
        <v>768</v>
      </c>
      <c r="C381" s="83">
        <v>27331.829999999998</v>
      </c>
      <c r="F381" s="50" t="s">
        <v>733</v>
      </c>
      <c r="G381" s="2" t="s">
        <v>1322</v>
      </c>
      <c r="H381" s="2">
        <v>9022.35</v>
      </c>
      <c r="I381" s="2">
        <f t="shared" si="20"/>
        <v>175161.80564999999</v>
      </c>
      <c r="J381" s="51">
        <f t="shared" si="21"/>
        <v>5.150866061536287E-2</v>
      </c>
      <c r="K381" s="2">
        <f t="shared" si="22"/>
        <v>5.150866061536287E-2</v>
      </c>
      <c r="L381" s="2" t="str">
        <f t="shared" si="23"/>
        <v>A</v>
      </c>
      <c r="M381" s="52"/>
    </row>
    <row r="382" spans="1:13" x14ac:dyDescent="0.3">
      <c r="A382" s="2" t="s">
        <v>727</v>
      </c>
      <c r="B382" s="2" t="s">
        <v>1082</v>
      </c>
      <c r="C382" s="83">
        <v>27158.894079999998</v>
      </c>
      <c r="F382" s="50" t="s">
        <v>730</v>
      </c>
      <c r="G382" s="2" t="s">
        <v>1077</v>
      </c>
      <c r="H382" s="2">
        <v>8938.8996600000009</v>
      </c>
      <c r="I382" s="2">
        <f t="shared" si="20"/>
        <v>142917.35444999998</v>
      </c>
      <c r="J382" s="51">
        <f t="shared" si="21"/>
        <v>6.2545935687098791E-2</v>
      </c>
      <c r="K382" s="2">
        <f t="shared" si="22"/>
        <v>6.2545935687098791E-2</v>
      </c>
      <c r="L382" s="2" t="str">
        <f t="shared" si="23"/>
        <v>A</v>
      </c>
      <c r="M382" s="52"/>
    </row>
    <row r="383" spans="1:13" x14ac:dyDescent="0.3">
      <c r="A383" s="2" t="s">
        <v>727</v>
      </c>
      <c r="B383" s="2" t="s">
        <v>1058</v>
      </c>
      <c r="C383" s="83">
        <v>26015.449459999996</v>
      </c>
      <c r="F383" s="50" t="s">
        <v>727</v>
      </c>
      <c r="G383" s="2" t="s">
        <v>803</v>
      </c>
      <c r="H383" s="2">
        <v>8930.7124999999996</v>
      </c>
      <c r="I383" s="2">
        <f t="shared" si="20"/>
        <v>186238.34391</v>
      </c>
      <c r="J383" s="51">
        <f t="shared" si="21"/>
        <v>4.7953135280862369E-2</v>
      </c>
      <c r="K383" s="2">
        <f t="shared" si="22"/>
        <v>4.7953135280862369E-2</v>
      </c>
      <c r="L383" s="2" t="str">
        <f t="shared" si="23"/>
        <v>A</v>
      </c>
      <c r="M383" s="52"/>
    </row>
    <row r="384" spans="1:13" x14ac:dyDescent="0.3">
      <c r="A384" s="2" t="s">
        <v>727</v>
      </c>
      <c r="B384" s="2" t="s">
        <v>1034</v>
      </c>
      <c r="C384" s="83">
        <v>25577.274079999999</v>
      </c>
      <c r="F384" s="50" t="s">
        <v>727</v>
      </c>
      <c r="G384" s="2" t="s">
        <v>905</v>
      </c>
      <c r="H384" s="2">
        <v>8928.9795999999988</v>
      </c>
      <c r="I384" s="2">
        <f t="shared" si="20"/>
        <v>177307.63141</v>
      </c>
      <c r="J384" s="51">
        <f t="shared" si="21"/>
        <v>5.0358687491306772E-2</v>
      </c>
      <c r="K384" s="2">
        <f t="shared" si="22"/>
        <v>9.8311822772169141E-2</v>
      </c>
      <c r="L384" s="2" t="str">
        <f t="shared" si="23"/>
        <v>A</v>
      </c>
      <c r="M384" s="52"/>
    </row>
    <row r="385" spans="1:13" x14ac:dyDescent="0.3">
      <c r="A385" s="2" t="s">
        <v>727</v>
      </c>
      <c r="B385" s="2" t="s">
        <v>1201</v>
      </c>
      <c r="C385" s="83">
        <v>25269.09</v>
      </c>
      <c r="F385" s="50" t="s">
        <v>727</v>
      </c>
      <c r="G385" s="2" t="s">
        <v>859</v>
      </c>
      <c r="H385" s="2">
        <v>8909.8587200000002</v>
      </c>
      <c r="I385" s="2">
        <f t="shared" si="20"/>
        <v>168378.65181000001</v>
      </c>
      <c r="J385" s="51">
        <f t="shared" si="21"/>
        <v>5.2915607912420899E-2</v>
      </c>
      <c r="K385" s="2">
        <f t="shared" si="22"/>
        <v>0.15122743068459005</v>
      </c>
      <c r="L385" s="2" t="str">
        <f t="shared" si="23"/>
        <v>A</v>
      </c>
      <c r="M385" s="52"/>
    </row>
    <row r="386" spans="1:13" x14ac:dyDescent="0.3">
      <c r="A386" s="2" t="s">
        <v>727</v>
      </c>
      <c r="B386" s="2" t="s">
        <v>1319</v>
      </c>
      <c r="C386" s="83">
        <v>25131.155999999999</v>
      </c>
      <c r="F386" s="50" t="s">
        <v>729</v>
      </c>
      <c r="G386" s="2" t="s">
        <v>889</v>
      </c>
      <c r="H386" s="2">
        <v>8909.6646800000017</v>
      </c>
      <c r="I386" s="2">
        <f t="shared" si="20"/>
        <v>131272.27570999996</v>
      </c>
      <c r="J386" s="51">
        <f t="shared" si="21"/>
        <v>6.7871640312557546E-2</v>
      </c>
      <c r="K386" s="2">
        <f t="shared" si="22"/>
        <v>6.7871640312557546E-2</v>
      </c>
      <c r="L386" s="2" t="str">
        <f t="shared" si="23"/>
        <v>A</v>
      </c>
      <c r="M386" s="52"/>
    </row>
    <row r="387" spans="1:13" x14ac:dyDescent="0.3">
      <c r="A387" s="2" t="s">
        <v>727</v>
      </c>
      <c r="B387" s="2" t="s">
        <v>758</v>
      </c>
      <c r="C387" s="83">
        <v>24894.430559999997</v>
      </c>
      <c r="F387" s="50" t="s">
        <v>731</v>
      </c>
      <c r="G387" s="2" t="s">
        <v>1013</v>
      </c>
      <c r="H387" s="2">
        <v>8907.6924999999992</v>
      </c>
      <c r="I387" s="2">
        <f t="shared" si="20"/>
        <v>121738.05593000002</v>
      </c>
      <c r="J387" s="51">
        <f t="shared" si="21"/>
        <v>7.3170977078210991E-2</v>
      </c>
      <c r="K387" s="2">
        <f t="shared" si="22"/>
        <v>7.3170977078210991E-2</v>
      </c>
      <c r="L387" s="2" t="str">
        <f t="shared" si="23"/>
        <v>A</v>
      </c>
      <c r="M387" s="52"/>
    </row>
    <row r="388" spans="1:13" x14ac:dyDescent="0.3">
      <c r="A388" s="2" t="s">
        <v>727</v>
      </c>
      <c r="B388" s="2" t="s">
        <v>1192</v>
      </c>
      <c r="C388" s="83">
        <v>24321.57</v>
      </c>
      <c r="F388" s="50" t="s">
        <v>727</v>
      </c>
      <c r="G388" s="2" t="s">
        <v>1028</v>
      </c>
      <c r="H388" s="2">
        <v>8903.4839999999986</v>
      </c>
      <c r="I388" s="2">
        <f t="shared" ref="I388:I451" si="24">SUMIF(F388:F1016, F388, H388:H1016)</f>
        <v>159468.79309000002</v>
      </c>
      <c r="J388" s="51">
        <f t="shared" ref="J388:J451" si="25">H388/I388</f>
        <v>5.5832140116437105E-2</v>
      </c>
      <c r="K388" s="2">
        <f t="shared" si="22"/>
        <v>5.5832140116437105E-2</v>
      </c>
      <c r="L388" s="2" t="str">
        <f t="shared" si="23"/>
        <v>A</v>
      </c>
      <c r="M388" s="52"/>
    </row>
    <row r="389" spans="1:13" x14ac:dyDescent="0.3">
      <c r="A389" s="2" t="s">
        <v>727</v>
      </c>
      <c r="B389" s="2" t="s">
        <v>891</v>
      </c>
      <c r="C389" s="83">
        <v>24147.922500000001</v>
      </c>
      <c r="F389" s="50" t="s">
        <v>727</v>
      </c>
      <c r="G389" s="2" t="s">
        <v>1049</v>
      </c>
      <c r="H389" s="2">
        <v>8780.5809000000008</v>
      </c>
      <c r="I389" s="2">
        <f t="shared" si="24"/>
        <v>150565.30909000002</v>
      </c>
      <c r="J389" s="51">
        <f t="shared" si="25"/>
        <v>5.8317423535798885E-2</v>
      </c>
      <c r="K389" s="2">
        <f t="shared" ref="K389:K452" si="26">IF(F389=F388, K388+J389, J389)</f>
        <v>0.114149563652236</v>
      </c>
      <c r="L389" s="2" t="str">
        <f t="shared" ref="L389:L452" si="27">IF(K389&lt;=0.8,"A", IF(K389&lt;=0.95,"B","C"))</f>
        <v>A</v>
      </c>
      <c r="M389" s="52"/>
    </row>
    <row r="390" spans="1:13" x14ac:dyDescent="0.3">
      <c r="A390" s="2" t="s">
        <v>727</v>
      </c>
      <c r="B390" s="2" t="s">
        <v>1185</v>
      </c>
      <c r="C390" s="83">
        <v>23694.405119999999</v>
      </c>
      <c r="F390" s="50" t="s">
        <v>729</v>
      </c>
      <c r="G390" s="2" t="s">
        <v>1065</v>
      </c>
      <c r="H390" s="2">
        <v>8764.4065599999994</v>
      </c>
      <c r="I390" s="2">
        <f t="shared" si="24"/>
        <v>122362.61102999997</v>
      </c>
      <c r="J390" s="51">
        <f t="shared" si="25"/>
        <v>7.1626508181091411E-2</v>
      </c>
      <c r="K390" s="2">
        <f t="shared" si="26"/>
        <v>7.1626508181091411E-2</v>
      </c>
      <c r="L390" s="2" t="str">
        <f t="shared" si="27"/>
        <v>A</v>
      </c>
      <c r="M390" s="52"/>
    </row>
    <row r="391" spans="1:13" x14ac:dyDescent="0.3">
      <c r="A391" s="2" t="s">
        <v>727</v>
      </c>
      <c r="B391" s="2" t="s">
        <v>994</v>
      </c>
      <c r="C391" s="83">
        <v>22882.675440000003</v>
      </c>
      <c r="F391" s="50" t="s">
        <v>732</v>
      </c>
      <c r="G391" s="2" t="s">
        <v>925</v>
      </c>
      <c r="H391" s="2">
        <v>8763.2849999999999</v>
      </c>
      <c r="I391" s="2">
        <f t="shared" si="24"/>
        <v>203274.1317900001</v>
      </c>
      <c r="J391" s="51">
        <f t="shared" si="25"/>
        <v>4.311067484500801E-2</v>
      </c>
      <c r="K391" s="2">
        <f t="shared" si="26"/>
        <v>4.311067484500801E-2</v>
      </c>
      <c r="L391" s="2" t="str">
        <f t="shared" si="27"/>
        <v>A</v>
      </c>
      <c r="M391" s="52"/>
    </row>
    <row r="392" spans="1:13" x14ac:dyDescent="0.3">
      <c r="A392" s="2" t="s">
        <v>727</v>
      </c>
      <c r="B392" s="2" t="s">
        <v>812</v>
      </c>
      <c r="C392" s="83">
        <v>21787.936199999996</v>
      </c>
      <c r="F392" s="50" t="s">
        <v>732</v>
      </c>
      <c r="G392" s="2" t="s">
        <v>917</v>
      </c>
      <c r="H392" s="2">
        <v>8698.8768300000011</v>
      </c>
      <c r="I392" s="2">
        <f t="shared" si="24"/>
        <v>194510.8467900001</v>
      </c>
      <c r="J392" s="51">
        <f t="shared" si="25"/>
        <v>4.4721808441827292E-2</v>
      </c>
      <c r="K392" s="2">
        <f t="shared" si="26"/>
        <v>8.7832483286835294E-2</v>
      </c>
      <c r="L392" s="2" t="str">
        <f t="shared" si="27"/>
        <v>A</v>
      </c>
      <c r="M392" s="52"/>
    </row>
    <row r="393" spans="1:13" x14ac:dyDescent="0.3">
      <c r="A393" s="2" t="s">
        <v>727</v>
      </c>
      <c r="B393" s="2" t="s">
        <v>1099</v>
      </c>
      <c r="C393" s="83">
        <v>21584.693520000001</v>
      </c>
      <c r="F393" s="50" t="s">
        <v>732</v>
      </c>
      <c r="G393" s="2" t="s">
        <v>802</v>
      </c>
      <c r="H393" s="2">
        <v>8671.7354400000004</v>
      </c>
      <c r="I393" s="2">
        <f t="shared" si="24"/>
        <v>185811.9699600001</v>
      </c>
      <c r="J393" s="51">
        <f t="shared" si="25"/>
        <v>4.6669412319705623E-2</v>
      </c>
      <c r="K393" s="2">
        <f t="shared" si="26"/>
        <v>0.13450189560654091</v>
      </c>
      <c r="L393" s="2" t="str">
        <f t="shared" si="27"/>
        <v>A</v>
      </c>
      <c r="M393" s="52"/>
    </row>
    <row r="394" spans="1:13" x14ac:dyDescent="0.3">
      <c r="A394" s="2" t="s">
        <v>727</v>
      </c>
      <c r="B394" s="2" t="s">
        <v>1127</v>
      </c>
      <c r="C394" s="83">
        <v>19800.88896</v>
      </c>
      <c r="F394" s="50" t="s">
        <v>733</v>
      </c>
      <c r="G394" s="2" t="s">
        <v>1231</v>
      </c>
      <c r="H394" s="2">
        <v>8644.6696000000011</v>
      </c>
      <c r="I394" s="2">
        <f t="shared" si="24"/>
        <v>166139.45564999996</v>
      </c>
      <c r="J394" s="51">
        <f t="shared" si="25"/>
        <v>5.2032610593183939E-2</v>
      </c>
      <c r="K394" s="2">
        <f t="shared" si="26"/>
        <v>5.2032610593183939E-2</v>
      </c>
      <c r="L394" s="2" t="str">
        <f t="shared" si="27"/>
        <v>A</v>
      </c>
      <c r="M394" s="52"/>
    </row>
    <row r="395" spans="1:13" x14ac:dyDescent="0.3">
      <c r="A395" s="2" t="s">
        <v>727</v>
      </c>
      <c r="B395" s="2" t="s">
        <v>990</v>
      </c>
      <c r="C395" s="83">
        <v>19073.059649999999</v>
      </c>
      <c r="F395" s="50" t="s">
        <v>729</v>
      </c>
      <c r="G395" s="2" t="s">
        <v>1236</v>
      </c>
      <c r="H395" s="2">
        <v>8637.1874499999994</v>
      </c>
      <c r="I395" s="2">
        <f t="shared" si="24"/>
        <v>113598.20446999998</v>
      </c>
      <c r="J395" s="51">
        <f t="shared" si="25"/>
        <v>7.6032781418486101E-2</v>
      </c>
      <c r="K395" s="2">
        <f t="shared" si="26"/>
        <v>7.6032781418486101E-2</v>
      </c>
      <c r="L395" s="2" t="str">
        <f t="shared" si="27"/>
        <v>A</v>
      </c>
      <c r="M395" s="52"/>
    </row>
    <row r="396" spans="1:13" x14ac:dyDescent="0.3">
      <c r="A396" s="2" t="s">
        <v>727</v>
      </c>
      <c r="B396" s="2" t="s">
        <v>770</v>
      </c>
      <c r="C396" s="83">
        <v>18957.37689</v>
      </c>
      <c r="F396" s="50" t="s">
        <v>733</v>
      </c>
      <c r="G396" s="2" t="s">
        <v>759</v>
      </c>
      <c r="H396" s="2">
        <v>8596.2905599999995</v>
      </c>
      <c r="I396" s="2">
        <f t="shared" si="24"/>
        <v>157494.78605</v>
      </c>
      <c r="J396" s="51">
        <f t="shared" si="25"/>
        <v>5.458142949107489E-2</v>
      </c>
      <c r="K396" s="2">
        <f t="shared" si="26"/>
        <v>5.458142949107489E-2</v>
      </c>
      <c r="L396" s="2" t="str">
        <f t="shared" si="27"/>
        <v>A</v>
      </c>
      <c r="M396" s="52"/>
    </row>
    <row r="397" spans="1:13" x14ac:dyDescent="0.3">
      <c r="A397" s="2" t="s">
        <v>727</v>
      </c>
      <c r="B397" s="2" t="s">
        <v>1101</v>
      </c>
      <c r="C397" s="83">
        <v>18554.370299999999</v>
      </c>
      <c r="F397" s="50" t="s">
        <v>732</v>
      </c>
      <c r="G397" s="2" t="s">
        <v>923</v>
      </c>
      <c r="H397" s="2">
        <v>8590.7094000000016</v>
      </c>
      <c r="I397" s="2">
        <f t="shared" si="24"/>
        <v>177140.23452000011</v>
      </c>
      <c r="J397" s="51">
        <f t="shared" si="25"/>
        <v>4.8496658160571998E-2</v>
      </c>
      <c r="K397" s="2">
        <f t="shared" si="26"/>
        <v>4.8496658160571998E-2</v>
      </c>
      <c r="L397" s="2" t="str">
        <f t="shared" si="27"/>
        <v>A</v>
      </c>
      <c r="M397" s="52"/>
    </row>
    <row r="398" spans="1:13" x14ac:dyDescent="0.3">
      <c r="A398" s="2" t="s">
        <v>727</v>
      </c>
      <c r="B398" s="2" t="s">
        <v>944</v>
      </c>
      <c r="C398" s="83">
        <v>18061.204320000004</v>
      </c>
      <c r="F398" s="50" t="s">
        <v>731</v>
      </c>
      <c r="G398" s="2" t="s">
        <v>1009</v>
      </c>
      <c r="H398" s="2">
        <v>8567.3924999999999</v>
      </c>
      <c r="I398" s="2">
        <f t="shared" si="24"/>
        <v>112830.36343000003</v>
      </c>
      <c r="J398" s="51">
        <f t="shared" si="25"/>
        <v>7.593162194603062E-2</v>
      </c>
      <c r="K398" s="2">
        <f t="shared" si="26"/>
        <v>7.593162194603062E-2</v>
      </c>
      <c r="L398" s="2" t="str">
        <f t="shared" si="27"/>
        <v>A</v>
      </c>
      <c r="M398" s="52"/>
    </row>
    <row r="399" spans="1:13" x14ac:dyDescent="0.3">
      <c r="A399" s="2" t="s">
        <v>727</v>
      </c>
      <c r="B399" s="2" t="s">
        <v>778</v>
      </c>
      <c r="C399" s="83">
        <v>17930.494560000003</v>
      </c>
      <c r="F399" s="50" t="s">
        <v>732</v>
      </c>
      <c r="G399" s="2" t="s">
        <v>1295</v>
      </c>
      <c r="H399" s="2">
        <v>8520.2954399999999</v>
      </c>
      <c r="I399" s="2">
        <f t="shared" si="24"/>
        <v>168549.52512000009</v>
      </c>
      <c r="J399" s="51">
        <f t="shared" si="25"/>
        <v>5.0550693832770589E-2</v>
      </c>
      <c r="K399" s="2">
        <f t="shared" si="26"/>
        <v>5.0550693832770589E-2</v>
      </c>
      <c r="L399" s="2" t="str">
        <f t="shared" si="27"/>
        <v>A</v>
      </c>
      <c r="M399" s="52"/>
    </row>
    <row r="400" spans="1:13" x14ac:dyDescent="0.3">
      <c r="A400" s="2" t="s">
        <v>727</v>
      </c>
      <c r="B400" s="2" t="s">
        <v>1001</v>
      </c>
      <c r="C400" s="83">
        <v>17594.028880000002</v>
      </c>
      <c r="F400" s="50" t="s">
        <v>733</v>
      </c>
      <c r="G400" s="2" t="s">
        <v>1326</v>
      </c>
      <c r="H400" s="2">
        <v>8366.02</v>
      </c>
      <c r="I400" s="2">
        <f t="shared" si="24"/>
        <v>148898.49549</v>
      </c>
      <c r="J400" s="51">
        <f t="shared" si="25"/>
        <v>5.6186061333049944E-2</v>
      </c>
      <c r="K400" s="2">
        <f t="shared" si="26"/>
        <v>5.6186061333049944E-2</v>
      </c>
      <c r="L400" s="2" t="str">
        <f t="shared" si="27"/>
        <v>A</v>
      </c>
      <c r="M400" s="52"/>
    </row>
    <row r="401" spans="1:13" x14ac:dyDescent="0.3">
      <c r="A401" s="2" t="s">
        <v>727</v>
      </c>
      <c r="B401" s="2" t="s">
        <v>1298</v>
      </c>
      <c r="C401" s="83">
        <v>17540.201120000002</v>
      </c>
      <c r="F401" s="50" t="s">
        <v>729</v>
      </c>
      <c r="G401" s="2" t="s">
        <v>932</v>
      </c>
      <c r="H401" s="2">
        <v>8349.2224200000001</v>
      </c>
      <c r="I401" s="2">
        <f t="shared" si="24"/>
        <v>104961.01701999998</v>
      </c>
      <c r="J401" s="51">
        <f t="shared" si="25"/>
        <v>7.9545936739628606E-2</v>
      </c>
      <c r="K401" s="2">
        <f t="shared" si="26"/>
        <v>7.9545936739628606E-2</v>
      </c>
      <c r="L401" s="2" t="str">
        <f t="shared" si="27"/>
        <v>A</v>
      </c>
      <c r="M401" s="52"/>
    </row>
    <row r="402" spans="1:13" x14ac:dyDescent="0.3">
      <c r="A402" s="2" t="s">
        <v>727</v>
      </c>
      <c r="B402" s="2" t="s">
        <v>1135</v>
      </c>
      <c r="C402" s="83">
        <v>16946.091840000001</v>
      </c>
      <c r="F402" s="50" t="s">
        <v>731</v>
      </c>
      <c r="G402" s="2" t="s">
        <v>866</v>
      </c>
      <c r="H402" s="2">
        <v>8336.8896000000004</v>
      </c>
      <c r="I402" s="2">
        <f t="shared" si="24"/>
        <v>104262.97093000004</v>
      </c>
      <c r="J402" s="51">
        <f t="shared" si="25"/>
        <v>7.9960215267577711E-2</v>
      </c>
      <c r="K402" s="2">
        <f t="shared" si="26"/>
        <v>7.9960215267577711E-2</v>
      </c>
      <c r="L402" s="2" t="str">
        <f t="shared" si="27"/>
        <v>A</v>
      </c>
      <c r="M402" s="52"/>
    </row>
    <row r="403" spans="1:13" x14ac:dyDescent="0.3">
      <c r="A403" s="2" t="s">
        <v>727</v>
      </c>
      <c r="B403" s="2" t="s">
        <v>1205</v>
      </c>
      <c r="C403" s="83">
        <v>15374.563199999999</v>
      </c>
      <c r="F403" s="50" t="s">
        <v>732</v>
      </c>
      <c r="G403" s="2" t="s">
        <v>1206</v>
      </c>
      <c r="H403" s="2">
        <v>8330.2513199999994</v>
      </c>
      <c r="I403" s="2">
        <f t="shared" si="24"/>
        <v>160029.22968000008</v>
      </c>
      <c r="J403" s="51">
        <f t="shared" si="25"/>
        <v>5.2054561136471472E-2</v>
      </c>
      <c r="K403" s="2">
        <f t="shared" si="26"/>
        <v>5.2054561136471472E-2</v>
      </c>
      <c r="L403" s="2" t="str">
        <f t="shared" si="27"/>
        <v>A</v>
      </c>
      <c r="M403" s="52"/>
    </row>
    <row r="404" spans="1:13" x14ac:dyDescent="0.3">
      <c r="A404" s="2" t="s">
        <v>727</v>
      </c>
      <c r="B404" s="2" t="s">
        <v>1111</v>
      </c>
      <c r="C404" s="83">
        <v>15348.702599999999</v>
      </c>
      <c r="F404" s="50" t="s">
        <v>728</v>
      </c>
      <c r="G404" s="2" t="s">
        <v>1258</v>
      </c>
      <c r="H404" s="2">
        <v>8326.6852500000005</v>
      </c>
      <c r="I404" s="2">
        <f t="shared" si="24"/>
        <v>173849.18842999995</v>
      </c>
      <c r="J404" s="51">
        <f t="shared" si="25"/>
        <v>4.7896026005049337E-2</v>
      </c>
      <c r="K404" s="2">
        <f t="shared" si="26"/>
        <v>4.7896026005049337E-2</v>
      </c>
      <c r="L404" s="2" t="str">
        <f t="shared" si="27"/>
        <v>A</v>
      </c>
      <c r="M404" s="52"/>
    </row>
    <row r="405" spans="1:13" x14ac:dyDescent="0.3">
      <c r="A405" s="2" t="s">
        <v>727</v>
      </c>
      <c r="B405" s="2" t="s">
        <v>968</v>
      </c>
      <c r="C405" s="83">
        <v>14269.848599999999</v>
      </c>
      <c r="F405" s="50" t="s">
        <v>729</v>
      </c>
      <c r="G405" s="2" t="s">
        <v>824</v>
      </c>
      <c r="H405" s="2">
        <v>8324.8326000000015</v>
      </c>
      <c r="I405" s="2">
        <f t="shared" si="24"/>
        <v>96611.794599999979</v>
      </c>
      <c r="J405" s="51">
        <f t="shared" si="25"/>
        <v>8.6167870439289029E-2</v>
      </c>
      <c r="K405" s="2">
        <f t="shared" si="26"/>
        <v>8.6167870439289029E-2</v>
      </c>
      <c r="L405" s="2" t="str">
        <f t="shared" si="27"/>
        <v>A</v>
      </c>
      <c r="M405" s="52"/>
    </row>
    <row r="406" spans="1:13" x14ac:dyDescent="0.3">
      <c r="A406" s="2" t="s">
        <v>727</v>
      </c>
      <c r="B406" s="2" t="s">
        <v>820</v>
      </c>
      <c r="C406" s="83">
        <v>14197.064400000001</v>
      </c>
      <c r="F406" s="50" t="s">
        <v>731</v>
      </c>
      <c r="G406" s="2" t="s">
        <v>1242</v>
      </c>
      <c r="H406" s="2">
        <v>8297.4286000000011</v>
      </c>
      <c r="I406" s="2">
        <f t="shared" si="24"/>
        <v>95926.081330000045</v>
      </c>
      <c r="J406" s="51">
        <f t="shared" si="25"/>
        <v>8.6498150294033252E-2</v>
      </c>
      <c r="K406" s="2">
        <f t="shared" si="26"/>
        <v>8.6498150294033252E-2</v>
      </c>
      <c r="L406" s="2" t="str">
        <f t="shared" si="27"/>
        <v>A</v>
      </c>
      <c r="M406" s="52"/>
    </row>
    <row r="407" spans="1:13" x14ac:dyDescent="0.3">
      <c r="A407" s="2" t="s">
        <v>727</v>
      </c>
      <c r="B407" s="2" t="s">
        <v>1358</v>
      </c>
      <c r="C407" s="83">
        <v>13983.752729999998</v>
      </c>
      <c r="F407" s="50" t="s">
        <v>730</v>
      </c>
      <c r="G407" s="2" t="s">
        <v>875</v>
      </c>
      <c r="H407" s="2">
        <v>8211.6342000000004</v>
      </c>
      <c r="I407" s="2">
        <f t="shared" si="24"/>
        <v>133978.45478999999</v>
      </c>
      <c r="J407" s="51">
        <f t="shared" si="25"/>
        <v>6.1290706874258624E-2</v>
      </c>
      <c r="K407" s="2">
        <f t="shared" si="26"/>
        <v>6.1290706874258624E-2</v>
      </c>
      <c r="L407" s="2" t="str">
        <f t="shared" si="27"/>
        <v>A</v>
      </c>
      <c r="M407" s="52"/>
    </row>
    <row r="408" spans="1:13" x14ac:dyDescent="0.3">
      <c r="A408" s="2" t="s">
        <v>727</v>
      </c>
      <c r="B408" s="2" t="s">
        <v>954</v>
      </c>
      <c r="C408" s="83">
        <v>13519.529099999998</v>
      </c>
      <c r="F408" s="50" t="s">
        <v>729</v>
      </c>
      <c r="G408" s="2" t="s">
        <v>996</v>
      </c>
      <c r="H408" s="2">
        <v>8186.057600000001</v>
      </c>
      <c r="I408" s="2">
        <f t="shared" si="24"/>
        <v>88286.961999999985</v>
      </c>
      <c r="J408" s="51">
        <f t="shared" si="25"/>
        <v>9.272102487794294E-2</v>
      </c>
      <c r="K408" s="2">
        <f t="shared" si="26"/>
        <v>9.272102487794294E-2</v>
      </c>
      <c r="L408" s="2" t="str">
        <f t="shared" si="27"/>
        <v>A</v>
      </c>
      <c r="M408" s="52"/>
    </row>
    <row r="409" spans="1:13" x14ac:dyDescent="0.3">
      <c r="A409" s="2" t="s">
        <v>727</v>
      </c>
      <c r="B409" s="2" t="s">
        <v>1131</v>
      </c>
      <c r="C409" s="83">
        <v>13185.543</v>
      </c>
      <c r="F409" s="50" t="s">
        <v>730</v>
      </c>
      <c r="G409" s="2" t="s">
        <v>896</v>
      </c>
      <c r="H409" s="2">
        <v>8154.5511600000009</v>
      </c>
      <c r="I409" s="2">
        <f t="shared" si="24"/>
        <v>125766.82059</v>
      </c>
      <c r="J409" s="51">
        <f t="shared" si="25"/>
        <v>6.4838652370674515E-2</v>
      </c>
      <c r="K409" s="2">
        <f t="shared" si="26"/>
        <v>6.4838652370674515E-2</v>
      </c>
      <c r="L409" s="2" t="str">
        <f t="shared" si="27"/>
        <v>A</v>
      </c>
      <c r="M409" s="52"/>
    </row>
    <row r="410" spans="1:13" x14ac:dyDescent="0.3">
      <c r="A410" s="2" t="s">
        <v>727</v>
      </c>
      <c r="B410" s="2" t="s">
        <v>819</v>
      </c>
      <c r="C410" s="83">
        <v>13146.470699999998</v>
      </c>
      <c r="F410" s="50" t="s">
        <v>727</v>
      </c>
      <c r="G410" s="2" t="s">
        <v>1328</v>
      </c>
      <c r="H410" s="2">
        <v>8128.5187499999993</v>
      </c>
      <c r="I410" s="2">
        <f t="shared" si="24"/>
        <v>141784.72819000002</v>
      </c>
      <c r="J410" s="51">
        <f t="shared" si="25"/>
        <v>5.7330001995047716E-2</v>
      </c>
      <c r="K410" s="2">
        <f t="shared" si="26"/>
        <v>5.7330001995047716E-2</v>
      </c>
      <c r="L410" s="2" t="str">
        <f t="shared" si="27"/>
        <v>A</v>
      </c>
      <c r="M410" s="52"/>
    </row>
    <row r="411" spans="1:13" x14ac:dyDescent="0.3">
      <c r="A411" s="2" t="s">
        <v>727</v>
      </c>
      <c r="B411" s="2" t="s">
        <v>984</v>
      </c>
      <c r="C411" s="83">
        <v>12186.368600000002</v>
      </c>
      <c r="F411" s="50" t="s">
        <v>730</v>
      </c>
      <c r="G411" s="2" t="s">
        <v>1037</v>
      </c>
      <c r="H411" s="2">
        <v>8093.4784</v>
      </c>
      <c r="I411" s="2">
        <f t="shared" si="24"/>
        <v>117612.26943</v>
      </c>
      <c r="J411" s="51">
        <f t="shared" si="25"/>
        <v>6.8814915648039973E-2</v>
      </c>
      <c r="K411" s="2">
        <f t="shared" si="26"/>
        <v>6.8814915648039973E-2</v>
      </c>
      <c r="L411" s="2" t="str">
        <f t="shared" si="27"/>
        <v>A</v>
      </c>
      <c r="M411" s="52"/>
    </row>
    <row r="412" spans="1:13" x14ac:dyDescent="0.3">
      <c r="A412" s="2" t="s">
        <v>727</v>
      </c>
      <c r="B412" s="2" t="s">
        <v>839</v>
      </c>
      <c r="C412" s="83">
        <v>12080.215199999999</v>
      </c>
      <c r="F412" s="50" t="s">
        <v>733</v>
      </c>
      <c r="G412" s="2" t="s">
        <v>1150</v>
      </c>
      <c r="H412" s="2">
        <v>7969.4615000000003</v>
      </c>
      <c r="I412" s="2">
        <f t="shared" si="24"/>
        <v>140532.47549000001</v>
      </c>
      <c r="J412" s="51">
        <f t="shared" si="25"/>
        <v>5.6709038051258764E-2</v>
      </c>
      <c r="K412" s="2">
        <f t="shared" si="26"/>
        <v>5.6709038051258764E-2</v>
      </c>
      <c r="L412" s="2" t="str">
        <f t="shared" si="27"/>
        <v>A</v>
      </c>
      <c r="M412" s="52"/>
    </row>
    <row r="413" spans="1:13" x14ac:dyDescent="0.3">
      <c r="A413" s="2" t="s">
        <v>727</v>
      </c>
      <c r="B413" s="2" t="s">
        <v>771</v>
      </c>
      <c r="C413" s="83">
        <v>11995.153920000001</v>
      </c>
      <c r="F413" s="50" t="s">
        <v>728</v>
      </c>
      <c r="G413" s="2" t="s">
        <v>884</v>
      </c>
      <c r="H413" s="2">
        <v>7901.5041599999995</v>
      </c>
      <c r="I413" s="2">
        <f t="shared" si="24"/>
        <v>165522.50317999997</v>
      </c>
      <c r="J413" s="51">
        <f t="shared" si="25"/>
        <v>4.7736736746950885E-2</v>
      </c>
      <c r="K413" s="2">
        <f t="shared" si="26"/>
        <v>4.7736736746950885E-2</v>
      </c>
      <c r="L413" s="2" t="str">
        <f t="shared" si="27"/>
        <v>A</v>
      </c>
      <c r="M413" s="52"/>
    </row>
    <row r="414" spans="1:13" x14ac:dyDescent="0.3">
      <c r="A414" s="2" t="s">
        <v>727</v>
      </c>
      <c r="B414" s="2" t="s">
        <v>1323</v>
      </c>
      <c r="C414" s="83">
        <v>11742.8703</v>
      </c>
      <c r="F414" s="50" t="s">
        <v>732</v>
      </c>
      <c r="G414" s="2" t="s">
        <v>1190</v>
      </c>
      <c r="H414" s="2">
        <v>7854.6931199999999</v>
      </c>
      <c r="I414" s="2">
        <f t="shared" si="24"/>
        <v>151698.97836000007</v>
      </c>
      <c r="J414" s="51">
        <f t="shared" si="25"/>
        <v>5.1778154374644905E-2</v>
      </c>
      <c r="K414" s="2">
        <f t="shared" si="26"/>
        <v>5.1778154374644905E-2</v>
      </c>
      <c r="L414" s="2" t="str">
        <f t="shared" si="27"/>
        <v>A</v>
      </c>
      <c r="M414" s="52"/>
    </row>
    <row r="415" spans="1:13" x14ac:dyDescent="0.3">
      <c r="A415" s="2" t="s">
        <v>727</v>
      </c>
      <c r="B415" s="2" t="s">
        <v>1023</v>
      </c>
      <c r="C415" s="83">
        <v>10456.416880000001</v>
      </c>
      <c r="F415" s="50" t="s">
        <v>733</v>
      </c>
      <c r="G415" s="2" t="s">
        <v>948</v>
      </c>
      <c r="H415" s="2">
        <v>7854.6693599999999</v>
      </c>
      <c r="I415" s="2">
        <f t="shared" si="24"/>
        <v>132563.01399000004</v>
      </c>
      <c r="J415" s="51">
        <f t="shared" si="25"/>
        <v>5.9252344402734546E-2</v>
      </c>
      <c r="K415" s="2">
        <f t="shared" si="26"/>
        <v>5.9252344402734546E-2</v>
      </c>
      <c r="L415" s="2" t="str">
        <f t="shared" si="27"/>
        <v>A</v>
      </c>
      <c r="M415" s="52"/>
    </row>
    <row r="416" spans="1:13" x14ac:dyDescent="0.3">
      <c r="A416" s="2" t="s">
        <v>727</v>
      </c>
      <c r="B416" s="2" t="s">
        <v>764</v>
      </c>
      <c r="C416" s="83">
        <v>9805.8573800000013</v>
      </c>
      <c r="F416" s="50" t="s">
        <v>727</v>
      </c>
      <c r="G416" s="2" t="s">
        <v>1137</v>
      </c>
      <c r="H416" s="2">
        <v>7832.0010999999995</v>
      </c>
      <c r="I416" s="2">
        <f t="shared" si="24"/>
        <v>133656.20944000004</v>
      </c>
      <c r="J416" s="51">
        <f t="shared" si="25"/>
        <v>5.8598108780841075E-2</v>
      </c>
      <c r="K416" s="2">
        <f t="shared" si="26"/>
        <v>5.8598108780841075E-2</v>
      </c>
      <c r="L416" s="2" t="str">
        <f t="shared" si="27"/>
        <v>A</v>
      </c>
      <c r="M416" s="52"/>
    </row>
    <row r="417" spans="1:13" x14ac:dyDescent="0.3">
      <c r="A417" s="2" t="s">
        <v>727</v>
      </c>
      <c r="B417" s="2" t="s">
        <v>870</v>
      </c>
      <c r="C417" s="83">
        <v>9698.1638399999993</v>
      </c>
      <c r="F417" s="50" t="s">
        <v>729</v>
      </c>
      <c r="G417" s="2" t="s">
        <v>1269</v>
      </c>
      <c r="H417" s="2">
        <v>7823.4472399999995</v>
      </c>
      <c r="I417" s="2">
        <f t="shared" si="24"/>
        <v>80100.904399999985</v>
      </c>
      <c r="J417" s="51">
        <f t="shared" si="25"/>
        <v>9.7669898968082078E-2</v>
      </c>
      <c r="K417" s="2">
        <f t="shared" si="26"/>
        <v>9.7669898968082078E-2</v>
      </c>
      <c r="L417" s="2" t="str">
        <f t="shared" si="27"/>
        <v>A</v>
      </c>
      <c r="M417" s="52"/>
    </row>
    <row r="418" spans="1:13" x14ac:dyDescent="0.3">
      <c r="A418" s="2" t="s">
        <v>727</v>
      </c>
      <c r="B418" s="2" t="s">
        <v>803</v>
      </c>
      <c r="C418" s="83">
        <v>8930.7124999999996</v>
      </c>
      <c r="F418" s="50" t="s">
        <v>732</v>
      </c>
      <c r="G418" s="2" t="s">
        <v>950</v>
      </c>
      <c r="H418" s="2">
        <v>7738.9596900000006</v>
      </c>
      <c r="I418" s="2">
        <f t="shared" si="24"/>
        <v>143844.28524000006</v>
      </c>
      <c r="J418" s="51">
        <f t="shared" si="25"/>
        <v>5.3800953420483605E-2</v>
      </c>
      <c r="K418" s="2">
        <f t="shared" si="26"/>
        <v>5.3800953420483605E-2</v>
      </c>
      <c r="L418" s="2" t="str">
        <f t="shared" si="27"/>
        <v>A</v>
      </c>
      <c r="M418" s="52"/>
    </row>
    <row r="419" spans="1:13" x14ac:dyDescent="0.3">
      <c r="A419" s="2" t="s">
        <v>727</v>
      </c>
      <c r="B419" s="2" t="s">
        <v>905</v>
      </c>
      <c r="C419" s="83">
        <v>8928.9795999999988</v>
      </c>
      <c r="F419" s="50" t="s">
        <v>732</v>
      </c>
      <c r="G419" s="2" t="s">
        <v>864</v>
      </c>
      <c r="H419" s="2">
        <v>7703.8640800000003</v>
      </c>
      <c r="I419" s="2">
        <f t="shared" si="24"/>
        <v>136105.32555000004</v>
      </c>
      <c r="J419" s="51">
        <f t="shared" si="25"/>
        <v>5.6602223673972898E-2</v>
      </c>
      <c r="K419" s="2">
        <f t="shared" si="26"/>
        <v>0.1104031770944565</v>
      </c>
      <c r="L419" s="2" t="str">
        <f t="shared" si="27"/>
        <v>A</v>
      </c>
      <c r="M419" s="52"/>
    </row>
    <row r="420" spans="1:13" x14ac:dyDescent="0.3">
      <c r="A420" s="2" t="s">
        <v>727</v>
      </c>
      <c r="B420" s="2" t="s">
        <v>859</v>
      </c>
      <c r="C420" s="83">
        <v>8909.8587200000002</v>
      </c>
      <c r="F420" s="50" t="s">
        <v>733</v>
      </c>
      <c r="G420" s="2" t="s">
        <v>916</v>
      </c>
      <c r="H420" s="2">
        <v>7689.4560000000001</v>
      </c>
      <c r="I420" s="2">
        <f t="shared" si="24"/>
        <v>124708.34463000001</v>
      </c>
      <c r="J420" s="51">
        <f t="shared" si="25"/>
        <v>6.1659514628423784E-2</v>
      </c>
      <c r="K420" s="2">
        <f t="shared" si="26"/>
        <v>6.1659514628423784E-2</v>
      </c>
      <c r="L420" s="2" t="str">
        <f t="shared" si="27"/>
        <v>A</v>
      </c>
      <c r="M420" s="52"/>
    </row>
    <row r="421" spans="1:13" x14ac:dyDescent="0.3">
      <c r="A421" s="2" t="s">
        <v>727</v>
      </c>
      <c r="B421" s="2" t="s">
        <v>1028</v>
      </c>
      <c r="C421" s="83">
        <v>8903.4839999999986</v>
      </c>
      <c r="F421" s="50" t="s">
        <v>728</v>
      </c>
      <c r="G421" s="2" t="s">
        <v>1003</v>
      </c>
      <c r="H421" s="2">
        <v>7678.2113999999992</v>
      </c>
      <c r="I421" s="2">
        <f t="shared" si="24"/>
        <v>157620.99901999999</v>
      </c>
      <c r="J421" s="51">
        <f t="shared" si="25"/>
        <v>4.8713124823081072E-2</v>
      </c>
      <c r="K421" s="2">
        <f t="shared" si="26"/>
        <v>4.8713124823081072E-2</v>
      </c>
      <c r="L421" s="2" t="str">
        <f t="shared" si="27"/>
        <v>A</v>
      </c>
      <c r="M421" s="52"/>
    </row>
    <row r="422" spans="1:13" x14ac:dyDescent="0.3">
      <c r="A422" s="2" t="s">
        <v>727</v>
      </c>
      <c r="B422" s="2" t="s">
        <v>1049</v>
      </c>
      <c r="C422" s="83">
        <v>8780.5809000000008</v>
      </c>
      <c r="F422" s="50" t="s">
        <v>731</v>
      </c>
      <c r="G422" s="2" t="s">
        <v>1191</v>
      </c>
      <c r="H422" s="2">
        <v>7643.2649999999994</v>
      </c>
      <c r="I422" s="2">
        <f t="shared" si="24"/>
        <v>87628.652730000045</v>
      </c>
      <c r="J422" s="51">
        <f t="shared" si="25"/>
        <v>8.7223354027252953E-2</v>
      </c>
      <c r="K422" s="2">
        <f t="shared" si="26"/>
        <v>8.7223354027252953E-2</v>
      </c>
      <c r="L422" s="2" t="str">
        <f t="shared" si="27"/>
        <v>A</v>
      </c>
      <c r="M422" s="52"/>
    </row>
    <row r="423" spans="1:13" x14ac:dyDescent="0.3">
      <c r="A423" s="2" t="s">
        <v>727</v>
      </c>
      <c r="B423" s="2" t="s">
        <v>1328</v>
      </c>
      <c r="C423" s="83">
        <v>8128.5187499999993</v>
      </c>
      <c r="F423" s="50" t="s">
        <v>733</v>
      </c>
      <c r="G423" s="2" t="s">
        <v>748</v>
      </c>
      <c r="H423" s="2">
        <v>7578.84</v>
      </c>
      <c r="I423" s="2">
        <f t="shared" si="24"/>
        <v>117018.88863000003</v>
      </c>
      <c r="J423" s="51">
        <f t="shared" si="25"/>
        <v>6.4765954357705463E-2</v>
      </c>
      <c r="K423" s="2">
        <f t="shared" si="26"/>
        <v>6.4765954357705463E-2</v>
      </c>
      <c r="L423" s="2" t="str">
        <f t="shared" si="27"/>
        <v>A</v>
      </c>
      <c r="M423" s="52"/>
    </row>
    <row r="424" spans="1:13" x14ac:dyDescent="0.3">
      <c r="A424" s="2" t="s">
        <v>727</v>
      </c>
      <c r="B424" s="2" t="s">
        <v>1137</v>
      </c>
      <c r="C424" s="83">
        <v>7832.0010999999995</v>
      </c>
      <c r="F424" s="50" t="s">
        <v>733</v>
      </c>
      <c r="G424" s="2" t="s">
        <v>993</v>
      </c>
      <c r="H424" s="2">
        <v>7568.9632000000001</v>
      </c>
      <c r="I424" s="2">
        <f t="shared" si="24"/>
        <v>109440.04863000002</v>
      </c>
      <c r="J424" s="51">
        <f t="shared" si="25"/>
        <v>6.9160817221394902E-2</v>
      </c>
      <c r="K424" s="2">
        <f t="shared" si="26"/>
        <v>0.13392677157910038</v>
      </c>
      <c r="L424" s="2" t="str">
        <f t="shared" si="27"/>
        <v>A</v>
      </c>
      <c r="M424" s="52"/>
    </row>
    <row r="425" spans="1:13" x14ac:dyDescent="0.3">
      <c r="A425" s="2" t="s">
        <v>727</v>
      </c>
      <c r="B425" s="2" t="s">
        <v>1253</v>
      </c>
      <c r="C425" s="83">
        <v>7399.4832000000006</v>
      </c>
      <c r="F425" s="50" t="s">
        <v>733</v>
      </c>
      <c r="G425" s="2" t="s">
        <v>1225</v>
      </c>
      <c r="H425" s="2">
        <v>7507.4514899999995</v>
      </c>
      <c r="I425" s="2">
        <f t="shared" si="24"/>
        <v>101871.08543000002</v>
      </c>
      <c r="J425" s="51">
        <f t="shared" si="25"/>
        <v>7.3695607132395688E-2</v>
      </c>
      <c r="K425" s="2">
        <f t="shared" si="26"/>
        <v>0.20762237871149608</v>
      </c>
      <c r="L425" s="2" t="str">
        <f t="shared" si="27"/>
        <v>A</v>
      </c>
      <c r="M425" s="52"/>
    </row>
    <row r="426" spans="1:13" x14ac:dyDescent="0.3">
      <c r="A426" s="2" t="s">
        <v>727</v>
      </c>
      <c r="B426" s="2" t="s">
        <v>1170</v>
      </c>
      <c r="C426" s="83">
        <v>7340.3891399999993</v>
      </c>
      <c r="F426" s="50" t="s">
        <v>729</v>
      </c>
      <c r="G426" s="2" t="s">
        <v>1055</v>
      </c>
      <c r="H426" s="2">
        <v>7493.1076000000012</v>
      </c>
      <c r="I426" s="2">
        <f t="shared" si="24"/>
        <v>72277.457160000005</v>
      </c>
      <c r="J426" s="51">
        <f t="shared" si="25"/>
        <v>0.10367143358976466</v>
      </c>
      <c r="K426" s="2">
        <f t="shared" si="26"/>
        <v>0.10367143358976466</v>
      </c>
      <c r="L426" s="2" t="str">
        <f t="shared" si="27"/>
        <v>A</v>
      </c>
      <c r="M426" s="52"/>
    </row>
    <row r="427" spans="1:13" x14ac:dyDescent="0.3">
      <c r="A427" s="2" t="s">
        <v>727</v>
      </c>
      <c r="B427" s="2" t="s">
        <v>809</v>
      </c>
      <c r="C427" s="83">
        <v>6874.4828600000001</v>
      </c>
      <c r="F427" s="50" t="s">
        <v>728</v>
      </c>
      <c r="G427" s="2" t="s">
        <v>1333</v>
      </c>
      <c r="H427" s="2">
        <v>7466.3063999999986</v>
      </c>
      <c r="I427" s="2">
        <f t="shared" si="24"/>
        <v>149942.78762000002</v>
      </c>
      <c r="J427" s="51">
        <f t="shared" si="25"/>
        <v>4.9794368362163957E-2</v>
      </c>
      <c r="K427" s="2">
        <f t="shared" si="26"/>
        <v>4.9794368362163957E-2</v>
      </c>
      <c r="L427" s="2" t="str">
        <f t="shared" si="27"/>
        <v>A</v>
      </c>
      <c r="M427" s="52"/>
    </row>
    <row r="428" spans="1:13" x14ac:dyDescent="0.3">
      <c r="A428" s="2" t="s">
        <v>727</v>
      </c>
      <c r="B428" s="2" t="s">
        <v>1293</v>
      </c>
      <c r="C428" s="83">
        <v>6766.9829999999993</v>
      </c>
      <c r="F428" s="50" t="s">
        <v>728</v>
      </c>
      <c r="G428" s="2" t="s">
        <v>963</v>
      </c>
      <c r="H428" s="2">
        <v>7446.5209000000004</v>
      </c>
      <c r="I428" s="2">
        <f t="shared" si="24"/>
        <v>142476.48122000005</v>
      </c>
      <c r="J428" s="51">
        <f t="shared" si="25"/>
        <v>5.226491303151793E-2</v>
      </c>
      <c r="K428" s="2">
        <f t="shared" si="26"/>
        <v>0.10205928139368189</v>
      </c>
      <c r="L428" s="2" t="str">
        <f t="shared" si="27"/>
        <v>A</v>
      </c>
      <c r="M428" s="52"/>
    </row>
    <row r="429" spans="1:13" x14ac:dyDescent="0.3">
      <c r="A429" s="2" t="s">
        <v>727</v>
      </c>
      <c r="B429" s="2" t="s">
        <v>940</v>
      </c>
      <c r="C429" s="83">
        <v>6702.3501999999999</v>
      </c>
      <c r="F429" s="50" t="s">
        <v>730</v>
      </c>
      <c r="G429" s="2" t="s">
        <v>1234</v>
      </c>
      <c r="H429" s="2">
        <v>7428.1108999999988</v>
      </c>
      <c r="I429" s="2">
        <f t="shared" si="24"/>
        <v>109518.79103000001</v>
      </c>
      <c r="J429" s="51">
        <f t="shared" si="25"/>
        <v>6.7824989941363115E-2</v>
      </c>
      <c r="K429" s="2">
        <f t="shared" si="26"/>
        <v>6.7824989941363115E-2</v>
      </c>
      <c r="L429" s="2" t="str">
        <f t="shared" si="27"/>
        <v>A</v>
      </c>
      <c r="M429" s="52"/>
    </row>
    <row r="430" spans="1:13" x14ac:dyDescent="0.3">
      <c r="A430" s="2" t="s">
        <v>727</v>
      </c>
      <c r="B430" s="2" t="s">
        <v>1224</v>
      </c>
      <c r="C430" s="83">
        <v>6664.0999999999995</v>
      </c>
      <c r="F430" s="50" t="s">
        <v>727</v>
      </c>
      <c r="G430" s="2" t="s">
        <v>1253</v>
      </c>
      <c r="H430" s="2">
        <v>7399.4832000000006</v>
      </c>
      <c r="I430" s="2">
        <f t="shared" si="24"/>
        <v>125824.20834000004</v>
      </c>
      <c r="J430" s="51">
        <f t="shared" si="25"/>
        <v>5.8808104558108899E-2</v>
      </c>
      <c r="K430" s="2">
        <f t="shared" si="26"/>
        <v>5.8808104558108899E-2</v>
      </c>
      <c r="L430" s="2" t="str">
        <f t="shared" si="27"/>
        <v>A</v>
      </c>
      <c r="M430" s="52"/>
    </row>
    <row r="431" spans="1:13" x14ac:dyDescent="0.3">
      <c r="A431" s="2" t="s">
        <v>727</v>
      </c>
      <c r="B431" s="2" t="s">
        <v>1257</v>
      </c>
      <c r="C431" s="83">
        <v>6435.2555999999995</v>
      </c>
      <c r="F431" s="50" t="s">
        <v>733</v>
      </c>
      <c r="G431" s="2" t="s">
        <v>1027</v>
      </c>
      <c r="H431" s="2">
        <v>7382.1450000000004</v>
      </c>
      <c r="I431" s="2">
        <f t="shared" si="24"/>
        <v>94363.633940000014</v>
      </c>
      <c r="J431" s="51">
        <f t="shared" si="25"/>
        <v>7.8230825708703086E-2</v>
      </c>
      <c r="K431" s="2">
        <f t="shared" si="26"/>
        <v>7.8230825708703086E-2</v>
      </c>
      <c r="L431" s="2" t="str">
        <f t="shared" si="27"/>
        <v>A</v>
      </c>
      <c r="M431" s="52"/>
    </row>
    <row r="432" spans="1:13" x14ac:dyDescent="0.3">
      <c r="A432" s="2" t="s">
        <v>727</v>
      </c>
      <c r="B432" s="2" t="s">
        <v>835</v>
      </c>
      <c r="C432" s="83">
        <v>6324.5775999999996</v>
      </c>
      <c r="F432" s="50" t="s">
        <v>727</v>
      </c>
      <c r="G432" s="2" t="s">
        <v>1170</v>
      </c>
      <c r="H432" s="2">
        <v>7340.3891399999993</v>
      </c>
      <c r="I432" s="2">
        <f t="shared" si="24"/>
        <v>118424.72514000005</v>
      </c>
      <c r="J432" s="51">
        <f t="shared" si="25"/>
        <v>6.1983586040181171E-2</v>
      </c>
      <c r="K432" s="2">
        <f t="shared" si="26"/>
        <v>6.1983586040181171E-2</v>
      </c>
      <c r="L432" s="2" t="str">
        <f t="shared" si="27"/>
        <v>A</v>
      </c>
      <c r="M432" s="52"/>
    </row>
    <row r="433" spans="1:13" x14ac:dyDescent="0.3">
      <c r="A433" s="2" t="s">
        <v>727</v>
      </c>
      <c r="B433" s="2" t="s">
        <v>1313</v>
      </c>
      <c r="C433" s="83">
        <v>6137.8019999999988</v>
      </c>
      <c r="F433" s="50" t="s">
        <v>732</v>
      </c>
      <c r="G433" s="2" t="s">
        <v>1097</v>
      </c>
      <c r="H433" s="2">
        <v>7327.9533600000004</v>
      </c>
      <c r="I433" s="2">
        <f t="shared" si="24"/>
        <v>128401.46147000001</v>
      </c>
      <c r="J433" s="51">
        <f t="shared" si="25"/>
        <v>5.7070638263039701E-2</v>
      </c>
      <c r="K433" s="2">
        <f t="shared" si="26"/>
        <v>5.7070638263039701E-2</v>
      </c>
      <c r="L433" s="2" t="str">
        <f t="shared" si="27"/>
        <v>A</v>
      </c>
      <c r="M433" s="52"/>
    </row>
    <row r="434" spans="1:13" x14ac:dyDescent="0.3">
      <c r="A434" s="2" t="s">
        <v>727</v>
      </c>
      <c r="B434" s="2" t="s">
        <v>1218</v>
      </c>
      <c r="C434" s="83">
        <v>6063.2517199999993</v>
      </c>
      <c r="F434" s="50" t="s">
        <v>733</v>
      </c>
      <c r="G434" s="2" t="s">
        <v>1004</v>
      </c>
      <c r="H434" s="2">
        <v>7235.2134999999998</v>
      </c>
      <c r="I434" s="2">
        <f t="shared" si="24"/>
        <v>86981.488940000025</v>
      </c>
      <c r="J434" s="51">
        <f t="shared" si="25"/>
        <v>8.3181072066849326E-2</v>
      </c>
      <c r="K434" s="2">
        <f t="shared" si="26"/>
        <v>8.3181072066849326E-2</v>
      </c>
      <c r="L434" s="2" t="str">
        <f t="shared" si="27"/>
        <v>A</v>
      </c>
      <c r="M434" s="52"/>
    </row>
    <row r="435" spans="1:13" x14ac:dyDescent="0.3">
      <c r="A435" s="2" t="s">
        <v>727</v>
      </c>
      <c r="B435" s="2" t="s">
        <v>895</v>
      </c>
      <c r="C435" s="83">
        <v>5650.1744000000008</v>
      </c>
      <c r="F435" s="50" t="s">
        <v>729</v>
      </c>
      <c r="G435" s="2" t="s">
        <v>890</v>
      </c>
      <c r="H435" s="2">
        <v>7203.8047000000006</v>
      </c>
      <c r="I435" s="2">
        <f t="shared" si="24"/>
        <v>64784.34956000001</v>
      </c>
      <c r="J435" s="51">
        <f t="shared" si="25"/>
        <v>0.11119668174376279</v>
      </c>
      <c r="K435" s="2">
        <f t="shared" si="26"/>
        <v>0.11119668174376279</v>
      </c>
      <c r="L435" s="2" t="str">
        <f t="shared" si="27"/>
        <v>A</v>
      </c>
      <c r="M435" s="52"/>
    </row>
    <row r="436" spans="1:13" x14ac:dyDescent="0.3">
      <c r="A436" s="2" t="s">
        <v>727</v>
      </c>
      <c r="B436" s="2" t="s">
        <v>816</v>
      </c>
      <c r="C436" s="83">
        <v>5331.6696000000002</v>
      </c>
      <c r="F436" s="50" t="s">
        <v>730</v>
      </c>
      <c r="G436" s="2" t="s">
        <v>1312</v>
      </c>
      <c r="H436" s="2">
        <v>7173.3342799999991</v>
      </c>
      <c r="I436" s="2">
        <f t="shared" si="24"/>
        <v>102090.68013000001</v>
      </c>
      <c r="J436" s="51">
        <f t="shared" si="25"/>
        <v>7.0264340200943257E-2</v>
      </c>
      <c r="K436" s="2">
        <f t="shared" si="26"/>
        <v>7.0264340200943257E-2</v>
      </c>
      <c r="L436" s="2" t="str">
        <f t="shared" si="27"/>
        <v>A</v>
      </c>
      <c r="M436" s="52"/>
    </row>
    <row r="437" spans="1:13" x14ac:dyDescent="0.3">
      <c r="A437" s="2" t="s">
        <v>727</v>
      </c>
      <c r="B437" s="2" t="s">
        <v>746</v>
      </c>
      <c r="C437" s="83">
        <v>4968.5039999999999</v>
      </c>
      <c r="F437" s="50" t="s">
        <v>728</v>
      </c>
      <c r="G437" s="2" t="s">
        <v>780</v>
      </c>
      <c r="H437" s="2">
        <v>7135.57</v>
      </c>
      <c r="I437" s="2">
        <f t="shared" si="24"/>
        <v>135029.96032000007</v>
      </c>
      <c r="J437" s="51">
        <f t="shared" si="25"/>
        <v>5.2844346418304537E-2</v>
      </c>
      <c r="K437" s="2">
        <f t="shared" si="26"/>
        <v>5.2844346418304537E-2</v>
      </c>
      <c r="L437" s="2" t="str">
        <f t="shared" si="27"/>
        <v>A</v>
      </c>
      <c r="M437" s="52"/>
    </row>
    <row r="438" spans="1:13" x14ac:dyDescent="0.3">
      <c r="A438" s="2" t="s">
        <v>727</v>
      </c>
      <c r="B438" s="2" t="s">
        <v>734</v>
      </c>
      <c r="C438" s="83">
        <v>4866.3287999999993</v>
      </c>
      <c r="F438" s="50" t="s">
        <v>732</v>
      </c>
      <c r="G438" s="2" t="s">
        <v>1005</v>
      </c>
      <c r="H438" s="2">
        <v>7120.6486400000003</v>
      </c>
      <c r="I438" s="2">
        <f t="shared" si="24"/>
        <v>121073.50811000001</v>
      </c>
      <c r="J438" s="51">
        <f t="shared" si="25"/>
        <v>5.8812606912575893E-2</v>
      </c>
      <c r="K438" s="2">
        <f t="shared" si="26"/>
        <v>5.8812606912575893E-2</v>
      </c>
      <c r="L438" s="2" t="str">
        <f t="shared" si="27"/>
        <v>A</v>
      </c>
      <c r="M438" s="52"/>
    </row>
    <row r="439" spans="1:13" x14ac:dyDescent="0.3">
      <c r="A439" s="2" t="s">
        <v>727</v>
      </c>
      <c r="B439" s="2" t="s">
        <v>808</v>
      </c>
      <c r="C439" s="83">
        <v>4717.72</v>
      </c>
      <c r="F439" s="50" t="s">
        <v>733</v>
      </c>
      <c r="G439" s="2" t="s">
        <v>1066</v>
      </c>
      <c r="H439" s="2">
        <v>7105.3528000000006</v>
      </c>
      <c r="I439" s="2">
        <f t="shared" si="24"/>
        <v>79746.275440000027</v>
      </c>
      <c r="J439" s="51">
        <f t="shared" si="25"/>
        <v>8.9099494124286319E-2</v>
      </c>
      <c r="K439" s="2">
        <f t="shared" si="26"/>
        <v>8.9099494124286319E-2</v>
      </c>
      <c r="L439" s="2" t="str">
        <f t="shared" si="27"/>
        <v>A</v>
      </c>
      <c r="M439" s="52"/>
    </row>
    <row r="440" spans="1:13" x14ac:dyDescent="0.3">
      <c r="A440" s="2" t="s">
        <v>727</v>
      </c>
      <c r="B440" s="2" t="s">
        <v>956</v>
      </c>
      <c r="C440" s="83">
        <v>4503.4363999999996</v>
      </c>
      <c r="F440" s="50" t="s">
        <v>732</v>
      </c>
      <c r="G440" s="2" t="s">
        <v>912</v>
      </c>
      <c r="H440" s="2">
        <v>7098.5495999999994</v>
      </c>
      <c r="I440" s="2">
        <f t="shared" si="24"/>
        <v>113952.85947</v>
      </c>
      <c r="J440" s="51">
        <f t="shared" si="25"/>
        <v>6.2293738244179928E-2</v>
      </c>
      <c r="K440" s="2">
        <f t="shared" si="26"/>
        <v>6.2293738244179928E-2</v>
      </c>
      <c r="L440" s="2" t="str">
        <f t="shared" si="27"/>
        <v>A</v>
      </c>
      <c r="M440" s="52"/>
    </row>
    <row r="441" spans="1:13" x14ac:dyDescent="0.3">
      <c r="A441" s="2" t="s">
        <v>727</v>
      </c>
      <c r="B441" s="2" t="s">
        <v>1210</v>
      </c>
      <c r="C441" s="83">
        <v>4212.3745999999992</v>
      </c>
      <c r="F441" s="50" t="s">
        <v>731</v>
      </c>
      <c r="G441" s="2" t="s">
        <v>749</v>
      </c>
      <c r="H441" s="2">
        <v>7090.5672000000004</v>
      </c>
      <c r="I441" s="2">
        <f t="shared" si="24"/>
        <v>79985.387730000031</v>
      </c>
      <c r="J441" s="51">
        <f t="shared" si="25"/>
        <v>8.8648281907878393E-2</v>
      </c>
      <c r="K441" s="2">
        <f t="shared" si="26"/>
        <v>8.8648281907878393E-2</v>
      </c>
      <c r="L441" s="2" t="str">
        <f t="shared" si="27"/>
        <v>A</v>
      </c>
      <c r="M441" s="52"/>
    </row>
    <row r="442" spans="1:13" x14ac:dyDescent="0.3">
      <c r="A442" s="2" t="s">
        <v>727</v>
      </c>
      <c r="B442" s="2" t="s">
        <v>1244</v>
      </c>
      <c r="C442" s="83">
        <v>3525.5505600000001</v>
      </c>
      <c r="F442" s="50" t="s">
        <v>731</v>
      </c>
      <c r="G442" s="2" t="s">
        <v>1337</v>
      </c>
      <c r="H442" s="2">
        <v>7071.6331400000008</v>
      </c>
      <c r="I442" s="2">
        <f t="shared" si="24"/>
        <v>72894.820530000026</v>
      </c>
      <c r="J442" s="51">
        <f t="shared" si="25"/>
        <v>9.7011462386270009E-2</v>
      </c>
      <c r="K442" s="2">
        <f t="shared" si="26"/>
        <v>0.18565974429414839</v>
      </c>
      <c r="L442" s="2" t="str">
        <f t="shared" si="27"/>
        <v>A</v>
      </c>
      <c r="M442" s="52"/>
    </row>
    <row r="443" spans="1:13" x14ac:dyDescent="0.3">
      <c r="A443" s="2" t="s">
        <v>727</v>
      </c>
      <c r="B443" s="2" t="s">
        <v>1302</v>
      </c>
      <c r="C443" s="83">
        <v>3378.1478400000001</v>
      </c>
      <c r="F443" s="50" t="s">
        <v>728</v>
      </c>
      <c r="G443" s="2" t="s">
        <v>946</v>
      </c>
      <c r="H443" s="2">
        <v>6984.8246399999998</v>
      </c>
      <c r="I443" s="2">
        <f t="shared" si="24"/>
        <v>127894.39032000005</v>
      </c>
      <c r="J443" s="51">
        <f t="shared" si="25"/>
        <v>5.4614003182809789E-2</v>
      </c>
      <c r="K443" s="2">
        <f t="shared" si="26"/>
        <v>5.4614003182809789E-2</v>
      </c>
      <c r="L443" s="2" t="str">
        <f t="shared" si="27"/>
        <v>A</v>
      </c>
      <c r="M443" s="52"/>
    </row>
    <row r="444" spans="1:13" x14ac:dyDescent="0.3">
      <c r="A444" s="2" t="s">
        <v>727</v>
      </c>
      <c r="B444" s="2" t="s">
        <v>1060</v>
      </c>
      <c r="C444" s="83">
        <v>2373.9623200000001</v>
      </c>
      <c r="F444" s="50" t="s">
        <v>730</v>
      </c>
      <c r="G444" s="2" t="s">
        <v>1002</v>
      </c>
      <c r="H444" s="2">
        <v>6946.8</v>
      </c>
      <c r="I444" s="2">
        <f t="shared" si="24"/>
        <v>94917.345849999998</v>
      </c>
      <c r="J444" s="51">
        <f t="shared" si="25"/>
        <v>7.3187887185322098E-2</v>
      </c>
      <c r="K444" s="2">
        <f t="shared" si="26"/>
        <v>7.3187887185322098E-2</v>
      </c>
      <c r="L444" s="2" t="str">
        <f t="shared" si="27"/>
        <v>A</v>
      </c>
      <c r="M444" s="52"/>
    </row>
    <row r="445" spans="1:13" x14ac:dyDescent="0.3">
      <c r="A445" s="2" t="s">
        <v>727</v>
      </c>
      <c r="B445" s="2" t="s">
        <v>903</v>
      </c>
      <c r="C445" s="83">
        <v>2316.2621999999997</v>
      </c>
      <c r="F445" s="50" t="s">
        <v>728</v>
      </c>
      <c r="G445" s="2" t="s">
        <v>1144</v>
      </c>
      <c r="H445" s="2">
        <v>6899.8804600000003</v>
      </c>
      <c r="I445" s="2">
        <f t="shared" si="24"/>
        <v>120909.56568000004</v>
      </c>
      <c r="J445" s="51">
        <f t="shared" si="25"/>
        <v>5.7066456414716298E-2</v>
      </c>
      <c r="K445" s="2">
        <f t="shared" si="26"/>
        <v>5.7066456414716298E-2</v>
      </c>
      <c r="L445" s="2" t="str">
        <f t="shared" si="27"/>
        <v>A</v>
      </c>
      <c r="M445" s="52"/>
    </row>
    <row r="446" spans="1:13" x14ac:dyDescent="0.3">
      <c r="A446" s="2" t="s">
        <v>727</v>
      </c>
      <c r="B446" s="2" t="s">
        <v>1341</v>
      </c>
      <c r="C446" s="83">
        <v>2077.46</v>
      </c>
      <c r="F446" s="50" t="s">
        <v>727</v>
      </c>
      <c r="G446" s="2" t="s">
        <v>809</v>
      </c>
      <c r="H446" s="2">
        <v>6874.4828600000001</v>
      </c>
      <c r="I446" s="2">
        <f t="shared" si="24"/>
        <v>111084.33600000005</v>
      </c>
      <c r="J446" s="51">
        <f t="shared" si="25"/>
        <v>6.1885258602076866E-2</v>
      </c>
      <c r="K446" s="2">
        <f t="shared" si="26"/>
        <v>6.1885258602076866E-2</v>
      </c>
      <c r="L446" s="2" t="str">
        <f t="shared" si="27"/>
        <v>A</v>
      </c>
      <c r="M446" s="52"/>
    </row>
    <row r="447" spans="1:13" x14ac:dyDescent="0.3">
      <c r="A447" s="2" t="s">
        <v>727</v>
      </c>
      <c r="B447" s="2" t="s">
        <v>858</v>
      </c>
      <c r="C447" s="83">
        <v>2072.9258400000003</v>
      </c>
      <c r="F447" s="50" t="s">
        <v>732</v>
      </c>
      <c r="G447" s="2" t="s">
        <v>902</v>
      </c>
      <c r="H447" s="2">
        <v>6824.2884000000004</v>
      </c>
      <c r="I447" s="2">
        <f t="shared" si="24"/>
        <v>106854.30987</v>
      </c>
      <c r="J447" s="51">
        <f t="shared" si="25"/>
        <v>6.3865354689974577E-2</v>
      </c>
      <c r="K447" s="2">
        <f t="shared" si="26"/>
        <v>6.3865354689974577E-2</v>
      </c>
      <c r="L447" s="2" t="str">
        <f t="shared" si="27"/>
        <v>A</v>
      </c>
      <c r="M447" s="52"/>
    </row>
    <row r="448" spans="1:13" x14ac:dyDescent="0.3">
      <c r="A448" s="2" t="s">
        <v>727</v>
      </c>
      <c r="B448" s="2" t="s">
        <v>1197</v>
      </c>
      <c r="C448" s="83">
        <v>1808.04592</v>
      </c>
      <c r="F448" s="50" t="s">
        <v>727</v>
      </c>
      <c r="G448" s="2" t="s">
        <v>1293</v>
      </c>
      <c r="H448" s="2">
        <v>6766.9829999999993</v>
      </c>
      <c r="I448" s="2">
        <f t="shared" si="24"/>
        <v>104209.85314000006</v>
      </c>
      <c r="J448" s="51">
        <f t="shared" si="25"/>
        <v>6.4936114926761671E-2</v>
      </c>
      <c r="K448" s="2">
        <f t="shared" si="26"/>
        <v>6.4936114926761671E-2</v>
      </c>
      <c r="L448" s="2" t="str">
        <f t="shared" si="27"/>
        <v>A</v>
      </c>
      <c r="M448" s="52"/>
    </row>
    <row r="449" spans="1:13" x14ac:dyDescent="0.3">
      <c r="A449" s="2" t="s">
        <v>727</v>
      </c>
      <c r="B449" s="2" t="s">
        <v>1193</v>
      </c>
      <c r="C449" s="83">
        <v>1662.6945600000001</v>
      </c>
      <c r="F449" s="50" t="s">
        <v>733</v>
      </c>
      <c r="G449" s="2" t="s">
        <v>1310</v>
      </c>
      <c r="H449" s="2">
        <v>6732.4334000000008</v>
      </c>
      <c r="I449" s="2">
        <f t="shared" si="24"/>
        <v>72640.922640000019</v>
      </c>
      <c r="J449" s="51">
        <f t="shared" si="25"/>
        <v>9.2681000671827357E-2</v>
      </c>
      <c r="K449" s="2">
        <f t="shared" si="26"/>
        <v>9.2681000671827357E-2</v>
      </c>
      <c r="L449" s="2" t="str">
        <f t="shared" si="27"/>
        <v>A</v>
      </c>
      <c r="M449" s="52"/>
    </row>
    <row r="450" spans="1:13" x14ac:dyDescent="0.3">
      <c r="A450" s="2" t="s">
        <v>727</v>
      </c>
      <c r="B450" s="2" t="s">
        <v>821</v>
      </c>
      <c r="C450" s="83">
        <v>1654.8966000000003</v>
      </c>
      <c r="F450" s="50" t="s">
        <v>727</v>
      </c>
      <c r="G450" s="2" t="s">
        <v>940</v>
      </c>
      <c r="H450" s="2">
        <v>6702.3501999999999</v>
      </c>
      <c r="I450" s="2">
        <f t="shared" si="24"/>
        <v>97442.870140000057</v>
      </c>
      <c r="J450" s="51">
        <f t="shared" si="25"/>
        <v>6.8782356167983005E-2</v>
      </c>
      <c r="K450" s="2">
        <f t="shared" si="26"/>
        <v>6.8782356167983005E-2</v>
      </c>
      <c r="L450" s="2" t="str">
        <f t="shared" si="27"/>
        <v>A</v>
      </c>
      <c r="M450" s="52"/>
    </row>
    <row r="451" spans="1:13" x14ac:dyDescent="0.3">
      <c r="A451" s="2" t="s">
        <v>727</v>
      </c>
      <c r="B451" s="2" t="s">
        <v>1252</v>
      </c>
      <c r="C451" s="83">
        <v>855.72881999999993</v>
      </c>
      <c r="F451" s="50" t="s">
        <v>730</v>
      </c>
      <c r="G451" s="2" t="s">
        <v>972</v>
      </c>
      <c r="H451" s="2">
        <v>6684.1875</v>
      </c>
      <c r="I451" s="2">
        <f t="shared" si="24"/>
        <v>87970.545849999995</v>
      </c>
      <c r="J451" s="51">
        <f t="shared" si="25"/>
        <v>7.5982107822740091E-2</v>
      </c>
      <c r="K451" s="2">
        <f t="shared" si="26"/>
        <v>7.5982107822740091E-2</v>
      </c>
      <c r="L451" s="2" t="str">
        <f t="shared" si="27"/>
        <v>A</v>
      </c>
      <c r="M451" s="52"/>
    </row>
    <row r="452" spans="1:13" x14ac:dyDescent="0.3">
      <c r="A452" s="2" t="s">
        <v>727</v>
      </c>
      <c r="B452" s="2" t="s">
        <v>861</v>
      </c>
      <c r="C452" s="83">
        <v>853.32276999999988</v>
      </c>
      <c r="F452" s="50" t="s">
        <v>732</v>
      </c>
      <c r="G452" s="2" t="s">
        <v>1062</v>
      </c>
      <c r="H452" s="2">
        <v>6667.9199999999983</v>
      </c>
      <c r="I452" s="2">
        <f t="shared" ref="I452:I515" si="28">SUMIF(F452:F1080, F452, H452:H1080)</f>
        <v>100030.02146999998</v>
      </c>
      <c r="J452" s="51">
        <f t="shared" ref="J452:J515" si="29">H452/I452</f>
        <v>6.665918793189278E-2</v>
      </c>
      <c r="K452" s="2">
        <f t="shared" si="26"/>
        <v>6.665918793189278E-2</v>
      </c>
      <c r="L452" s="2" t="str">
        <f t="shared" si="27"/>
        <v>A</v>
      </c>
      <c r="M452" s="52"/>
    </row>
    <row r="453" spans="1:13" x14ac:dyDescent="0.3">
      <c r="A453" s="2" t="s">
        <v>727</v>
      </c>
      <c r="B453" s="2" t="s">
        <v>1057</v>
      </c>
      <c r="C453" s="83">
        <v>703.2428000000001</v>
      </c>
      <c r="F453" s="50" t="s">
        <v>727</v>
      </c>
      <c r="G453" s="2" t="s">
        <v>1224</v>
      </c>
      <c r="H453" s="2">
        <v>6664.0999999999995</v>
      </c>
      <c r="I453" s="2">
        <f t="shared" si="28"/>
        <v>90740.519940000057</v>
      </c>
      <c r="J453" s="51">
        <f t="shared" si="29"/>
        <v>7.3441280746533874E-2</v>
      </c>
      <c r="K453" s="2">
        <f t="shared" ref="K453:K516" si="30">IF(F453=F452, K452+J453, J453)</f>
        <v>7.3441280746533874E-2</v>
      </c>
      <c r="L453" s="2" t="str">
        <f t="shared" ref="L453:L516" si="31">IF(K453&lt;=0.8,"A", IF(K453&lt;=0.95,"B","C"))</f>
        <v>A</v>
      </c>
      <c r="M453" s="52"/>
    </row>
    <row r="454" spans="1:13" x14ac:dyDescent="0.3">
      <c r="A454" s="2" t="s">
        <v>727</v>
      </c>
      <c r="B454" s="2" t="s">
        <v>964</v>
      </c>
      <c r="C454" s="83">
        <v>667.15008</v>
      </c>
      <c r="F454" s="50" t="s">
        <v>728</v>
      </c>
      <c r="G454" s="2" t="s">
        <v>769</v>
      </c>
      <c r="H454" s="2">
        <v>6631.6443100000006</v>
      </c>
      <c r="I454" s="2">
        <f t="shared" si="28"/>
        <v>114009.68522000006</v>
      </c>
      <c r="J454" s="51">
        <f t="shared" si="29"/>
        <v>5.8167376720698549E-2</v>
      </c>
      <c r="K454" s="2">
        <f t="shared" si="30"/>
        <v>5.8167376720698549E-2</v>
      </c>
      <c r="L454" s="2" t="str">
        <f t="shared" si="31"/>
        <v>A</v>
      </c>
      <c r="M454" s="52"/>
    </row>
    <row r="455" spans="1:13" x14ac:dyDescent="0.3">
      <c r="A455" s="2" t="s">
        <v>727</v>
      </c>
      <c r="B455" s="2" t="s">
        <v>1307</v>
      </c>
      <c r="C455" s="83">
        <v>496.98660000000001</v>
      </c>
      <c r="F455" s="50" t="s">
        <v>729</v>
      </c>
      <c r="G455" s="2" t="s">
        <v>1112</v>
      </c>
      <c r="H455" s="2">
        <v>6576.298960000001</v>
      </c>
      <c r="I455" s="2">
        <f t="shared" si="28"/>
        <v>57580.544860000002</v>
      </c>
      <c r="J455" s="51">
        <f t="shared" si="29"/>
        <v>0.11421043298547211</v>
      </c>
      <c r="K455" s="2">
        <f t="shared" si="30"/>
        <v>0.11421043298547211</v>
      </c>
      <c r="L455" s="2" t="str">
        <f t="shared" si="31"/>
        <v>A</v>
      </c>
      <c r="M455" s="52"/>
    </row>
    <row r="456" spans="1:13" x14ac:dyDescent="0.3">
      <c r="A456" s="2" t="s">
        <v>727</v>
      </c>
      <c r="B456" s="2" t="s">
        <v>911</v>
      </c>
      <c r="C456" s="83">
        <v>321.93290999999999</v>
      </c>
      <c r="F456" s="50" t="s">
        <v>728</v>
      </c>
      <c r="G456" s="2" t="s">
        <v>952</v>
      </c>
      <c r="H456" s="2">
        <v>6535.6324800000002</v>
      </c>
      <c r="I456" s="2">
        <f t="shared" si="28"/>
        <v>107378.04091000005</v>
      </c>
      <c r="J456" s="51">
        <f t="shared" si="29"/>
        <v>6.0865633462971296E-2</v>
      </c>
      <c r="K456" s="2">
        <f t="shared" si="30"/>
        <v>6.0865633462971296E-2</v>
      </c>
      <c r="L456" s="2" t="str">
        <f t="shared" si="31"/>
        <v>A</v>
      </c>
      <c r="M456" s="52"/>
    </row>
    <row r="457" spans="1:13" x14ac:dyDescent="0.3">
      <c r="A457" s="2" t="s">
        <v>727</v>
      </c>
      <c r="B457" s="2" t="s">
        <v>906</v>
      </c>
      <c r="C457" s="83">
        <v>97.0154</v>
      </c>
      <c r="F457" s="50" t="s">
        <v>732</v>
      </c>
      <c r="G457" s="2" t="s">
        <v>988</v>
      </c>
      <c r="H457" s="2">
        <v>6468.2751599999992</v>
      </c>
      <c r="I457" s="2">
        <f t="shared" si="28"/>
        <v>93362.10146999998</v>
      </c>
      <c r="J457" s="51">
        <f t="shared" si="29"/>
        <v>6.9281593474826056E-2</v>
      </c>
      <c r="K457" s="2">
        <f t="shared" si="30"/>
        <v>6.9281593474826056E-2</v>
      </c>
      <c r="L457" s="2" t="str">
        <f t="shared" si="31"/>
        <v>A</v>
      </c>
      <c r="M457" s="52"/>
    </row>
    <row r="458" spans="1:13" x14ac:dyDescent="0.3">
      <c r="A458" s="2" t="s">
        <v>730</v>
      </c>
      <c r="B458" s="2" t="s">
        <v>1320</v>
      </c>
      <c r="C458" s="83">
        <v>68665.574250000005</v>
      </c>
      <c r="F458" s="50" t="s">
        <v>727</v>
      </c>
      <c r="G458" s="2" t="s">
        <v>1257</v>
      </c>
      <c r="H458" s="2">
        <v>6435.2555999999995</v>
      </c>
      <c r="I458" s="2">
        <f t="shared" si="28"/>
        <v>84076.419940000051</v>
      </c>
      <c r="J458" s="51">
        <f t="shared" si="29"/>
        <v>7.6540552090496108E-2</v>
      </c>
      <c r="K458" s="2">
        <f t="shared" si="30"/>
        <v>7.6540552090496108E-2</v>
      </c>
      <c r="L458" s="2" t="str">
        <f t="shared" si="31"/>
        <v>A</v>
      </c>
      <c r="M458" s="52"/>
    </row>
    <row r="459" spans="1:13" x14ac:dyDescent="0.3">
      <c r="A459" s="2" t="s">
        <v>730</v>
      </c>
      <c r="B459" s="2" t="s">
        <v>834</v>
      </c>
      <c r="C459" s="83">
        <v>52780.07</v>
      </c>
      <c r="F459" s="50" t="s">
        <v>731</v>
      </c>
      <c r="G459" s="2" t="s">
        <v>805</v>
      </c>
      <c r="H459" s="2">
        <v>6393.0952799999995</v>
      </c>
      <c r="I459" s="2">
        <f t="shared" si="28"/>
        <v>65823.187390000021</v>
      </c>
      <c r="J459" s="51">
        <f t="shared" si="29"/>
        <v>9.712527657041492E-2</v>
      </c>
      <c r="K459" s="2">
        <f t="shared" si="30"/>
        <v>9.712527657041492E-2</v>
      </c>
      <c r="L459" s="2" t="str">
        <f t="shared" si="31"/>
        <v>A</v>
      </c>
      <c r="M459" s="52"/>
    </row>
    <row r="460" spans="1:13" x14ac:dyDescent="0.3">
      <c r="A460" s="2" t="s">
        <v>730</v>
      </c>
      <c r="B460" s="2" t="s">
        <v>883</v>
      </c>
      <c r="C460" s="83">
        <v>42495.805439999996</v>
      </c>
      <c r="F460" s="50" t="s">
        <v>727</v>
      </c>
      <c r="G460" s="2" t="s">
        <v>835</v>
      </c>
      <c r="H460" s="2">
        <v>6324.5775999999996</v>
      </c>
      <c r="I460" s="2">
        <f t="shared" si="28"/>
        <v>77641.164340000047</v>
      </c>
      <c r="J460" s="51">
        <f t="shared" si="29"/>
        <v>8.1459077201675001E-2</v>
      </c>
      <c r="K460" s="2">
        <f t="shared" si="30"/>
        <v>8.1459077201675001E-2</v>
      </c>
      <c r="L460" s="2" t="str">
        <f t="shared" si="31"/>
        <v>A</v>
      </c>
      <c r="M460" s="52"/>
    </row>
    <row r="461" spans="1:13" x14ac:dyDescent="0.3">
      <c r="A461" s="2" t="s">
        <v>730</v>
      </c>
      <c r="B461" s="2" t="s">
        <v>915</v>
      </c>
      <c r="C461" s="83">
        <v>41352.246200000009</v>
      </c>
      <c r="F461" s="50" t="s">
        <v>727</v>
      </c>
      <c r="G461" s="2" t="s">
        <v>1313</v>
      </c>
      <c r="H461" s="2">
        <v>6137.8019999999988</v>
      </c>
      <c r="I461" s="2">
        <f t="shared" si="28"/>
        <v>71316.586740000028</v>
      </c>
      <c r="J461" s="51">
        <f t="shared" si="29"/>
        <v>8.6064158151268194E-2</v>
      </c>
      <c r="K461" s="2">
        <f t="shared" si="30"/>
        <v>0.1675232353529432</v>
      </c>
      <c r="L461" s="2" t="str">
        <f t="shared" si="31"/>
        <v>A</v>
      </c>
      <c r="M461" s="52"/>
    </row>
    <row r="462" spans="1:13" x14ac:dyDescent="0.3">
      <c r="A462" s="2" t="s">
        <v>730</v>
      </c>
      <c r="B462" s="2" t="s">
        <v>1162</v>
      </c>
      <c r="C462" s="83">
        <v>41138.261999999995</v>
      </c>
      <c r="F462" s="50" t="s">
        <v>733</v>
      </c>
      <c r="G462" s="2" t="s">
        <v>1011</v>
      </c>
      <c r="H462" s="2">
        <v>6066.54648</v>
      </c>
      <c r="I462" s="2">
        <f t="shared" si="28"/>
        <v>65908.48924000001</v>
      </c>
      <c r="J462" s="51">
        <f t="shared" si="29"/>
        <v>9.2044993747454909E-2</v>
      </c>
      <c r="K462" s="2">
        <f t="shared" si="30"/>
        <v>9.2044993747454909E-2</v>
      </c>
      <c r="L462" s="2" t="str">
        <f t="shared" si="31"/>
        <v>A</v>
      </c>
      <c r="M462" s="52"/>
    </row>
    <row r="463" spans="1:13" x14ac:dyDescent="0.3">
      <c r="A463" s="2" t="s">
        <v>730</v>
      </c>
      <c r="B463" s="2" t="s">
        <v>1109</v>
      </c>
      <c r="C463" s="83">
        <v>38422.022320000004</v>
      </c>
      <c r="F463" s="50" t="s">
        <v>727</v>
      </c>
      <c r="G463" s="2" t="s">
        <v>1218</v>
      </c>
      <c r="H463" s="2">
        <v>6063.2517199999993</v>
      </c>
      <c r="I463" s="2">
        <f t="shared" si="28"/>
        <v>65178.784739999996</v>
      </c>
      <c r="J463" s="51">
        <f t="shared" si="29"/>
        <v>9.3024927423646833E-2</v>
      </c>
      <c r="K463" s="2">
        <f t="shared" si="30"/>
        <v>9.3024927423646833E-2</v>
      </c>
      <c r="L463" s="2" t="str">
        <f t="shared" si="31"/>
        <v>A</v>
      </c>
      <c r="M463" s="52"/>
    </row>
    <row r="464" spans="1:13" x14ac:dyDescent="0.3">
      <c r="A464" s="2" t="s">
        <v>730</v>
      </c>
      <c r="B464" s="2" t="s">
        <v>970</v>
      </c>
      <c r="C464" s="83">
        <v>37038.581760000001</v>
      </c>
      <c r="F464" s="50" t="s">
        <v>732</v>
      </c>
      <c r="G464" s="2" t="s">
        <v>1331</v>
      </c>
      <c r="H464" s="2">
        <v>5962.1422499999999</v>
      </c>
      <c r="I464" s="2">
        <f t="shared" si="28"/>
        <v>86893.826309999989</v>
      </c>
      <c r="J464" s="51">
        <f t="shared" si="29"/>
        <v>6.8614106469769523E-2</v>
      </c>
      <c r="K464" s="2">
        <f t="shared" si="30"/>
        <v>6.8614106469769523E-2</v>
      </c>
      <c r="L464" s="2" t="str">
        <f t="shared" si="31"/>
        <v>A</v>
      </c>
      <c r="M464" s="52"/>
    </row>
    <row r="465" spans="1:13" x14ac:dyDescent="0.3">
      <c r="A465" s="2" t="s">
        <v>730</v>
      </c>
      <c r="B465" s="2" t="s">
        <v>751</v>
      </c>
      <c r="C465" s="83">
        <v>35367.211040000002</v>
      </c>
      <c r="F465" s="50" t="s">
        <v>733</v>
      </c>
      <c r="G465" s="2" t="s">
        <v>837</v>
      </c>
      <c r="H465" s="2">
        <v>5960.3340000000007</v>
      </c>
      <c r="I465" s="2">
        <f t="shared" si="28"/>
        <v>59841.942760000005</v>
      </c>
      <c r="J465" s="51">
        <f t="shared" si="29"/>
        <v>9.9601278386036149E-2</v>
      </c>
      <c r="K465" s="2">
        <f t="shared" si="30"/>
        <v>9.9601278386036149E-2</v>
      </c>
      <c r="L465" s="2" t="str">
        <f t="shared" si="31"/>
        <v>A</v>
      </c>
      <c r="M465" s="52"/>
    </row>
    <row r="466" spans="1:13" x14ac:dyDescent="0.3">
      <c r="A466" s="2" t="s">
        <v>730</v>
      </c>
      <c r="B466" s="2" t="s">
        <v>1012</v>
      </c>
      <c r="C466" s="83">
        <v>34840.344000000005</v>
      </c>
      <c r="F466" s="50" t="s">
        <v>728</v>
      </c>
      <c r="G466" s="2" t="s">
        <v>1176</v>
      </c>
      <c r="H466" s="2">
        <v>5960.04288</v>
      </c>
      <c r="I466" s="2">
        <f t="shared" si="28"/>
        <v>100842.40843000005</v>
      </c>
      <c r="J466" s="51">
        <f t="shared" si="29"/>
        <v>5.9102543987108111E-2</v>
      </c>
      <c r="K466" s="2">
        <f t="shared" si="30"/>
        <v>5.9102543987108111E-2</v>
      </c>
      <c r="L466" s="2" t="str">
        <f t="shared" si="31"/>
        <v>A</v>
      </c>
      <c r="M466" s="52"/>
    </row>
    <row r="467" spans="1:13" x14ac:dyDescent="0.3">
      <c r="A467" s="2" t="s">
        <v>730</v>
      </c>
      <c r="B467" s="2" t="s">
        <v>1239</v>
      </c>
      <c r="C467" s="83">
        <v>34800.431400000001</v>
      </c>
      <c r="F467" s="50" t="s">
        <v>731</v>
      </c>
      <c r="G467" s="2" t="s">
        <v>1038</v>
      </c>
      <c r="H467" s="2">
        <v>5932.7856000000002</v>
      </c>
      <c r="I467" s="2">
        <f t="shared" si="28"/>
        <v>59430.092110000005</v>
      </c>
      <c r="J467" s="51">
        <f t="shared" si="29"/>
        <v>9.9827972486041625E-2</v>
      </c>
      <c r="K467" s="2">
        <f t="shared" si="30"/>
        <v>9.9827972486041625E-2</v>
      </c>
      <c r="L467" s="2" t="str">
        <f t="shared" si="31"/>
        <v>A</v>
      </c>
      <c r="M467" s="52"/>
    </row>
    <row r="468" spans="1:13" x14ac:dyDescent="0.3">
      <c r="A468" s="2" t="s">
        <v>730</v>
      </c>
      <c r="B468" s="2" t="s">
        <v>1287</v>
      </c>
      <c r="C468" s="83">
        <v>33551.927499999998</v>
      </c>
      <c r="F468" s="50" t="s">
        <v>730</v>
      </c>
      <c r="G468" s="2" t="s">
        <v>965</v>
      </c>
      <c r="H468" s="2">
        <v>5814.6927299999998</v>
      </c>
      <c r="I468" s="2">
        <f t="shared" si="28"/>
        <v>81286.358349999995</v>
      </c>
      <c r="J468" s="51">
        <f t="shared" si="29"/>
        <v>7.1533438673230962E-2</v>
      </c>
      <c r="K468" s="2">
        <f t="shared" si="30"/>
        <v>7.1533438673230962E-2</v>
      </c>
      <c r="L468" s="2" t="str">
        <f t="shared" si="31"/>
        <v>A</v>
      </c>
      <c r="M468" s="52"/>
    </row>
    <row r="469" spans="1:13" x14ac:dyDescent="0.3">
      <c r="A469" s="2" t="s">
        <v>730</v>
      </c>
      <c r="B469" s="2" t="s">
        <v>1294</v>
      </c>
      <c r="C469" s="83">
        <v>33071.3145</v>
      </c>
      <c r="F469" s="50" t="s">
        <v>731</v>
      </c>
      <c r="G469" s="2" t="s">
        <v>786</v>
      </c>
      <c r="H469" s="2">
        <v>5785.8</v>
      </c>
      <c r="I469" s="2">
        <f t="shared" si="28"/>
        <v>53497.306510000002</v>
      </c>
      <c r="J469" s="51">
        <f t="shared" si="29"/>
        <v>0.10815123933236691</v>
      </c>
      <c r="K469" s="2">
        <f t="shared" si="30"/>
        <v>0.10815123933236691</v>
      </c>
      <c r="L469" s="2" t="str">
        <f t="shared" si="31"/>
        <v>A</v>
      </c>
      <c r="M469" s="52"/>
    </row>
    <row r="470" spans="1:13" x14ac:dyDescent="0.3">
      <c r="A470" s="2" t="s">
        <v>730</v>
      </c>
      <c r="B470" s="2" t="s">
        <v>1360</v>
      </c>
      <c r="C470" s="83">
        <v>33017.42</v>
      </c>
      <c r="F470" s="50" t="s">
        <v>732</v>
      </c>
      <c r="G470" s="2" t="s">
        <v>852</v>
      </c>
      <c r="H470" s="2">
        <v>5769.2758000000003</v>
      </c>
      <c r="I470" s="2">
        <f t="shared" si="28"/>
        <v>80931.68406</v>
      </c>
      <c r="J470" s="51">
        <f t="shared" si="29"/>
        <v>7.1285750037313633E-2</v>
      </c>
      <c r="K470" s="2">
        <f t="shared" si="30"/>
        <v>7.1285750037313633E-2</v>
      </c>
      <c r="L470" s="2" t="str">
        <f t="shared" si="31"/>
        <v>A</v>
      </c>
      <c r="M470" s="52"/>
    </row>
    <row r="471" spans="1:13" x14ac:dyDescent="0.3">
      <c r="A471" s="2" t="s">
        <v>730</v>
      </c>
      <c r="B471" s="2" t="s">
        <v>1108</v>
      </c>
      <c r="C471" s="83">
        <v>31005.24768</v>
      </c>
      <c r="F471" s="50" t="s">
        <v>732</v>
      </c>
      <c r="G471" s="2" t="s">
        <v>1325</v>
      </c>
      <c r="H471" s="2">
        <v>5725.6496000000006</v>
      </c>
      <c r="I471" s="2">
        <f t="shared" si="28"/>
        <v>75162.408259999982</v>
      </c>
      <c r="J471" s="51">
        <f t="shared" si="29"/>
        <v>7.6177037598289463E-2</v>
      </c>
      <c r="K471" s="2">
        <f t="shared" si="30"/>
        <v>0.14746278763560311</v>
      </c>
      <c r="L471" s="2" t="str">
        <f t="shared" si="31"/>
        <v>A</v>
      </c>
      <c r="M471" s="52"/>
    </row>
    <row r="472" spans="1:13" x14ac:dyDescent="0.3">
      <c r="A472" s="2" t="s">
        <v>730</v>
      </c>
      <c r="B472" s="2" t="s">
        <v>1156</v>
      </c>
      <c r="C472" s="83">
        <v>29627.320319999999</v>
      </c>
      <c r="F472" s="50" t="s">
        <v>727</v>
      </c>
      <c r="G472" s="2" t="s">
        <v>895</v>
      </c>
      <c r="H472" s="2">
        <v>5650.1744000000008</v>
      </c>
      <c r="I472" s="2">
        <f t="shared" si="28"/>
        <v>59115.533019999995</v>
      </c>
      <c r="J472" s="51">
        <f t="shared" si="29"/>
        <v>9.5578507227337878E-2</v>
      </c>
      <c r="K472" s="2">
        <f t="shared" si="30"/>
        <v>9.5578507227337878E-2</v>
      </c>
      <c r="L472" s="2" t="str">
        <f t="shared" si="31"/>
        <v>A</v>
      </c>
      <c r="M472" s="52"/>
    </row>
    <row r="473" spans="1:13" x14ac:dyDescent="0.3">
      <c r="A473" s="2" t="s">
        <v>730</v>
      </c>
      <c r="B473" s="2" t="s">
        <v>893</v>
      </c>
      <c r="C473" s="83">
        <v>29263.754519999995</v>
      </c>
      <c r="F473" s="50" t="s">
        <v>733</v>
      </c>
      <c r="G473" s="2" t="s">
        <v>1067</v>
      </c>
      <c r="H473" s="2">
        <v>5610.0923999999995</v>
      </c>
      <c r="I473" s="2">
        <f t="shared" si="28"/>
        <v>53881.608760000003</v>
      </c>
      <c r="J473" s="51">
        <f t="shared" si="29"/>
        <v>0.10411887338012732</v>
      </c>
      <c r="K473" s="2">
        <f t="shared" si="30"/>
        <v>0.10411887338012732</v>
      </c>
      <c r="L473" s="2" t="str">
        <f t="shared" si="31"/>
        <v>A</v>
      </c>
      <c r="M473" s="52"/>
    </row>
    <row r="474" spans="1:13" x14ac:dyDescent="0.3">
      <c r="A474" s="2" t="s">
        <v>730</v>
      </c>
      <c r="B474" s="2" t="s">
        <v>1339</v>
      </c>
      <c r="C474" s="83">
        <v>29175.036029999999</v>
      </c>
      <c r="F474" s="50" t="s">
        <v>732</v>
      </c>
      <c r="G474" s="2" t="s">
        <v>1180</v>
      </c>
      <c r="H474" s="2">
        <v>5565.3272500000003</v>
      </c>
      <c r="I474" s="2">
        <f t="shared" si="28"/>
        <v>69436.758659999992</v>
      </c>
      <c r="J474" s="51">
        <f t="shared" si="29"/>
        <v>8.0149582978820466E-2</v>
      </c>
      <c r="K474" s="2">
        <f t="shared" si="30"/>
        <v>8.0149582978820466E-2</v>
      </c>
      <c r="L474" s="2" t="str">
        <f t="shared" si="31"/>
        <v>A</v>
      </c>
      <c r="M474" s="52"/>
    </row>
    <row r="475" spans="1:13" x14ac:dyDescent="0.3">
      <c r="A475" s="2" t="s">
        <v>730</v>
      </c>
      <c r="B475" s="2" t="s">
        <v>1070</v>
      </c>
      <c r="C475" s="83">
        <v>28247.74656</v>
      </c>
      <c r="F475" s="50" t="s">
        <v>729</v>
      </c>
      <c r="G475" s="2" t="s">
        <v>1169</v>
      </c>
      <c r="H475" s="2">
        <v>5546.4642200000008</v>
      </c>
      <c r="I475" s="2">
        <f t="shared" si="28"/>
        <v>51004.245900000002</v>
      </c>
      <c r="J475" s="51">
        <f t="shared" si="29"/>
        <v>0.10874514703882722</v>
      </c>
      <c r="K475" s="2">
        <f t="shared" si="30"/>
        <v>0.10874514703882722</v>
      </c>
      <c r="L475" s="2" t="str">
        <f t="shared" si="31"/>
        <v>A</v>
      </c>
      <c r="M475" s="52"/>
    </row>
    <row r="476" spans="1:13" x14ac:dyDescent="0.3">
      <c r="A476" s="2" t="s">
        <v>730</v>
      </c>
      <c r="B476" s="2" t="s">
        <v>1168</v>
      </c>
      <c r="C476" s="83">
        <v>27249</v>
      </c>
      <c r="F476" s="50" t="s">
        <v>733</v>
      </c>
      <c r="G476" s="2" t="s">
        <v>961</v>
      </c>
      <c r="H476" s="2">
        <v>5533.6230000000005</v>
      </c>
      <c r="I476" s="2">
        <f t="shared" si="28"/>
        <v>48271.516359999994</v>
      </c>
      <c r="J476" s="51">
        <f t="shared" si="29"/>
        <v>0.11463536713309913</v>
      </c>
      <c r="K476" s="2">
        <f t="shared" si="30"/>
        <v>0.11463536713309913</v>
      </c>
      <c r="L476" s="2" t="str">
        <f t="shared" si="31"/>
        <v>A</v>
      </c>
      <c r="M476" s="52"/>
    </row>
    <row r="477" spans="1:13" x14ac:dyDescent="0.3">
      <c r="A477" s="2" t="s">
        <v>730</v>
      </c>
      <c r="B477" s="2" t="s">
        <v>765</v>
      </c>
      <c r="C477" s="83">
        <v>26150.364320000001</v>
      </c>
      <c r="F477" s="50" t="s">
        <v>730</v>
      </c>
      <c r="G477" s="2" t="s">
        <v>828</v>
      </c>
      <c r="H477" s="2">
        <v>5487.6023999999998</v>
      </c>
      <c r="I477" s="2">
        <f t="shared" si="28"/>
        <v>75471.66562</v>
      </c>
      <c r="J477" s="51">
        <f t="shared" si="29"/>
        <v>7.2710763104528384E-2</v>
      </c>
      <c r="K477" s="2">
        <f t="shared" si="30"/>
        <v>7.2710763104528384E-2</v>
      </c>
      <c r="L477" s="2" t="str">
        <f t="shared" si="31"/>
        <v>A</v>
      </c>
      <c r="M477" s="52"/>
    </row>
    <row r="478" spans="1:13" x14ac:dyDescent="0.3">
      <c r="A478" s="2" t="s">
        <v>730</v>
      </c>
      <c r="B478" s="2" t="s">
        <v>936</v>
      </c>
      <c r="C478" s="83">
        <v>25299.040000000001</v>
      </c>
      <c r="F478" s="50" t="s">
        <v>728</v>
      </c>
      <c r="G478" s="2" t="s">
        <v>1336</v>
      </c>
      <c r="H478" s="2">
        <v>5457.4317000000001</v>
      </c>
      <c r="I478" s="2">
        <f t="shared" si="28"/>
        <v>94882.365550000031</v>
      </c>
      <c r="J478" s="51">
        <f t="shared" si="29"/>
        <v>5.7517871401763322E-2</v>
      </c>
      <c r="K478" s="2">
        <f t="shared" si="30"/>
        <v>5.7517871401763322E-2</v>
      </c>
      <c r="L478" s="2" t="str">
        <f t="shared" si="31"/>
        <v>A</v>
      </c>
      <c r="M478" s="52"/>
    </row>
    <row r="479" spans="1:13" x14ac:dyDescent="0.3">
      <c r="A479" s="2" t="s">
        <v>730</v>
      </c>
      <c r="B479" s="2" t="s">
        <v>947</v>
      </c>
      <c r="C479" s="83">
        <v>24223.05</v>
      </c>
      <c r="F479" s="50" t="s">
        <v>728</v>
      </c>
      <c r="G479" s="2" t="s">
        <v>1042</v>
      </c>
      <c r="H479" s="2">
        <v>5334.9141999999993</v>
      </c>
      <c r="I479" s="2">
        <f t="shared" si="28"/>
        <v>89424.93385000003</v>
      </c>
      <c r="J479" s="51">
        <f t="shared" si="29"/>
        <v>5.9658016733327421E-2</v>
      </c>
      <c r="K479" s="2">
        <f t="shared" si="30"/>
        <v>0.11717588813509075</v>
      </c>
      <c r="L479" s="2" t="str">
        <f t="shared" si="31"/>
        <v>A</v>
      </c>
      <c r="M479" s="52"/>
    </row>
    <row r="480" spans="1:13" x14ac:dyDescent="0.3">
      <c r="A480" s="2" t="s">
        <v>730</v>
      </c>
      <c r="B480" s="2" t="s">
        <v>841</v>
      </c>
      <c r="C480" s="83">
        <v>23687.524440000001</v>
      </c>
      <c r="F480" s="50" t="s">
        <v>727</v>
      </c>
      <c r="G480" s="2" t="s">
        <v>816</v>
      </c>
      <c r="H480" s="2">
        <v>5331.6696000000002</v>
      </c>
      <c r="I480" s="2">
        <f t="shared" si="28"/>
        <v>53465.358619999985</v>
      </c>
      <c r="J480" s="51">
        <f t="shared" si="29"/>
        <v>9.9721945903221962E-2</v>
      </c>
      <c r="K480" s="2">
        <f t="shared" si="30"/>
        <v>9.9721945903221962E-2</v>
      </c>
      <c r="L480" s="2" t="str">
        <f t="shared" si="31"/>
        <v>A</v>
      </c>
      <c r="M480" s="52"/>
    </row>
    <row r="481" spans="1:13" x14ac:dyDescent="0.3">
      <c r="A481" s="2" t="s">
        <v>730</v>
      </c>
      <c r="B481" s="2" t="s">
        <v>1317</v>
      </c>
      <c r="C481" s="83">
        <v>22676.312610000001</v>
      </c>
      <c r="F481" s="50" t="s">
        <v>729</v>
      </c>
      <c r="G481" s="2" t="s">
        <v>832</v>
      </c>
      <c r="H481" s="2">
        <v>5328.4890400000004</v>
      </c>
      <c r="I481" s="2">
        <f t="shared" si="28"/>
        <v>45457.78168</v>
      </c>
      <c r="J481" s="51">
        <f t="shared" si="29"/>
        <v>0.11721841328531807</v>
      </c>
      <c r="K481" s="2">
        <f t="shared" si="30"/>
        <v>0.11721841328531807</v>
      </c>
      <c r="L481" s="2" t="str">
        <f t="shared" si="31"/>
        <v>A</v>
      </c>
      <c r="M481" s="52"/>
    </row>
    <row r="482" spans="1:13" x14ac:dyDescent="0.3">
      <c r="A482" s="2" t="s">
        <v>730</v>
      </c>
      <c r="B482" s="2" t="s">
        <v>1054</v>
      </c>
      <c r="C482" s="83">
        <v>22380.204000000002</v>
      </c>
      <c r="F482" s="50" t="s">
        <v>731</v>
      </c>
      <c r="G482" s="2" t="s">
        <v>1143</v>
      </c>
      <c r="H482" s="2">
        <v>5323.9903199999999</v>
      </c>
      <c r="I482" s="2">
        <f t="shared" si="28"/>
        <v>47711.506509999999</v>
      </c>
      <c r="J482" s="51">
        <f t="shared" si="29"/>
        <v>0.11158713504223826</v>
      </c>
      <c r="K482" s="2">
        <f t="shared" si="30"/>
        <v>0.11158713504223826</v>
      </c>
      <c r="L482" s="2" t="str">
        <f t="shared" si="31"/>
        <v>A</v>
      </c>
      <c r="M482" s="52"/>
    </row>
    <row r="483" spans="1:13" x14ac:dyDescent="0.3">
      <c r="A483" s="2" t="s">
        <v>730</v>
      </c>
      <c r="B483" s="2" t="s">
        <v>930</v>
      </c>
      <c r="C483" s="83">
        <v>21679.749799999998</v>
      </c>
      <c r="F483" s="50" t="s">
        <v>732</v>
      </c>
      <c r="G483" s="2" t="s">
        <v>967</v>
      </c>
      <c r="H483" s="2">
        <v>5280.8577599999999</v>
      </c>
      <c r="I483" s="2">
        <f t="shared" si="28"/>
        <v>63871.431409999997</v>
      </c>
      <c r="J483" s="51">
        <f t="shared" si="29"/>
        <v>8.2679496034798516E-2</v>
      </c>
      <c r="K483" s="2">
        <f t="shared" si="30"/>
        <v>8.2679496034798516E-2</v>
      </c>
      <c r="L483" s="2" t="str">
        <f t="shared" si="31"/>
        <v>A</v>
      </c>
      <c r="M483" s="52"/>
    </row>
    <row r="484" spans="1:13" x14ac:dyDescent="0.3">
      <c r="A484" s="2" t="s">
        <v>730</v>
      </c>
      <c r="B484" s="2" t="s">
        <v>959</v>
      </c>
      <c r="C484" s="83">
        <v>21573.6495</v>
      </c>
      <c r="F484" s="50" t="s">
        <v>731</v>
      </c>
      <c r="G484" s="2" t="s">
        <v>1136</v>
      </c>
      <c r="H484" s="2">
        <v>5250.4239000000007</v>
      </c>
      <c r="I484" s="2">
        <f t="shared" si="28"/>
        <v>42387.516190000002</v>
      </c>
      <c r="J484" s="51">
        <f t="shared" si="29"/>
        <v>0.12386722252054658</v>
      </c>
      <c r="K484" s="2">
        <f t="shared" si="30"/>
        <v>0.12386722252054658</v>
      </c>
      <c r="L484" s="2" t="str">
        <f t="shared" si="31"/>
        <v>A</v>
      </c>
      <c r="M484" s="52"/>
    </row>
    <row r="485" spans="1:13" x14ac:dyDescent="0.3">
      <c r="A485" s="2" t="s">
        <v>730</v>
      </c>
      <c r="B485" s="2" t="s">
        <v>1140</v>
      </c>
      <c r="C485" s="83">
        <v>21541.017959999997</v>
      </c>
      <c r="F485" s="50" t="s">
        <v>730</v>
      </c>
      <c r="G485" s="2" t="s">
        <v>737</v>
      </c>
      <c r="H485" s="2">
        <v>5225.2710400000005</v>
      </c>
      <c r="I485" s="2">
        <f t="shared" si="28"/>
        <v>69984.063220000011</v>
      </c>
      <c r="J485" s="51">
        <f t="shared" si="29"/>
        <v>7.4663727705748945E-2</v>
      </c>
      <c r="K485" s="2">
        <f t="shared" si="30"/>
        <v>7.4663727705748945E-2</v>
      </c>
      <c r="L485" s="2" t="str">
        <f t="shared" si="31"/>
        <v>A</v>
      </c>
      <c r="M485" s="52"/>
    </row>
    <row r="486" spans="1:13" x14ac:dyDescent="0.3">
      <c r="A486" s="2" t="s">
        <v>730</v>
      </c>
      <c r="B486" s="2" t="s">
        <v>1189</v>
      </c>
      <c r="C486" s="83">
        <v>20797.98</v>
      </c>
      <c r="F486" s="50" t="s">
        <v>730</v>
      </c>
      <c r="G486" s="2" t="s">
        <v>1246</v>
      </c>
      <c r="H486" s="2">
        <v>5189.8836000000001</v>
      </c>
      <c r="I486" s="2">
        <f t="shared" si="28"/>
        <v>64758.792180000004</v>
      </c>
      <c r="J486" s="51">
        <f t="shared" si="29"/>
        <v>8.0141760296802367E-2</v>
      </c>
      <c r="K486" s="2">
        <f t="shared" si="30"/>
        <v>0.15480548800255131</v>
      </c>
      <c r="L486" s="2" t="str">
        <f t="shared" si="31"/>
        <v>A</v>
      </c>
      <c r="M486" s="52"/>
    </row>
    <row r="487" spans="1:13" x14ac:dyDescent="0.3">
      <c r="A487" s="2" t="s">
        <v>730</v>
      </c>
      <c r="B487" s="2" t="s">
        <v>1160</v>
      </c>
      <c r="C487" s="83">
        <v>20038.536</v>
      </c>
      <c r="F487" s="50" t="s">
        <v>730</v>
      </c>
      <c r="G487" s="2" t="s">
        <v>1219</v>
      </c>
      <c r="H487" s="2">
        <v>5159.7893599999998</v>
      </c>
      <c r="I487" s="2">
        <f t="shared" si="28"/>
        <v>59568.90858000001</v>
      </c>
      <c r="J487" s="51">
        <f t="shared" si="29"/>
        <v>8.6618833263840858E-2</v>
      </c>
      <c r="K487" s="2">
        <f t="shared" si="30"/>
        <v>0.24142432126639218</v>
      </c>
      <c r="L487" s="2" t="str">
        <f t="shared" si="31"/>
        <v>A</v>
      </c>
      <c r="M487" s="52"/>
    </row>
    <row r="488" spans="1:13" x14ac:dyDescent="0.3">
      <c r="A488" s="2" t="s">
        <v>730</v>
      </c>
      <c r="B488" s="2" t="s">
        <v>1100</v>
      </c>
      <c r="C488" s="83">
        <v>19547.329920000004</v>
      </c>
      <c r="F488" s="50" t="s">
        <v>730</v>
      </c>
      <c r="G488" s="2" t="s">
        <v>1216</v>
      </c>
      <c r="H488" s="2">
        <v>5127.0390600000001</v>
      </c>
      <c r="I488" s="2">
        <f t="shared" si="28"/>
        <v>54409.119220000008</v>
      </c>
      <c r="J488" s="51">
        <f t="shared" si="29"/>
        <v>9.4231245304102887E-2</v>
      </c>
      <c r="K488" s="2">
        <f t="shared" si="30"/>
        <v>0.33565556657049506</v>
      </c>
      <c r="L488" s="2" t="str">
        <f t="shared" si="31"/>
        <v>A</v>
      </c>
      <c r="M488" s="52"/>
    </row>
    <row r="489" spans="1:13" x14ac:dyDescent="0.3">
      <c r="A489" s="2" t="s">
        <v>730</v>
      </c>
      <c r="B489" s="2" t="s">
        <v>825</v>
      </c>
      <c r="C489" s="83">
        <v>19510.808000000001</v>
      </c>
      <c r="F489" s="50" t="s">
        <v>732</v>
      </c>
      <c r="G489" s="2" t="s">
        <v>1359</v>
      </c>
      <c r="H489" s="2">
        <v>5096.4790800000001</v>
      </c>
      <c r="I489" s="2">
        <f t="shared" si="28"/>
        <v>58590.573649999998</v>
      </c>
      <c r="J489" s="51">
        <f t="shared" si="29"/>
        <v>8.6984625043008093E-2</v>
      </c>
      <c r="K489" s="2">
        <f t="shared" si="30"/>
        <v>8.6984625043008093E-2</v>
      </c>
      <c r="L489" s="2" t="str">
        <f t="shared" si="31"/>
        <v>A</v>
      </c>
      <c r="M489" s="52"/>
    </row>
    <row r="490" spans="1:13" x14ac:dyDescent="0.3">
      <c r="A490" s="2" t="s">
        <v>730</v>
      </c>
      <c r="B490" s="2" t="s">
        <v>1207</v>
      </c>
      <c r="C490" s="83">
        <v>19233.355499999998</v>
      </c>
      <c r="F490" s="50" t="s">
        <v>732</v>
      </c>
      <c r="G490" s="2" t="s">
        <v>1048</v>
      </c>
      <c r="H490" s="2">
        <v>5032.4433599999993</v>
      </c>
      <c r="I490" s="2">
        <f t="shared" si="28"/>
        <v>53494.094569999994</v>
      </c>
      <c r="J490" s="51">
        <f t="shared" si="29"/>
        <v>9.4074746015464714E-2</v>
      </c>
      <c r="K490" s="2">
        <f t="shared" si="30"/>
        <v>0.18105937105847281</v>
      </c>
      <c r="L490" s="2" t="str">
        <f t="shared" si="31"/>
        <v>A</v>
      </c>
      <c r="M490" s="52"/>
    </row>
    <row r="491" spans="1:13" x14ac:dyDescent="0.3">
      <c r="A491" s="2" t="s">
        <v>730</v>
      </c>
      <c r="B491" s="2" t="s">
        <v>1105</v>
      </c>
      <c r="C491" s="83">
        <v>16873.45</v>
      </c>
      <c r="F491" s="50" t="s">
        <v>727</v>
      </c>
      <c r="G491" s="2" t="s">
        <v>746</v>
      </c>
      <c r="H491" s="2">
        <v>4968.5039999999999</v>
      </c>
      <c r="I491" s="2">
        <f t="shared" si="28"/>
        <v>48133.689019999991</v>
      </c>
      <c r="J491" s="51">
        <f t="shared" si="29"/>
        <v>0.10322300453504697</v>
      </c>
      <c r="K491" s="2">
        <f t="shared" si="30"/>
        <v>0.10322300453504697</v>
      </c>
      <c r="L491" s="2" t="str">
        <f t="shared" si="31"/>
        <v>A</v>
      </c>
      <c r="M491" s="52"/>
    </row>
    <row r="492" spans="1:13" x14ac:dyDescent="0.3">
      <c r="A492" s="2" t="s">
        <v>730</v>
      </c>
      <c r="B492" s="2" t="s">
        <v>1146</v>
      </c>
      <c r="C492" s="83">
        <v>16134.22069</v>
      </c>
      <c r="F492" s="50" t="s">
        <v>732</v>
      </c>
      <c r="G492" s="2" t="s">
        <v>813</v>
      </c>
      <c r="H492" s="2">
        <v>4877.1379800000004</v>
      </c>
      <c r="I492" s="2">
        <f t="shared" si="28"/>
        <v>48461.651209999996</v>
      </c>
      <c r="J492" s="51">
        <f t="shared" si="29"/>
        <v>0.10063912100035109</v>
      </c>
      <c r="K492" s="2">
        <f t="shared" si="30"/>
        <v>0.10063912100035109</v>
      </c>
      <c r="L492" s="2" t="str">
        <f t="shared" si="31"/>
        <v>A</v>
      </c>
      <c r="M492" s="52"/>
    </row>
    <row r="493" spans="1:13" x14ac:dyDescent="0.3">
      <c r="A493" s="2" t="s">
        <v>730</v>
      </c>
      <c r="B493" s="2" t="s">
        <v>856</v>
      </c>
      <c r="C493" s="83">
        <v>16061.972879999999</v>
      </c>
      <c r="F493" s="50" t="s">
        <v>727</v>
      </c>
      <c r="G493" s="2" t="s">
        <v>734</v>
      </c>
      <c r="H493" s="2">
        <v>4866.3287999999993</v>
      </c>
      <c r="I493" s="2">
        <f t="shared" si="28"/>
        <v>43165.18501999999</v>
      </c>
      <c r="J493" s="51">
        <f t="shared" si="29"/>
        <v>0.11273735529559883</v>
      </c>
      <c r="K493" s="2">
        <f t="shared" si="30"/>
        <v>0.11273735529559883</v>
      </c>
      <c r="L493" s="2" t="str">
        <f t="shared" si="31"/>
        <v>A</v>
      </c>
      <c r="M493" s="52"/>
    </row>
    <row r="494" spans="1:13" x14ac:dyDescent="0.3">
      <c r="A494" s="2" t="s">
        <v>730</v>
      </c>
      <c r="B494" s="2" t="s">
        <v>934</v>
      </c>
      <c r="C494" s="83">
        <v>14963.769179999999</v>
      </c>
      <c r="F494" s="50" t="s">
        <v>730</v>
      </c>
      <c r="G494" s="2" t="s">
        <v>1068</v>
      </c>
      <c r="H494" s="2">
        <v>4856.35725</v>
      </c>
      <c r="I494" s="2">
        <f t="shared" si="28"/>
        <v>49282.080160000005</v>
      </c>
      <c r="J494" s="51">
        <f t="shared" si="29"/>
        <v>9.8542050867846315E-2</v>
      </c>
      <c r="K494" s="2">
        <f t="shared" si="30"/>
        <v>9.8542050867846315E-2</v>
      </c>
      <c r="L494" s="2" t="str">
        <f t="shared" si="31"/>
        <v>A</v>
      </c>
      <c r="M494" s="52"/>
    </row>
    <row r="495" spans="1:13" x14ac:dyDescent="0.3">
      <c r="A495" s="2" t="s">
        <v>730</v>
      </c>
      <c r="B495" s="2" t="s">
        <v>1153</v>
      </c>
      <c r="C495" s="83">
        <v>14527.748400000002</v>
      </c>
      <c r="F495" s="50" t="s">
        <v>732</v>
      </c>
      <c r="G495" s="2" t="s">
        <v>920</v>
      </c>
      <c r="H495" s="2">
        <v>4831.9464600000001</v>
      </c>
      <c r="I495" s="2">
        <f t="shared" si="28"/>
        <v>43584.513229999997</v>
      </c>
      <c r="J495" s="51">
        <f t="shared" si="29"/>
        <v>0.11086383905451272</v>
      </c>
      <c r="K495" s="2">
        <f t="shared" si="30"/>
        <v>0.11086383905451272</v>
      </c>
      <c r="L495" s="2" t="str">
        <f t="shared" si="31"/>
        <v>A</v>
      </c>
      <c r="M495" s="52"/>
    </row>
    <row r="496" spans="1:13" x14ac:dyDescent="0.3">
      <c r="A496" s="2" t="s">
        <v>730</v>
      </c>
      <c r="B496" s="2" t="s">
        <v>1362</v>
      </c>
      <c r="C496" s="83">
        <v>12769.38768</v>
      </c>
      <c r="F496" s="50" t="s">
        <v>732</v>
      </c>
      <c r="G496" s="2" t="s">
        <v>1278</v>
      </c>
      <c r="H496" s="2">
        <v>4826.5396199999996</v>
      </c>
      <c r="I496" s="2">
        <f t="shared" si="28"/>
        <v>38752.566769999998</v>
      </c>
      <c r="J496" s="51">
        <f t="shared" si="29"/>
        <v>0.12454761122394681</v>
      </c>
      <c r="K496" s="2">
        <f t="shared" si="30"/>
        <v>0.23541145027845953</v>
      </c>
      <c r="L496" s="2" t="str">
        <f t="shared" si="31"/>
        <v>A</v>
      </c>
      <c r="M496" s="52"/>
    </row>
    <row r="497" spans="1:13" x14ac:dyDescent="0.3">
      <c r="A497" s="2" t="s">
        <v>730</v>
      </c>
      <c r="B497" s="2" t="s">
        <v>1174</v>
      </c>
      <c r="C497" s="83">
        <v>12668.50728</v>
      </c>
      <c r="F497" s="50" t="s">
        <v>730</v>
      </c>
      <c r="G497" s="2" t="s">
        <v>1095</v>
      </c>
      <c r="H497" s="2">
        <v>4804.4682400000002</v>
      </c>
      <c r="I497" s="2">
        <f t="shared" si="28"/>
        <v>44425.722910000011</v>
      </c>
      <c r="J497" s="51">
        <f t="shared" si="29"/>
        <v>0.10814609026696419</v>
      </c>
      <c r="K497" s="2">
        <f t="shared" si="30"/>
        <v>0.10814609026696419</v>
      </c>
      <c r="L497" s="2" t="str">
        <f t="shared" si="31"/>
        <v>A</v>
      </c>
      <c r="M497" s="52"/>
    </row>
    <row r="498" spans="1:13" x14ac:dyDescent="0.3">
      <c r="A498" s="2" t="s">
        <v>730</v>
      </c>
      <c r="B498" s="2" t="s">
        <v>1182</v>
      </c>
      <c r="C498" s="83">
        <v>12289.2</v>
      </c>
      <c r="F498" s="50" t="s">
        <v>733</v>
      </c>
      <c r="G498" s="2" t="s">
        <v>791</v>
      </c>
      <c r="H498" s="2">
        <v>4790.1068000000005</v>
      </c>
      <c r="I498" s="2">
        <f t="shared" si="28"/>
        <v>42737.893359999995</v>
      </c>
      <c r="J498" s="51">
        <f t="shared" si="29"/>
        <v>0.11208102279751678</v>
      </c>
      <c r="K498" s="2">
        <f t="shared" si="30"/>
        <v>0.11208102279751678</v>
      </c>
      <c r="L498" s="2" t="str">
        <f t="shared" si="31"/>
        <v>A</v>
      </c>
      <c r="M498" s="52"/>
    </row>
    <row r="499" spans="1:13" x14ac:dyDescent="0.3">
      <c r="A499" s="2" t="s">
        <v>730</v>
      </c>
      <c r="B499" s="2" t="s">
        <v>978</v>
      </c>
      <c r="C499" s="83">
        <v>12248.675999999999</v>
      </c>
      <c r="F499" s="50" t="s">
        <v>728</v>
      </c>
      <c r="G499" s="2" t="s">
        <v>1214</v>
      </c>
      <c r="H499" s="2">
        <v>4738.5261</v>
      </c>
      <c r="I499" s="2">
        <f t="shared" si="28"/>
        <v>84090.019650000031</v>
      </c>
      <c r="J499" s="51">
        <f t="shared" si="29"/>
        <v>5.6350636136401455E-2</v>
      </c>
      <c r="K499" s="2">
        <f t="shared" si="30"/>
        <v>5.6350636136401455E-2</v>
      </c>
      <c r="L499" s="2" t="str">
        <f t="shared" si="31"/>
        <v>A</v>
      </c>
      <c r="M499" s="52"/>
    </row>
    <row r="500" spans="1:13" x14ac:dyDescent="0.3">
      <c r="A500" s="2" t="s">
        <v>730</v>
      </c>
      <c r="B500" s="2" t="s">
        <v>799</v>
      </c>
      <c r="C500" s="83">
        <v>12153.267360000002</v>
      </c>
      <c r="F500" s="50" t="s">
        <v>733</v>
      </c>
      <c r="G500" s="2" t="s">
        <v>1275</v>
      </c>
      <c r="H500" s="2">
        <v>4737.2198399999997</v>
      </c>
      <c r="I500" s="2">
        <f t="shared" si="28"/>
        <v>37947.786559999986</v>
      </c>
      <c r="J500" s="51">
        <f t="shared" si="29"/>
        <v>0.12483520830681097</v>
      </c>
      <c r="K500" s="2">
        <f t="shared" si="30"/>
        <v>0.12483520830681097</v>
      </c>
      <c r="L500" s="2" t="str">
        <f t="shared" si="31"/>
        <v>A</v>
      </c>
      <c r="M500" s="52"/>
    </row>
    <row r="501" spans="1:13" x14ac:dyDescent="0.3">
      <c r="A501" s="2" t="s">
        <v>730</v>
      </c>
      <c r="B501" s="2" t="s">
        <v>1186</v>
      </c>
      <c r="C501" s="83">
        <v>11984.891250000001</v>
      </c>
      <c r="F501" s="50" t="s">
        <v>727</v>
      </c>
      <c r="G501" s="2" t="s">
        <v>808</v>
      </c>
      <c r="H501" s="2">
        <v>4717.72</v>
      </c>
      <c r="I501" s="2">
        <f t="shared" si="28"/>
        <v>38298.856219999994</v>
      </c>
      <c r="J501" s="51">
        <f t="shared" si="29"/>
        <v>0.12318174654877463</v>
      </c>
      <c r="K501" s="2">
        <f t="shared" si="30"/>
        <v>0.12318174654877463</v>
      </c>
      <c r="L501" s="2" t="str">
        <f t="shared" si="31"/>
        <v>A</v>
      </c>
      <c r="M501" s="52"/>
    </row>
    <row r="502" spans="1:13" x14ac:dyDescent="0.3">
      <c r="A502" s="2" t="s">
        <v>730</v>
      </c>
      <c r="B502" s="2" t="s">
        <v>1266</v>
      </c>
      <c r="C502" s="83">
        <v>11924.0978</v>
      </c>
      <c r="F502" s="50" t="s">
        <v>732</v>
      </c>
      <c r="G502" s="2" t="s">
        <v>1228</v>
      </c>
      <c r="H502" s="2">
        <v>4682.9519799999998</v>
      </c>
      <c r="I502" s="2">
        <f t="shared" si="28"/>
        <v>33926.027150000002</v>
      </c>
      <c r="J502" s="51">
        <f t="shared" si="29"/>
        <v>0.13803419891444613</v>
      </c>
      <c r="K502" s="2">
        <f t="shared" si="30"/>
        <v>0.13803419891444613</v>
      </c>
      <c r="L502" s="2" t="str">
        <f t="shared" si="31"/>
        <v>A</v>
      </c>
      <c r="M502" s="52"/>
    </row>
    <row r="503" spans="1:13" x14ac:dyDescent="0.3">
      <c r="A503" s="2" t="s">
        <v>730</v>
      </c>
      <c r="B503" s="2" t="s">
        <v>931</v>
      </c>
      <c r="C503" s="83">
        <v>11326.846439999999</v>
      </c>
      <c r="F503" s="50" t="s">
        <v>731</v>
      </c>
      <c r="G503" s="2" t="s">
        <v>1141</v>
      </c>
      <c r="H503" s="2">
        <v>4679.7141600000004</v>
      </c>
      <c r="I503" s="2">
        <f t="shared" si="28"/>
        <v>37137.092290000001</v>
      </c>
      <c r="J503" s="51">
        <f t="shared" si="29"/>
        <v>0.126011862303504</v>
      </c>
      <c r="K503" s="2">
        <f t="shared" si="30"/>
        <v>0.126011862303504</v>
      </c>
      <c r="L503" s="2" t="str">
        <f t="shared" si="31"/>
        <v>A</v>
      </c>
      <c r="M503" s="52"/>
    </row>
    <row r="504" spans="1:13" x14ac:dyDescent="0.3">
      <c r="A504" s="2" t="s">
        <v>730</v>
      </c>
      <c r="B504" s="2" t="s">
        <v>1126</v>
      </c>
      <c r="C504" s="83">
        <v>11285.764020000001</v>
      </c>
      <c r="F504" s="50" t="s">
        <v>728</v>
      </c>
      <c r="G504" s="2" t="s">
        <v>935</v>
      </c>
      <c r="H504" s="2">
        <v>4637.7968000000001</v>
      </c>
      <c r="I504" s="2">
        <f t="shared" si="28"/>
        <v>79351.493550000028</v>
      </c>
      <c r="J504" s="51">
        <f t="shared" si="29"/>
        <v>5.8446244582374324E-2</v>
      </c>
      <c r="K504" s="2">
        <f t="shared" si="30"/>
        <v>5.8446244582374324E-2</v>
      </c>
      <c r="L504" s="2" t="str">
        <f t="shared" si="31"/>
        <v>A</v>
      </c>
      <c r="M504" s="52"/>
    </row>
    <row r="505" spans="1:13" x14ac:dyDescent="0.3">
      <c r="A505" s="2" t="s">
        <v>730</v>
      </c>
      <c r="B505" s="2" t="s">
        <v>796</v>
      </c>
      <c r="C505" s="83">
        <v>10947.904</v>
      </c>
      <c r="F505" s="50" t="s">
        <v>733</v>
      </c>
      <c r="G505" s="2" t="s">
        <v>1303</v>
      </c>
      <c r="H505" s="2">
        <v>4577.1480000000001</v>
      </c>
      <c r="I505" s="2">
        <f t="shared" si="28"/>
        <v>33210.566719999988</v>
      </c>
      <c r="J505" s="51">
        <f t="shared" si="29"/>
        <v>0.13782203834671575</v>
      </c>
      <c r="K505" s="2">
        <f t="shared" si="30"/>
        <v>0.13782203834671575</v>
      </c>
      <c r="L505" s="2" t="str">
        <f t="shared" si="31"/>
        <v>A</v>
      </c>
      <c r="M505" s="52"/>
    </row>
    <row r="506" spans="1:13" x14ac:dyDescent="0.3">
      <c r="A506" s="2" t="s">
        <v>730</v>
      </c>
      <c r="B506" s="2" t="s">
        <v>745</v>
      </c>
      <c r="C506" s="83">
        <v>10370.549999999999</v>
      </c>
      <c r="F506" s="50" t="s">
        <v>733</v>
      </c>
      <c r="G506" s="2" t="s">
        <v>793</v>
      </c>
      <c r="H506" s="2">
        <v>4569.8508000000002</v>
      </c>
      <c r="I506" s="2">
        <f t="shared" si="28"/>
        <v>28633.418719999994</v>
      </c>
      <c r="J506" s="51">
        <f t="shared" si="29"/>
        <v>0.15959850427528693</v>
      </c>
      <c r="K506" s="2">
        <f t="shared" si="30"/>
        <v>0.29742054262200268</v>
      </c>
      <c r="L506" s="2" t="str">
        <f t="shared" si="31"/>
        <v>A</v>
      </c>
      <c r="M506" s="52"/>
    </row>
    <row r="507" spans="1:13" x14ac:dyDescent="0.3">
      <c r="A507" s="2" t="s">
        <v>730</v>
      </c>
      <c r="B507" s="2" t="s">
        <v>1154</v>
      </c>
      <c r="C507" s="83">
        <v>9984.7160999999978</v>
      </c>
      <c r="F507" s="50" t="s">
        <v>728</v>
      </c>
      <c r="G507" s="2" t="s">
        <v>1103</v>
      </c>
      <c r="H507" s="2">
        <v>4569.5735999999997</v>
      </c>
      <c r="I507" s="2">
        <f t="shared" si="28"/>
        <v>74713.696750000017</v>
      </c>
      <c r="J507" s="51">
        <f t="shared" si="29"/>
        <v>6.1161123044015338E-2</v>
      </c>
      <c r="K507" s="2">
        <f t="shared" si="30"/>
        <v>6.1161123044015338E-2</v>
      </c>
      <c r="L507" s="2" t="str">
        <f t="shared" si="31"/>
        <v>A</v>
      </c>
      <c r="M507" s="52"/>
    </row>
    <row r="508" spans="1:13" x14ac:dyDescent="0.3">
      <c r="A508" s="2" t="s">
        <v>730</v>
      </c>
      <c r="B508" s="2" t="s">
        <v>975</v>
      </c>
      <c r="C508" s="83">
        <v>9684.8756000000012</v>
      </c>
      <c r="F508" s="50" t="s">
        <v>727</v>
      </c>
      <c r="G508" s="2" t="s">
        <v>956</v>
      </c>
      <c r="H508" s="2">
        <v>4503.4363999999996</v>
      </c>
      <c r="I508" s="2">
        <f t="shared" si="28"/>
        <v>33581.136219999993</v>
      </c>
      <c r="J508" s="51">
        <f t="shared" si="29"/>
        <v>0.13410613537602334</v>
      </c>
      <c r="K508" s="2">
        <f t="shared" si="30"/>
        <v>0.13410613537602334</v>
      </c>
      <c r="L508" s="2" t="str">
        <f t="shared" si="31"/>
        <v>A</v>
      </c>
      <c r="M508" s="52"/>
    </row>
    <row r="509" spans="1:13" x14ac:dyDescent="0.3">
      <c r="A509" s="2" t="s">
        <v>730</v>
      </c>
      <c r="B509" s="2" t="s">
        <v>1222</v>
      </c>
      <c r="C509" s="83">
        <v>9614.4403999999995</v>
      </c>
      <c r="F509" s="50" t="s">
        <v>728</v>
      </c>
      <c r="G509" s="2" t="s">
        <v>974</v>
      </c>
      <c r="H509" s="2">
        <v>4436.6291200000005</v>
      </c>
      <c r="I509" s="2">
        <f t="shared" si="28"/>
        <v>70144.123149999999</v>
      </c>
      <c r="J509" s="51">
        <f t="shared" si="29"/>
        <v>6.3250190048173699E-2</v>
      </c>
      <c r="K509" s="2">
        <f t="shared" si="30"/>
        <v>6.3250190048173699E-2</v>
      </c>
      <c r="L509" s="2" t="str">
        <f t="shared" si="31"/>
        <v>A</v>
      </c>
      <c r="M509" s="52"/>
    </row>
    <row r="510" spans="1:13" x14ac:dyDescent="0.3">
      <c r="A510" s="2" t="s">
        <v>730</v>
      </c>
      <c r="B510" s="2" t="s">
        <v>1050</v>
      </c>
      <c r="C510" s="83">
        <v>9062.34692</v>
      </c>
      <c r="F510" s="50" t="s">
        <v>728</v>
      </c>
      <c r="G510" s="2" t="s">
        <v>913</v>
      </c>
      <c r="H510" s="2">
        <v>4420.5961799999995</v>
      </c>
      <c r="I510" s="2">
        <f t="shared" si="28"/>
        <v>65707.494029999987</v>
      </c>
      <c r="J510" s="51">
        <f t="shared" si="29"/>
        <v>6.7276895052209629E-2</v>
      </c>
      <c r="K510" s="2">
        <f t="shared" si="30"/>
        <v>0.13052708510038333</v>
      </c>
      <c r="L510" s="2" t="str">
        <f t="shared" si="31"/>
        <v>A</v>
      </c>
      <c r="M510" s="52"/>
    </row>
    <row r="511" spans="1:13" x14ac:dyDescent="0.3">
      <c r="A511" s="2" t="s">
        <v>730</v>
      </c>
      <c r="B511" s="2" t="s">
        <v>1077</v>
      </c>
      <c r="C511" s="83">
        <v>8938.8996600000009</v>
      </c>
      <c r="F511" s="50" t="s">
        <v>733</v>
      </c>
      <c r="G511" s="2" t="s">
        <v>865</v>
      </c>
      <c r="H511" s="2">
        <v>4417.8334199999999</v>
      </c>
      <c r="I511" s="2">
        <f t="shared" si="28"/>
        <v>24063.567919999998</v>
      </c>
      <c r="J511" s="51">
        <f t="shared" si="29"/>
        <v>0.18359012407001365</v>
      </c>
      <c r="K511" s="2">
        <f t="shared" si="30"/>
        <v>0.18359012407001365</v>
      </c>
      <c r="L511" s="2" t="str">
        <f t="shared" si="31"/>
        <v>A</v>
      </c>
      <c r="M511" s="52"/>
    </row>
    <row r="512" spans="1:13" x14ac:dyDescent="0.3">
      <c r="A512" s="2" t="s">
        <v>730</v>
      </c>
      <c r="B512" s="2" t="s">
        <v>875</v>
      </c>
      <c r="C512" s="83">
        <v>8211.6342000000004</v>
      </c>
      <c r="F512" s="50" t="s">
        <v>728</v>
      </c>
      <c r="G512" s="2" t="s">
        <v>1330</v>
      </c>
      <c r="H512" s="2">
        <v>4409.5168800000001</v>
      </c>
      <c r="I512" s="2">
        <f t="shared" si="28"/>
        <v>61286.897849999994</v>
      </c>
      <c r="J512" s="51">
        <f t="shared" si="29"/>
        <v>7.1948769389377748E-2</v>
      </c>
      <c r="K512" s="2">
        <f t="shared" si="30"/>
        <v>7.1948769389377748E-2</v>
      </c>
      <c r="L512" s="2" t="str">
        <f t="shared" si="31"/>
        <v>A</v>
      </c>
      <c r="M512" s="52"/>
    </row>
    <row r="513" spans="1:13" x14ac:dyDescent="0.3">
      <c r="A513" s="2" t="s">
        <v>730</v>
      </c>
      <c r="B513" s="2" t="s">
        <v>896</v>
      </c>
      <c r="C513" s="83">
        <v>8154.5511600000009</v>
      </c>
      <c r="F513" s="50" t="s">
        <v>728</v>
      </c>
      <c r="G513" s="2" t="s">
        <v>927</v>
      </c>
      <c r="H513" s="2">
        <v>4402.1164799999997</v>
      </c>
      <c r="I513" s="2">
        <f t="shared" si="28"/>
        <v>56877.380969999998</v>
      </c>
      <c r="J513" s="51">
        <f t="shared" si="29"/>
        <v>7.7396610127352702E-2</v>
      </c>
      <c r="K513" s="2">
        <f t="shared" si="30"/>
        <v>0.14934537951673044</v>
      </c>
      <c r="L513" s="2" t="str">
        <f t="shared" si="31"/>
        <v>A</v>
      </c>
      <c r="M513" s="52"/>
    </row>
    <row r="514" spans="1:13" x14ac:dyDescent="0.3">
      <c r="A514" s="2" t="s">
        <v>730</v>
      </c>
      <c r="B514" s="2" t="s">
        <v>1037</v>
      </c>
      <c r="C514" s="83">
        <v>8093.4784</v>
      </c>
      <c r="F514" s="50" t="s">
        <v>732</v>
      </c>
      <c r="G514" s="2" t="s">
        <v>992</v>
      </c>
      <c r="H514" s="2">
        <v>4375.3620000000001</v>
      </c>
      <c r="I514" s="2">
        <f t="shared" si="28"/>
        <v>29243.075170000004</v>
      </c>
      <c r="J514" s="51">
        <f t="shared" si="29"/>
        <v>0.14962044773213909</v>
      </c>
      <c r="K514" s="2">
        <f t="shared" si="30"/>
        <v>0.14962044773213909</v>
      </c>
      <c r="L514" s="2" t="str">
        <f t="shared" si="31"/>
        <v>A</v>
      </c>
      <c r="M514" s="52"/>
    </row>
    <row r="515" spans="1:13" x14ac:dyDescent="0.3">
      <c r="A515" s="2" t="s">
        <v>730</v>
      </c>
      <c r="B515" s="2" t="s">
        <v>1234</v>
      </c>
      <c r="C515" s="83">
        <v>7428.1108999999988</v>
      </c>
      <c r="F515" s="50" t="s">
        <v>730</v>
      </c>
      <c r="G515" s="2" t="s">
        <v>871</v>
      </c>
      <c r="H515" s="2">
        <v>4336.2427499999994</v>
      </c>
      <c r="I515" s="2">
        <f t="shared" si="28"/>
        <v>39621.254670000002</v>
      </c>
      <c r="J515" s="51">
        <f t="shared" si="29"/>
        <v>0.10944233811160123</v>
      </c>
      <c r="K515" s="2">
        <f t="shared" si="30"/>
        <v>0.10944233811160123</v>
      </c>
      <c r="L515" s="2" t="str">
        <f t="shared" si="31"/>
        <v>A</v>
      </c>
      <c r="M515" s="52"/>
    </row>
    <row r="516" spans="1:13" x14ac:dyDescent="0.3">
      <c r="A516" s="2" t="s">
        <v>730</v>
      </c>
      <c r="B516" s="2" t="s">
        <v>1312</v>
      </c>
      <c r="C516" s="83">
        <v>7173.3342799999991</v>
      </c>
      <c r="F516" s="50" t="s">
        <v>729</v>
      </c>
      <c r="G516" s="2" t="s">
        <v>1311</v>
      </c>
      <c r="H516" s="2">
        <v>4280.6786400000001</v>
      </c>
      <c r="I516" s="2">
        <f t="shared" ref="I516:I579" si="32">SUMIF(F516:F1144, F516, H516:H1144)</f>
        <v>40129.292639999992</v>
      </c>
      <c r="J516" s="51">
        <f t="shared" ref="J516:J579" si="33">H516/I516</f>
        <v>0.10667216784511956</v>
      </c>
      <c r="K516" s="2">
        <f t="shared" si="30"/>
        <v>0.10667216784511956</v>
      </c>
      <c r="L516" s="2" t="str">
        <f t="shared" si="31"/>
        <v>A</v>
      </c>
      <c r="M516" s="52"/>
    </row>
    <row r="517" spans="1:13" x14ac:dyDescent="0.3">
      <c r="A517" s="2" t="s">
        <v>730</v>
      </c>
      <c r="B517" s="2" t="s">
        <v>1002</v>
      </c>
      <c r="C517" s="83">
        <v>6946.8</v>
      </c>
      <c r="F517" s="50" t="s">
        <v>728</v>
      </c>
      <c r="G517" s="2" t="s">
        <v>1030</v>
      </c>
      <c r="H517" s="2">
        <v>4241.88105</v>
      </c>
      <c r="I517" s="2">
        <f t="shared" si="32"/>
        <v>52475.264489999987</v>
      </c>
      <c r="J517" s="51">
        <f t="shared" si="33"/>
        <v>8.0835820290307628E-2</v>
      </c>
      <c r="K517" s="2">
        <f t="shared" ref="K517:K580" si="34">IF(F517=F516, K516+J517, J517)</f>
        <v>8.0835820290307628E-2</v>
      </c>
      <c r="L517" s="2" t="str">
        <f t="shared" ref="L517:L580" si="35">IF(K517&lt;=0.8,"A", IF(K517&lt;=0.95,"B","C"))</f>
        <v>A</v>
      </c>
      <c r="M517" s="52"/>
    </row>
    <row r="518" spans="1:13" x14ac:dyDescent="0.3">
      <c r="A518" s="2" t="s">
        <v>730</v>
      </c>
      <c r="B518" s="2" t="s">
        <v>972</v>
      </c>
      <c r="C518" s="83">
        <v>6684.1875</v>
      </c>
      <c r="F518" s="50" t="s">
        <v>731</v>
      </c>
      <c r="G518" s="2" t="s">
        <v>1297</v>
      </c>
      <c r="H518" s="2">
        <v>4229.4321199999995</v>
      </c>
      <c r="I518" s="2">
        <f t="shared" si="32"/>
        <v>32457.378130000005</v>
      </c>
      <c r="J518" s="51">
        <f t="shared" si="33"/>
        <v>0.1303072633612011</v>
      </c>
      <c r="K518" s="2">
        <f t="shared" si="34"/>
        <v>0.1303072633612011</v>
      </c>
      <c r="L518" s="2" t="str">
        <f t="shared" si="35"/>
        <v>A</v>
      </c>
      <c r="M518" s="52"/>
    </row>
    <row r="519" spans="1:13" x14ac:dyDescent="0.3">
      <c r="A519" s="2" t="s">
        <v>730</v>
      </c>
      <c r="B519" s="2" t="s">
        <v>965</v>
      </c>
      <c r="C519" s="83">
        <v>5814.6927299999998</v>
      </c>
      <c r="F519" s="50" t="s">
        <v>727</v>
      </c>
      <c r="G519" s="2" t="s">
        <v>1210</v>
      </c>
      <c r="H519" s="2">
        <v>4212.3745999999992</v>
      </c>
      <c r="I519" s="2">
        <f t="shared" si="32"/>
        <v>29077.699819999998</v>
      </c>
      <c r="J519" s="51">
        <f t="shared" si="33"/>
        <v>0.14486615606034547</v>
      </c>
      <c r="K519" s="2">
        <f t="shared" si="34"/>
        <v>0.14486615606034547</v>
      </c>
      <c r="L519" s="2" t="str">
        <f t="shared" si="35"/>
        <v>A</v>
      </c>
      <c r="M519" s="52"/>
    </row>
    <row r="520" spans="1:13" x14ac:dyDescent="0.3">
      <c r="A520" s="2" t="s">
        <v>730</v>
      </c>
      <c r="B520" s="2" t="s">
        <v>828</v>
      </c>
      <c r="C520" s="83">
        <v>5487.6023999999998</v>
      </c>
      <c r="F520" s="50" t="s">
        <v>731</v>
      </c>
      <c r="G520" s="2" t="s">
        <v>739</v>
      </c>
      <c r="H520" s="2">
        <v>4141.7599999999993</v>
      </c>
      <c r="I520" s="2">
        <f t="shared" si="32"/>
        <v>28227.94601</v>
      </c>
      <c r="J520" s="51">
        <f t="shared" si="33"/>
        <v>0.14672551798606756</v>
      </c>
      <c r="K520" s="2">
        <f t="shared" si="34"/>
        <v>0.14672551798606756</v>
      </c>
      <c r="L520" s="2" t="str">
        <f t="shared" si="35"/>
        <v>A</v>
      </c>
      <c r="M520" s="52"/>
    </row>
    <row r="521" spans="1:13" x14ac:dyDescent="0.3">
      <c r="A521" s="2" t="s">
        <v>730</v>
      </c>
      <c r="B521" s="2" t="s">
        <v>737</v>
      </c>
      <c r="C521" s="83">
        <v>5225.2710400000005</v>
      </c>
      <c r="F521" s="50" t="s">
        <v>728</v>
      </c>
      <c r="G521" s="2" t="s">
        <v>886</v>
      </c>
      <c r="H521" s="2">
        <v>4139.8127999999997</v>
      </c>
      <c r="I521" s="2">
        <f t="shared" si="32"/>
        <v>48233.383439999991</v>
      </c>
      <c r="J521" s="51">
        <f t="shared" si="33"/>
        <v>8.5828787133494955E-2</v>
      </c>
      <c r="K521" s="2">
        <f t="shared" si="34"/>
        <v>8.5828787133494955E-2</v>
      </c>
      <c r="L521" s="2" t="str">
        <f t="shared" si="35"/>
        <v>A</v>
      </c>
      <c r="M521" s="52"/>
    </row>
    <row r="522" spans="1:13" x14ac:dyDescent="0.3">
      <c r="A522" s="2" t="s">
        <v>730</v>
      </c>
      <c r="B522" s="2" t="s">
        <v>1246</v>
      </c>
      <c r="C522" s="83">
        <v>5189.8836000000001</v>
      </c>
      <c r="F522" s="50" t="s">
        <v>731</v>
      </c>
      <c r="G522" s="2" t="s">
        <v>1104</v>
      </c>
      <c r="H522" s="2">
        <v>4133.25108</v>
      </c>
      <c r="I522" s="2">
        <f t="shared" si="32"/>
        <v>24086.186010000001</v>
      </c>
      <c r="J522" s="51">
        <f t="shared" si="33"/>
        <v>0.17160255585022777</v>
      </c>
      <c r="K522" s="2">
        <f t="shared" si="34"/>
        <v>0.17160255585022777</v>
      </c>
      <c r="L522" s="2" t="str">
        <f t="shared" si="35"/>
        <v>A</v>
      </c>
      <c r="M522" s="52"/>
    </row>
    <row r="523" spans="1:13" x14ac:dyDescent="0.3">
      <c r="A523" s="2" t="s">
        <v>730</v>
      </c>
      <c r="B523" s="2" t="s">
        <v>1219</v>
      </c>
      <c r="C523" s="83">
        <v>5159.7893599999998</v>
      </c>
      <c r="F523" s="50" t="s">
        <v>728</v>
      </c>
      <c r="G523" s="2" t="s">
        <v>1084</v>
      </c>
      <c r="H523" s="2">
        <v>4132.0325200000007</v>
      </c>
      <c r="I523" s="2">
        <f t="shared" si="32"/>
        <v>44093.570639999991</v>
      </c>
      <c r="J523" s="51">
        <f t="shared" si="33"/>
        <v>9.3710544644610386E-2</v>
      </c>
      <c r="K523" s="2">
        <f t="shared" si="34"/>
        <v>9.3710544644610386E-2</v>
      </c>
      <c r="L523" s="2" t="str">
        <f t="shared" si="35"/>
        <v>A</v>
      </c>
      <c r="M523" s="52"/>
    </row>
    <row r="524" spans="1:13" x14ac:dyDescent="0.3">
      <c r="A524" s="2" t="s">
        <v>730</v>
      </c>
      <c r="B524" s="2" t="s">
        <v>1216</v>
      </c>
      <c r="C524" s="83">
        <v>5127.0390600000001</v>
      </c>
      <c r="F524" s="50" t="s">
        <v>728</v>
      </c>
      <c r="G524" s="2" t="s">
        <v>1107</v>
      </c>
      <c r="H524" s="2">
        <v>4117.4880599999997</v>
      </c>
      <c r="I524" s="2">
        <f t="shared" si="32"/>
        <v>39961.53811999999</v>
      </c>
      <c r="J524" s="51">
        <f t="shared" si="33"/>
        <v>0.1030362757218115</v>
      </c>
      <c r="K524" s="2">
        <f t="shared" si="34"/>
        <v>0.19674682036642188</v>
      </c>
      <c r="L524" s="2" t="str">
        <f t="shared" si="35"/>
        <v>A</v>
      </c>
      <c r="M524" s="52"/>
    </row>
    <row r="525" spans="1:13" x14ac:dyDescent="0.3">
      <c r="A525" s="2" t="s">
        <v>730</v>
      </c>
      <c r="B525" s="2" t="s">
        <v>1068</v>
      </c>
      <c r="C525" s="83">
        <v>4856.35725</v>
      </c>
      <c r="F525" s="50" t="s">
        <v>733</v>
      </c>
      <c r="G525" s="2" t="s">
        <v>1092</v>
      </c>
      <c r="H525" s="2">
        <v>4071.8</v>
      </c>
      <c r="I525" s="2">
        <f t="shared" si="32"/>
        <v>19645.734500000002</v>
      </c>
      <c r="J525" s="51">
        <f t="shared" si="33"/>
        <v>0.2072612759782537</v>
      </c>
      <c r="K525" s="2">
        <f t="shared" si="34"/>
        <v>0.2072612759782537</v>
      </c>
      <c r="L525" s="2" t="str">
        <f t="shared" si="35"/>
        <v>A</v>
      </c>
      <c r="M525" s="52"/>
    </row>
    <row r="526" spans="1:13" x14ac:dyDescent="0.3">
      <c r="A526" s="2" t="s">
        <v>730</v>
      </c>
      <c r="B526" s="2" t="s">
        <v>1095</v>
      </c>
      <c r="C526" s="83">
        <v>4804.4682400000002</v>
      </c>
      <c r="F526" s="50" t="s">
        <v>728</v>
      </c>
      <c r="G526" s="2" t="s">
        <v>1195</v>
      </c>
      <c r="H526" s="2">
        <v>4055.5175999999997</v>
      </c>
      <c r="I526" s="2">
        <f t="shared" si="32"/>
        <v>35844.050059999994</v>
      </c>
      <c r="J526" s="51">
        <f t="shared" si="33"/>
        <v>0.11314339738984285</v>
      </c>
      <c r="K526" s="2">
        <f t="shared" si="34"/>
        <v>0.11314339738984285</v>
      </c>
      <c r="L526" s="2" t="str">
        <f t="shared" si="35"/>
        <v>A</v>
      </c>
      <c r="M526" s="52"/>
    </row>
    <row r="527" spans="1:13" x14ac:dyDescent="0.3">
      <c r="A527" s="2" t="s">
        <v>730</v>
      </c>
      <c r="B527" s="2" t="s">
        <v>871</v>
      </c>
      <c r="C527" s="83">
        <v>4336.2427499999994</v>
      </c>
      <c r="F527" s="50" t="s">
        <v>728</v>
      </c>
      <c r="G527" s="2" t="s">
        <v>1221</v>
      </c>
      <c r="H527" s="2">
        <v>4025.8565599999993</v>
      </c>
      <c r="I527" s="2">
        <f t="shared" si="32"/>
        <v>31788.532460000002</v>
      </c>
      <c r="J527" s="51">
        <f t="shared" si="33"/>
        <v>0.12664493288785181</v>
      </c>
      <c r="K527" s="2">
        <f t="shared" si="34"/>
        <v>0.23978833027769464</v>
      </c>
      <c r="L527" s="2" t="str">
        <f t="shared" si="35"/>
        <v>A</v>
      </c>
      <c r="M527" s="52"/>
    </row>
    <row r="528" spans="1:13" x14ac:dyDescent="0.3">
      <c r="A528" s="2" t="s">
        <v>730</v>
      </c>
      <c r="B528" s="2" t="s">
        <v>761</v>
      </c>
      <c r="C528" s="83">
        <v>3980.7075</v>
      </c>
      <c r="F528" s="50" t="s">
        <v>730</v>
      </c>
      <c r="G528" s="2" t="s">
        <v>761</v>
      </c>
      <c r="H528" s="2">
        <v>3980.7075</v>
      </c>
      <c r="I528" s="2">
        <f t="shared" si="32"/>
        <v>35285.011919999997</v>
      </c>
      <c r="J528" s="51">
        <f t="shared" si="33"/>
        <v>0.11281581848477948</v>
      </c>
      <c r="K528" s="2">
        <f t="shared" si="34"/>
        <v>0.11281581848477948</v>
      </c>
      <c r="L528" s="2" t="str">
        <f t="shared" si="35"/>
        <v>A</v>
      </c>
      <c r="M528" s="52"/>
    </row>
    <row r="529" spans="1:13" x14ac:dyDescent="0.3">
      <c r="A529" s="2" t="s">
        <v>730</v>
      </c>
      <c r="B529" s="2" t="s">
        <v>1019</v>
      </c>
      <c r="C529" s="83">
        <v>3978.6474000000003</v>
      </c>
      <c r="F529" s="50" t="s">
        <v>730</v>
      </c>
      <c r="G529" s="2" t="s">
        <v>1019</v>
      </c>
      <c r="H529" s="2">
        <v>3978.6474000000003</v>
      </c>
      <c r="I529" s="2">
        <f t="shared" si="32"/>
        <v>31304.304419999997</v>
      </c>
      <c r="J529" s="51">
        <f t="shared" si="33"/>
        <v>0.12709585706233048</v>
      </c>
      <c r="K529" s="2">
        <f t="shared" si="34"/>
        <v>0.23991167554710996</v>
      </c>
      <c r="L529" s="2" t="str">
        <f t="shared" si="35"/>
        <v>A</v>
      </c>
      <c r="M529" s="52"/>
    </row>
    <row r="530" spans="1:13" x14ac:dyDescent="0.3">
      <c r="A530" s="2" t="s">
        <v>730</v>
      </c>
      <c r="B530" s="2" t="s">
        <v>762</v>
      </c>
      <c r="C530" s="83">
        <v>3913.2000000000003</v>
      </c>
      <c r="F530" s="50" t="s">
        <v>729</v>
      </c>
      <c r="G530" s="2" t="s">
        <v>928</v>
      </c>
      <c r="H530" s="2">
        <v>3928.3797600000003</v>
      </c>
      <c r="I530" s="2">
        <f t="shared" si="32"/>
        <v>35848.614000000001</v>
      </c>
      <c r="J530" s="51">
        <f t="shared" si="33"/>
        <v>0.10958247256086386</v>
      </c>
      <c r="K530" s="2">
        <f t="shared" si="34"/>
        <v>0.10958247256086386</v>
      </c>
      <c r="L530" s="2" t="str">
        <f t="shared" si="35"/>
        <v>A</v>
      </c>
      <c r="M530" s="52"/>
    </row>
    <row r="531" spans="1:13" x14ac:dyDescent="0.3">
      <c r="A531" s="2" t="s">
        <v>730</v>
      </c>
      <c r="B531" s="2" t="s">
        <v>1061</v>
      </c>
      <c r="C531" s="83">
        <v>3799.8031499999997</v>
      </c>
      <c r="F531" s="50" t="s">
        <v>731</v>
      </c>
      <c r="G531" s="2" t="s">
        <v>1241</v>
      </c>
      <c r="H531" s="2">
        <v>3921.1744000000008</v>
      </c>
      <c r="I531" s="2">
        <f t="shared" si="32"/>
        <v>19952.934930000003</v>
      </c>
      <c r="J531" s="51">
        <f t="shared" si="33"/>
        <v>0.19652118416445916</v>
      </c>
      <c r="K531" s="2">
        <f t="shared" si="34"/>
        <v>0.19652118416445916</v>
      </c>
      <c r="L531" s="2" t="str">
        <f t="shared" si="35"/>
        <v>A</v>
      </c>
      <c r="M531" s="52"/>
    </row>
    <row r="532" spans="1:13" x14ac:dyDescent="0.3">
      <c r="A532" s="2" t="s">
        <v>730</v>
      </c>
      <c r="B532" s="2" t="s">
        <v>867</v>
      </c>
      <c r="C532" s="83">
        <v>3494.4040799999998</v>
      </c>
      <c r="F532" s="50" t="s">
        <v>730</v>
      </c>
      <c r="G532" s="2" t="s">
        <v>762</v>
      </c>
      <c r="H532" s="2">
        <v>3913.2000000000003</v>
      </c>
      <c r="I532" s="2">
        <f t="shared" si="32"/>
        <v>27325.657019999999</v>
      </c>
      <c r="J532" s="51">
        <f t="shared" si="33"/>
        <v>0.14320607175651362</v>
      </c>
      <c r="K532" s="2">
        <f t="shared" si="34"/>
        <v>0.14320607175651362</v>
      </c>
      <c r="L532" s="2" t="str">
        <f t="shared" si="35"/>
        <v>A</v>
      </c>
      <c r="M532" s="52"/>
    </row>
    <row r="533" spans="1:13" x14ac:dyDescent="0.3">
      <c r="A533" s="2" t="s">
        <v>730</v>
      </c>
      <c r="B533" s="2" t="s">
        <v>979</v>
      </c>
      <c r="C533" s="83">
        <v>2909.8689199999999</v>
      </c>
      <c r="F533" s="50" t="s">
        <v>731</v>
      </c>
      <c r="G533" s="2" t="s">
        <v>1316</v>
      </c>
      <c r="H533" s="2">
        <v>3823.6151599999998</v>
      </c>
      <c r="I533" s="2">
        <f t="shared" si="32"/>
        <v>16031.760529999998</v>
      </c>
      <c r="J533" s="51">
        <f t="shared" si="33"/>
        <v>0.23850251211305989</v>
      </c>
      <c r="K533" s="2">
        <f t="shared" si="34"/>
        <v>0.23850251211305989</v>
      </c>
      <c r="L533" s="2" t="str">
        <f t="shared" si="35"/>
        <v>A</v>
      </c>
      <c r="M533" s="52"/>
    </row>
    <row r="534" spans="1:13" x14ac:dyDescent="0.3">
      <c r="A534" s="2" t="s">
        <v>730</v>
      </c>
      <c r="B534" s="2" t="s">
        <v>862</v>
      </c>
      <c r="C534" s="83">
        <v>2642.1686999999997</v>
      </c>
      <c r="F534" s="50" t="s">
        <v>731</v>
      </c>
      <c r="G534" s="2" t="s">
        <v>973</v>
      </c>
      <c r="H534" s="2">
        <v>3823.5108</v>
      </c>
      <c r="I534" s="2">
        <f t="shared" si="32"/>
        <v>12208.145369999998</v>
      </c>
      <c r="J534" s="51">
        <f t="shared" si="33"/>
        <v>0.313193419976453</v>
      </c>
      <c r="K534" s="2">
        <f t="shared" si="34"/>
        <v>0.55169593208951295</v>
      </c>
      <c r="L534" s="2" t="str">
        <f t="shared" si="35"/>
        <v>A</v>
      </c>
      <c r="M534" s="52"/>
    </row>
    <row r="535" spans="1:13" x14ac:dyDescent="0.3">
      <c r="A535" s="2" t="s">
        <v>730</v>
      </c>
      <c r="B535" s="2" t="s">
        <v>1064</v>
      </c>
      <c r="C535" s="83">
        <v>2537.2908000000002</v>
      </c>
      <c r="F535" s="50" t="s">
        <v>730</v>
      </c>
      <c r="G535" s="2" t="s">
        <v>1061</v>
      </c>
      <c r="H535" s="2">
        <v>3799.8031499999997</v>
      </c>
      <c r="I535" s="2">
        <f t="shared" si="32"/>
        <v>23412.457020000002</v>
      </c>
      <c r="J535" s="51">
        <f t="shared" si="33"/>
        <v>0.16229835026516151</v>
      </c>
      <c r="K535" s="2">
        <f t="shared" si="34"/>
        <v>0.16229835026516151</v>
      </c>
      <c r="L535" s="2" t="str">
        <f t="shared" si="35"/>
        <v>A</v>
      </c>
      <c r="M535" s="52"/>
    </row>
    <row r="536" spans="1:13" x14ac:dyDescent="0.3">
      <c r="A536" s="2" t="s">
        <v>730</v>
      </c>
      <c r="B536" s="2" t="s">
        <v>1081</v>
      </c>
      <c r="C536" s="83">
        <v>2206.8000000000002</v>
      </c>
      <c r="F536" s="50" t="s">
        <v>729</v>
      </c>
      <c r="G536" s="2" t="s">
        <v>1041</v>
      </c>
      <c r="H536" s="2">
        <v>3644.3212800000006</v>
      </c>
      <c r="I536" s="2">
        <f t="shared" si="32"/>
        <v>31920.234240000005</v>
      </c>
      <c r="J536" s="51">
        <f t="shared" si="33"/>
        <v>0.11416962834919346</v>
      </c>
      <c r="K536" s="2">
        <f t="shared" si="34"/>
        <v>0.11416962834919346</v>
      </c>
      <c r="L536" s="2" t="str">
        <f t="shared" si="35"/>
        <v>A</v>
      </c>
      <c r="M536" s="52"/>
    </row>
    <row r="537" spans="1:13" x14ac:dyDescent="0.3">
      <c r="A537" s="2" t="s">
        <v>730</v>
      </c>
      <c r="B537" s="2" t="s">
        <v>1145</v>
      </c>
      <c r="C537" s="83">
        <v>2059.0056</v>
      </c>
      <c r="F537" s="50" t="s">
        <v>729</v>
      </c>
      <c r="G537" s="2" t="s">
        <v>982</v>
      </c>
      <c r="H537" s="2">
        <v>3592.04</v>
      </c>
      <c r="I537" s="2">
        <f t="shared" si="32"/>
        <v>28275.912960000005</v>
      </c>
      <c r="J537" s="51">
        <f t="shared" si="33"/>
        <v>0.1270353323367989</v>
      </c>
      <c r="K537" s="2">
        <f t="shared" si="34"/>
        <v>0.24120496068599234</v>
      </c>
      <c r="L537" s="2" t="str">
        <f t="shared" si="35"/>
        <v>A</v>
      </c>
      <c r="M537" s="52"/>
    </row>
    <row r="538" spans="1:13" x14ac:dyDescent="0.3">
      <c r="A538" s="2" t="s">
        <v>730</v>
      </c>
      <c r="B538" s="2" t="s">
        <v>1304</v>
      </c>
      <c r="C538" s="83">
        <v>841.00536</v>
      </c>
      <c r="F538" s="50" t="s">
        <v>731</v>
      </c>
      <c r="G538" s="2" t="s">
        <v>880</v>
      </c>
      <c r="H538" s="2">
        <v>3562.9028999999996</v>
      </c>
      <c r="I538" s="2">
        <f t="shared" si="32"/>
        <v>8384.6345700000002</v>
      </c>
      <c r="J538" s="51">
        <f t="shared" si="33"/>
        <v>0.42493240107898939</v>
      </c>
      <c r="K538" s="2">
        <f t="shared" si="34"/>
        <v>0.42493240107898939</v>
      </c>
      <c r="L538" s="2" t="str">
        <f t="shared" si="35"/>
        <v>A</v>
      </c>
      <c r="M538" s="52"/>
    </row>
    <row r="539" spans="1:13" x14ac:dyDescent="0.3">
      <c r="A539" s="2" t="s">
        <v>730</v>
      </c>
      <c r="B539" s="2" t="s">
        <v>1016</v>
      </c>
      <c r="C539" s="83">
        <v>667.74</v>
      </c>
      <c r="F539" s="50" t="s">
        <v>728</v>
      </c>
      <c r="G539" s="2" t="s">
        <v>773</v>
      </c>
      <c r="H539" s="2">
        <v>3562.1983800000003</v>
      </c>
      <c r="I539" s="2">
        <f t="shared" si="32"/>
        <v>27762.675900000002</v>
      </c>
      <c r="J539" s="51">
        <f t="shared" si="33"/>
        <v>0.1283088990712167</v>
      </c>
      <c r="K539" s="2">
        <f t="shared" si="34"/>
        <v>0.1283088990712167</v>
      </c>
      <c r="L539" s="2" t="str">
        <f t="shared" si="35"/>
        <v>A</v>
      </c>
      <c r="M539" s="52"/>
    </row>
    <row r="540" spans="1:13" x14ac:dyDescent="0.3">
      <c r="A540" s="2" t="s">
        <v>730</v>
      </c>
      <c r="B540" s="2" t="s">
        <v>1264</v>
      </c>
      <c r="C540" s="83">
        <v>618.19979999999987</v>
      </c>
      <c r="F540" s="50" t="s">
        <v>727</v>
      </c>
      <c r="G540" s="2" t="s">
        <v>1244</v>
      </c>
      <c r="H540" s="2">
        <v>3525.5505600000001</v>
      </c>
      <c r="I540" s="2">
        <f t="shared" si="32"/>
        <v>24865.325219999999</v>
      </c>
      <c r="J540" s="51">
        <f t="shared" si="33"/>
        <v>0.14178582137201584</v>
      </c>
      <c r="K540" s="2">
        <f t="shared" si="34"/>
        <v>0.14178582137201584</v>
      </c>
      <c r="L540" s="2" t="str">
        <f t="shared" si="35"/>
        <v>A</v>
      </c>
      <c r="M540" s="52"/>
    </row>
    <row r="541" spans="1:13" x14ac:dyDescent="0.3">
      <c r="A541" s="2" t="s">
        <v>730</v>
      </c>
      <c r="B541" s="2" t="s">
        <v>997</v>
      </c>
      <c r="C541" s="83">
        <v>560.36831999999993</v>
      </c>
      <c r="F541" s="50" t="s">
        <v>730</v>
      </c>
      <c r="G541" s="2" t="s">
        <v>867</v>
      </c>
      <c r="H541" s="2">
        <v>3494.4040799999998</v>
      </c>
      <c r="I541" s="2">
        <f t="shared" si="32"/>
        <v>19612.653870000002</v>
      </c>
      <c r="J541" s="51">
        <f t="shared" si="33"/>
        <v>0.17817089431966809</v>
      </c>
      <c r="K541" s="2">
        <f t="shared" si="34"/>
        <v>0.17817089431966809</v>
      </c>
      <c r="L541" s="2" t="str">
        <f t="shared" si="35"/>
        <v>A</v>
      </c>
      <c r="M541" s="52"/>
    </row>
    <row r="542" spans="1:13" x14ac:dyDescent="0.3">
      <c r="A542" s="2" t="s">
        <v>730</v>
      </c>
      <c r="B542" s="2" t="s">
        <v>840</v>
      </c>
      <c r="C542" s="83">
        <v>518.65436999999997</v>
      </c>
      <c r="F542" s="50" t="s">
        <v>727</v>
      </c>
      <c r="G542" s="2" t="s">
        <v>1302</v>
      </c>
      <c r="H542" s="2">
        <v>3378.1478400000001</v>
      </c>
      <c r="I542" s="2">
        <f t="shared" si="32"/>
        <v>21339.774659999999</v>
      </c>
      <c r="J542" s="51">
        <f t="shared" si="33"/>
        <v>0.15830288247289301</v>
      </c>
      <c r="K542" s="2">
        <f t="shared" si="34"/>
        <v>0.15830288247289301</v>
      </c>
      <c r="L542" s="2" t="str">
        <f t="shared" si="35"/>
        <v>A</v>
      </c>
      <c r="M542" s="52"/>
    </row>
    <row r="543" spans="1:13" x14ac:dyDescent="0.3">
      <c r="A543" s="2" t="s">
        <v>730</v>
      </c>
      <c r="B543" s="2" t="s">
        <v>1318</v>
      </c>
      <c r="C543" s="83">
        <v>370.86</v>
      </c>
      <c r="F543" s="50" t="s">
        <v>729</v>
      </c>
      <c r="G543" s="2" t="s">
        <v>1272</v>
      </c>
      <c r="H543" s="2">
        <v>3340.6370000000002</v>
      </c>
      <c r="I543" s="2">
        <f t="shared" si="32"/>
        <v>24683.872960000004</v>
      </c>
      <c r="J543" s="51">
        <f t="shared" si="33"/>
        <v>0.13533682519811507</v>
      </c>
      <c r="K543" s="2">
        <f t="shared" si="34"/>
        <v>0.13533682519811507</v>
      </c>
      <c r="L543" s="2" t="str">
        <f t="shared" si="35"/>
        <v>A</v>
      </c>
      <c r="M543" s="52"/>
    </row>
    <row r="544" spans="1:13" x14ac:dyDescent="0.3">
      <c r="A544" s="2" t="s">
        <v>730</v>
      </c>
      <c r="B544" s="2" t="s">
        <v>1226</v>
      </c>
      <c r="C544" s="83">
        <v>110.14919999999999</v>
      </c>
      <c r="F544" s="50" t="s">
        <v>732</v>
      </c>
      <c r="G544" s="2" t="s">
        <v>1031</v>
      </c>
      <c r="H544" s="2">
        <v>3190.8713200000002</v>
      </c>
      <c r="I544" s="2">
        <f t="shared" si="32"/>
        <v>24867.713170000003</v>
      </c>
      <c r="J544" s="51">
        <f t="shared" si="33"/>
        <v>0.12831382195003818</v>
      </c>
      <c r="K544" s="2">
        <f t="shared" si="34"/>
        <v>0.12831382195003818</v>
      </c>
      <c r="L544" s="2" t="str">
        <f t="shared" si="35"/>
        <v>A</v>
      </c>
      <c r="M544" s="52"/>
    </row>
    <row r="545" spans="1:13" x14ac:dyDescent="0.3">
      <c r="A545" s="2" t="s">
        <v>730</v>
      </c>
      <c r="B545" s="2" t="s">
        <v>1020</v>
      </c>
      <c r="C545" s="83">
        <v>76.138720000000006</v>
      </c>
      <c r="F545" s="50" t="s">
        <v>729</v>
      </c>
      <c r="G545" s="2" t="s">
        <v>1078</v>
      </c>
      <c r="H545" s="2">
        <v>3175.1547799999998</v>
      </c>
      <c r="I545" s="2">
        <f t="shared" si="32"/>
        <v>21343.235960000002</v>
      </c>
      <c r="J545" s="51">
        <f t="shared" si="33"/>
        <v>0.14876632512289387</v>
      </c>
      <c r="K545" s="2">
        <f t="shared" si="34"/>
        <v>0.14876632512289387</v>
      </c>
      <c r="L545" s="2" t="str">
        <f t="shared" si="35"/>
        <v>A</v>
      </c>
      <c r="M545" s="52"/>
    </row>
    <row r="546" spans="1:13" x14ac:dyDescent="0.3">
      <c r="A546" s="2" t="s">
        <v>733</v>
      </c>
      <c r="B546" s="2" t="s">
        <v>1080</v>
      </c>
      <c r="C546" s="83">
        <v>79082.507010000001</v>
      </c>
      <c r="F546" s="50" t="s">
        <v>728</v>
      </c>
      <c r="G546" s="2" t="s">
        <v>1329</v>
      </c>
      <c r="H546" s="2">
        <v>3116.21</v>
      </c>
      <c r="I546" s="2">
        <f t="shared" si="32"/>
        <v>24200.477520000004</v>
      </c>
      <c r="J546" s="51">
        <f t="shared" si="33"/>
        <v>0.12876646741473055</v>
      </c>
      <c r="K546" s="2">
        <f t="shared" si="34"/>
        <v>0.12876646741473055</v>
      </c>
      <c r="L546" s="2" t="str">
        <f t="shared" si="35"/>
        <v>A</v>
      </c>
      <c r="M546" s="52"/>
    </row>
    <row r="547" spans="1:13" x14ac:dyDescent="0.3">
      <c r="A547" s="2" t="s">
        <v>733</v>
      </c>
      <c r="B547" s="2" t="s">
        <v>1053</v>
      </c>
      <c r="C547" s="83">
        <v>53034.364139999991</v>
      </c>
      <c r="F547" s="50" t="s">
        <v>733</v>
      </c>
      <c r="G547" s="2" t="s">
        <v>1072</v>
      </c>
      <c r="H547" s="2">
        <v>3021.5016000000001</v>
      </c>
      <c r="I547" s="2">
        <f t="shared" si="32"/>
        <v>15573.934500000003</v>
      </c>
      <c r="J547" s="51">
        <f t="shared" si="33"/>
        <v>0.19401016486874267</v>
      </c>
      <c r="K547" s="2">
        <f t="shared" si="34"/>
        <v>0.19401016486874267</v>
      </c>
      <c r="L547" s="2" t="str">
        <f t="shared" si="35"/>
        <v>A</v>
      </c>
      <c r="M547" s="52"/>
    </row>
    <row r="548" spans="1:13" x14ac:dyDescent="0.3">
      <c r="A548" s="2" t="s">
        <v>733</v>
      </c>
      <c r="B548" s="2" t="s">
        <v>1288</v>
      </c>
      <c r="C548" s="83">
        <v>46450.26</v>
      </c>
      <c r="F548" s="50" t="s">
        <v>732</v>
      </c>
      <c r="G548" s="2" t="s">
        <v>1052</v>
      </c>
      <c r="H548" s="2">
        <v>2915.4540999999999</v>
      </c>
      <c r="I548" s="2">
        <f t="shared" si="32"/>
        <v>21676.841850000004</v>
      </c>
      <c r="J548" s="51">
        <f t="shared" si="33"/>
        <v>0.1344962573503298</v>
      </c>
      <c r="K548" s="2">
        <f t="shared" si="34"/>
        <v>0.1344962573503298</v>
      </c>
      <c r="L548" s="2" t="str">
        <f t="shared" si="35"/>
        <v>A</v>
      </c>
      <c r="M548" s="52"/>
    </row>
    <row r="549" spans="1:13" x14ac:dyDescent="0.3">
      <c r="A549" s="2" t="s">
        <v>733</v>
      </c>
      <c r="B549" s="2" t="s">
        <v>1040</v>
      </c>
      <c r="C549" s="83">
        <v>43084.872000000003</v>
      </c>
      <c r="F549" s="50" t="s">
        <v>730</v>
      </c>
      <c r="G549" s="2" t="s">
        <v>979</v>
      </c>
      <c r="H549" s="2">
        <v>2909.8689199999999</v>
      </c>
      <c r="I549" s="2">
        <f t="shared" si="32"/>
        <v>16118.249790000002</v>
      </c>
      <c r="J549" s="51">
        <f t="shared" si="33"/>
        <v>0.18053256140783505</v>
      </c>
      <c r="K549" s="2">
        <f t="shared" si="34"/>
        <v>0.18053256140783505</v>
      </c>
      <c r="L549" s="2" t="str">
        <f t="shared" si="35"/>
        <v>A</v>
      </c>
      <c r="M549" s="52"/>
    </row>
    <row r="550" spans="1:13" x14ac:dyDescent="0.3">
      <c r="A550" s="2" t="s">
        <v>733</v>
      </c>
      <c r="B550" s="2" t="s">
        <v>752</v>
      </c>
      <c r="C550" s="83">
        <v>38096.18406</v>
      </c>
      <c r="F550" s="50" t="s">
        <v>732</v>
      </c>
      <c r="G550" s="2" t="s">
        <v>740</v>
      </c>
      <c r="H550" s="2">
        <v>2886.4496399999998</v>
      </c>
      <c r="I550" s="2">
        <f t="shared" si="32"/>
        <v>18761.387750000002</v>
      </c>
      <c r="J550" s="51">
        <f t="shared" si="33"/>
        <v>0.15385054018725239</v>
      </c>
      <c r="K550" s="2">
        <f t="shared" si="34"/>
        <v>0.15385054018725239</v>
      </c>
      <c r="L550" s="2" t="str">
        <f t="shared" si="35"/>
        <v>A</v>
      </c>
      <c r="M550" s="52"/>
    </row>
    <row r="551" spans="1:13" x14ac:dyDescent="0.3">
      <c r="A551" s="2" t="s">
        <v>733</v>
      </c>
      <c r="B551" s="2" t="s">
        <v>810</v>
      </c>
      <c r="C551" s="83">
        <v>35396.277799999996</v>
      </c>
      <c r="F551" s="50" t="s">
        <v>728</v>
      </c>
      <c r="G551" s="2" t="s">
        <v>966</v>
      </c>
      <c r="H551" s="2">
        <v>2879.9836</v>
      </c>
      <c r="I551" s="2">
        <f t="shared" si="32"/>
        <v>21084.267520000005</v>
      </c>
      <c r="J551" s="51">
        <f t="shared" si="33"/>
        <v>0.1365939602724221</v>
      </c>
      <c r="K551" s="2">
        <f t="shared" si="34"/>
        <v>0.1365939602724221</v>
      </c>
      <c r="L551" s="2" t="str">
        <f t="shared" si="35"/>
        <v>A</v>
      </c>
      <c r="M551" s="52"/>
    </row>
    <row r="552" spans="1:13" x14ac:dyDescent="0.3">
      <c r="A552" s="2" t="s">
        <v>733</v>
      </c>
      <c r="B552" s="2" t="s">
        <v>1094</v>
      </c>
      <c r="C552" s="83">
        <v>35167.7448</v>
      </c>
      <c r="F552" s="50" t="s">
        <v>729</v>
      </c>
      <c r="G552" s="2" t="s">
        <v>1172</v>
      </c>
      <c r="H552" s="2">
        <v>2795.6384399999997</v>
      </c>
      <c r="I552" s="2">
        <f t="shared" si="32"/>
        <v>18168.081180000001</v>
      </c>
      <c r="J552" s="51">
        <f t="shared" si="33"/>
        <v>0.15387637320101405</v>
      </c>
      <c r="K552" s="2">
        <f t="shared" si="34"/>
        <v>0.15387637320101405</v>
      </c>
      <c r="L552" s="2" t="str">
        <f t="shared" si="35"/>
        <v>A</v>
      </c>
      <c r="M552" s="52"/>
    </row>
    <row r="553" spans="1:13" x14ac:dyDescent="0.3">
      <c r="A553" s="2" t="s">
        <v>733</v>
      </c>
      <c r="B553" s="2" t="s">
        <v>831</v>
      </c>
      <c r="C553" s="83">
        <v>34139.159999999996</v>
      </c>
      <c r="F553" s="50" t="s">
        <v>728</v>
      </c>
      <c r="G553" s="2" t="s">
        <v>1340</v>
      </c>
      <c r="H553" s="2">
        <v>2736.27018</v>
      </c>
      <c r="I553" s="2">
        <f t="shared" si="32"/>
        <v>18204.283919999998</v>
      </c>
      <c r="J553" s="51">
        <f t="shared" si="33"/>
        <v>0.1503091355872459</v>
      </c>
      <c r="K553" s="2">
        <f t="shared" si="34"/>
        <v>0.1503091355872459</v>
      </c>
      <c r="L553" s="2" t="str">
        <f t="shared" si="35"/>
        <v>A</v>
      </c>
      <c r="M553" s="52"/>
    </row>
    <row r="554" spans="1:13" x14ac:dyDescent="0.3">
      <c r="A554" s="2" t="s">
        <v>733</v>
      </c>
      <c r="B554" s="2" t="s">
        <v>811</v>
      </c>
      <c r="C554" s="83">
        <v>33062.236480000007</v>
      </c>
      <c r="F554" s="50" t="s">
        <v>733</v>
      </c>
      <c r="G554" s="2" t="s">
        <v>1199</v>
      </c>
      <c r="H554" s="2">
        <v>2719.8567000000003</v>
      </c>
      <c r="I554" s="2">
        <f t="shared" si="32"/>
        <v>12552.432900000003</v>
      </c>
      <c r="J554" s="51">
        <f t="shared" si="33"/>
        <v>0.216679644628891</v>
      </c>
      <c r="K554" s="2">
        <f t="shared" si="34"/>
        <v>0.216679644628891</v>
      </c>
      <c r="L554" s="2" t="str">
        <f t="shared" si="35"/>
        <v>A</v>
      </c>
      <c r="M554" s="52"/>
    </row>
    <row r="555" spans="1:13" x14ac:dyDescent="0.3">
      <c r="A555" s="2" t="s">
        <v>733</v>
      </c>
      <c r="B555" s="2" t="s">
        <v>876</v>
      </c>
      <c r="C555" s="83">
        <v>32086.37586</v>
      </c>
      <c r="F555" s="50" t="s">
        <v>730</v>
      </c>
      <c r="G555" s="2" t="s">
        <v>862</v>
      </c>
      <c r="H555" s="2">
        <v>2642.1686999999997</v>
      </c>
      <c r="I555" s="2">
        <f t="shared" si="32"/>
        <v>13208.380870000001</v>
      </c>
      <c r="J555" s="51">
        <f t="shared" si="33"/>
        <v>0.20003728890049788</v>
      </c>
      <c r="K555" s="2">
        <f t="shared" si="34"/>
        <v>0.20003728890049788</v>
      </c>
      <c r="L555" s="2" t="str">
        <f t="shared" si="35"/>
        <v>A</v>
      </c>
      <c r="M555" s="52"/>
    </row>
    <row r="556" spans="1:13" x14ac:dyDescent="0.3">
      <c r="A556" s="2" t="s">
        <v>733</v>
      </c>
      <c r="B556" s="2" t="s">
        <v>1175</v>
      </c>
      <c r="C556" s="83">
        <v>31513.085009999999</v>
      </c>
      <c r="F556" s="50" t="s">
        <v>732</v>
      </c>
      <c r="G556" s="2" t="s">
        <v>1165</v>
      </c>
      <c r="H556" s="2">
        <v>2627.6239999999998</v>
      </c>
      <c r="I556" s="2">
        <f t="shared" si="32"/>
        <v>15874.938110000001</v>
      </c>
      <c r="J556" s="51">
        <f t="shared" si="33"/>
        <v>0.16552026734169106</v>
      </c>
      <c r="K556" s="2">
        <f t="shared" si="34"/>
        <v>0.16552026734169106</v>
      </c>
      <c r="L556" s="2" t="str">
        <f t="shared" si="35"/>
        <v>A</v>
      </c>
      <c r="M556" s="52"/>
    </row>
    <row r="557" spans="1:13" x14ac:dyDescent="0.3">
      <c r="A557" s="2" t="s">
        <v>733</v>
      </c>
      <c r="B557" s="2" t="s">
        <v>941</v>
      </c>
      <c r="C557" s="83">
        <v>28386.015839999996</v>
      </c>
      <c r="F557" s="50" t="s">
        <v>730</v>
      </c>
      <c r="G557" s="2" t="s">
        <v>1064</v>
      </c>
      <c r="H557" s="2">
        <v>2537.2908000000002</v>
      </c>
      <c r="I557" s="2">
        <f t="shared" si="32"/>
        <v>10566.212170000003</v>
      </c>
      <c r="J557" s="51">
        <f t="shared" si="33"/>
        <v>0.24013248637993226</v>
      </c>
      <c r="K557" s="2">
        <f t="shared" si="34"/>
        <v>0.24013248637993226</v>
      </c>
      <c r="L557" s="2" t="str">
        <f t="shared" si="35"/>
        <v>A</v>
      </c>
      <c r="M557" s="52"/>
    </row>
    <row r="558" spans="1:13" x14ac:dyDescent="0.3">
      <c r="A558" s="2" t="s">
        <v>733</v>
      </c>
      <c r="B558" s="2" t="s">
        <v>1074</v>
      </c>
      <c r="C558" s="83">
        <v>27465.647999999997</v>
      </c>
      <c r="F558" s="50" t="s">
        <v>728</v>
      </c>
      <c r="G558" s="2" t="s">
        <v>1124</v>
      </c>
      <c r="H558" s="2">
        <v>2525.0635000000002</v>
      </c>
      <c r="I558" s="2">
        <f t="shared" si="32"/>
        <v>15468.013739999999</v>
      </c>
      <c r="J558" s="51">
        <f t="shared" si="33"/>
        <v>0.16324419815261945</v>
      </c>
      <c r="K558" s="2">
        <f t="shared" si="34"/>
        <v>0.16324419815261945</v>
      </c>
      <c r="L558" s="2" t="str">
        <f t="shared" si="35"/>
        <v>A</v>
      </c>
      <c r="M558" s="52"/>
    </row>
    <row r="559" spans="1:13" x14ac:dyDescent="0.3">
      <c r="A559" s="2" t="s">
        <v>733</v>
      </c>
      <c r="B559" s="2" t="s">
        <v>1022</v>
      </c>
      <c r="C559" s="83">
        <v>26765.040239999998</v>
      </c>
      <c r="F559" s="50" t="s">
        <v>731</v>
      </c>
      <c r="G559" s="2" t="s">
        <v>787</v>
      </c>
      <c r="H559" s="2">
        <v>2518.8755800000004</v>
      </c>
      <c r="I559" s="2">
        <f t="shared" si="32"/>
        <v>4821.7316700000001</v>
      </c>
      <c r="J559" s="51">
        <f t="shared" si="33"/>
        <v>0.52240061297313967</v>
      </c>
      <c r="K559" s="2">
        <f t="shared" si="34"/>
        <v>0.52240061297313967</v>
      </c>
      <c r="L559" s="2" t="str">
        <f t="shared" si="35"/>
        <v>A</v>
      </c>
      <c r="M559" s="52"/>
    </row>
    <row r="560" spans="1:13" x14ac:dyDescent="0.3">
      <c r="A560" s="2" t="s">
        <v>733</v>
      </c>
      <c r="B560" s="2" t="s">
        <v>1086</v>
      </c>
      <c r="C560" s="83">
        <v>26552.60298</v>
      </c>
      <c r="F560" s="50" t="s">
        <v>729</v>
      </c>
      <c r="G560" s="2" t="s">
        <v>991</v>
      </c>
      <c r="H560" s="2">
        <v>2394.1605599999998</v>
      </c>
      <c r="I560" s="2">
        <f t="shared" si="32"/>
        <v>15372.442739999999</v>
      </c>
      <c r="J560" s="51">
        <f t="shared" si="33"/>
        <v>0.15574366419789962</v>
      </c>
      <c r="K560" s="2">
        <f t="shared" si="34"/>
        <v>0.15574366419789962</v>
      </c>
      <c r="L560" s="2" t="str">
        <f t="shared" si="35"/>
        <v>A</v>
      </c>
      <c r="M560" s="52"/>
    </row>
    <row r="561" spans="1:13" x14ac:dyDescent="0.3">
      <c r="A561" s="2" t="s">
        <v>733</v>
      </c>
      <c r="B561" s="2" t="s">
        <v>1171</v>
      </c>
      <c r="C561" s="83">
        <v>24278.849280000002</v>
      </c>
      <c r="F561" s="50" t="s">
        <v>727</v>
      </c>
      <c r="G561" s="2" t="s">
        <v>1060</v>
      </c>
      <c r="H561" s="2">
        <v>2373.9623200000001</v>
      </c>
      <c r="I561" s="2">
        <f t="shared" si="32"/>
        <v>17961.626820000001</v>
      </c>
      <c r="J561" s="51">
        <f t="shared" si="33"/>
        <v>0.13216855821526305</v>
      </c>
      <c r="K561" s="2">
        <f t="shared" si="34"/>
        <v>0.13216855821526305</v>
      </c>
      <c r="L561" s="2" t="str">
        <f t="shared" si="35"/>
        <v>A</v>
      </c>
      <c r="M561" s="52"/>
    </row>
    <row r="562" spans="1:13" x14ac:dyDescent="0.3">
      <c r="A562" s="2" t="s">
        <v>733</v>
      </c>
      <c r="B562" s="2" t="s">
        <v>1142</v>
      </c>
      <c r="C562" s="83">
        <v>23668.560000000001</v>
      </c>
      <c r="F562" s="50" t="s">
        <v>729</v>
      </c>
      <c r="G562" s="2" t="s">
        <v>1353</v>
      </c>
      <c r="H562" s="2">
        <v>2355.2113199999999</v>
      </c>
      <c r="I562" s="2">
        <f t="shared" si="32"/>
        <v>12978.282179999998</v>
      </c>
      <c r="J562" s="51">
        <f t="shared" si="33"/>
        <v>0.1814732710642912</v>
      </c>
      <c r="K562" s="2">
        <f t="shared" si="34"/>
        <v>0.1814732710642912</v>
      </c>
      <c r="L562" s="2" t="str">
        <f t="shared" si="35"/>
        <v>A</v>
      </c>
      <c r="M562" s="52"/>
    </row>
    <row r="563" spans="1:13" x14ac:dyDescent="0.3">
      <c r="A563" s="2" t="s">
        <v>733</v>
      </c>
      <c r="B563" s="2" t="s">
        <v>1026</v>
      </c>
      <c r="C563" s="83">
        <v>23375.594060000003</v>
      </c>
      <c r="F563" s="50" t="s">
        <v>727</v>
      </c>
      <c r="G563" s="2" t="s">
        <v>903</v>
      </c>
      <c r="H563" s="2">
        <v>2316.2621999999997</v>
      </c>
      <c r="I563" s="2">
        <f t="shared" si="32"/>
        <v>15587.664500000001</v>
      </c>
      <c r="J563" s="51">
        <f t="shared" si="33"/>
        <v>0.1485958464143233</v>
      </c>
      <c r="K563" s="2">
        <f t="shared" si="34"/>
        <v>0.1485958464143233</v>
      </c>
      <c r="L563" s="2" t="str">
        <f t="shared" si="35"/>
        <v>A</v>
      </c>
      <c r="M563" s="52"/>
    </row>
    <row r="564" spans="1:13" x14ac:dyDescent="0.3">
      <c r="A564" s="2" t="s">
        <v>733</v>
      </c>
      <c r="B564" s="2" t="s">
        <v>1089</v>
      </c>
      <c r="C564" s="83">
        <v>23195.01828</v>
      </c>
      <c r="F564" s="50" t="s">
        <v>732</v>
      </c>
      <c r="G564" s="2" t="s">
        <v>951</v>
      </c>
      <c r="H564" s="2">
        <v>2231.6467200000002</v>
      </c>
      <c r="I564" s="2">
        <f t="shared" si="32"/>
        <v>13247.314110000001</v>
      </c>
      <c r="J564" s="51">
        <f t="shared" si="33"/>
        <v>0.16846031591531424</v>
      </c>
      <c r="K564" s="2">
        <f t="shared" si="34"/>
        <v>0.16846031591531424</v>
      </c>
      <c r="L564" s="2" t="str">
        <f t="shared" si="35"/>
        <v>A</v>
      </c>
      <c r="M564" s="52"/>
    </row>
    <row r="565" spans="1:13" x14ac:dyDescent="0.3">
      <c r="A565" s="2" t="s">
        <v>733</v>
      </c>
      <c r="B565" s="2" t="s">
        <v>1212</v>
      </c>
      <c r="C565" s="83">
        <v>22620.859800000002</v>
      </c>
      <c r="F565" s="50" t="s">
        <v>730</v>
      </c>
      <c r="G565" s="2" t="s">
        <v>1081</v>
      </c>
      <c r="H565" s="2">
        <v>2206.8000000000002</v>
      </c>
      <c r="I565" s="2">
        <f t="shared" si="32"/>
        <v>8028.9213699999982</v>
      </c>
      <c r="J565" s="51">
        <f t="shared" si="33"/>
        <v>0.27485634723559393</v>
      </c>
      <c r="K565" s="2">
        <f t="shared" si="34"/>
        <v>0.27485634723559393</v>
      </c>
      <c r="L565" s="2" t="str">
        <f t="shared" si="35"/>
        <v>A</v>
      </c>
      <c r="M565" s="52"/>
    </row>
    <row r="566" spans="1:13" x14ac:dyDescent="0.3">
      <c r="A566" s="2" t="s">
        <v>733</v>
      </c>
      <c r="B566" s="2" t="s">
        <v>1255</v>
      </c>
      <c r="C566" s="83">
        <v>22526.66</v>
      </c>
      <c r="F566" s="50" t="s">
        <v>728</v>
      </c>
      <c r="G566" s="2" t="s">
        <v>1259</v>
      </c>
      <c r="H566" s="2">
        <v>2146.5580500000001</v>
      </c>
      <c r="I566" s="2">
        <f t="shared" si="32"/>
        <v>12942.95024</v>
      </c>
      <c r="J566" s="51">
        <f t="shared" si="33"/>
        <v>0.16584766302864193</v>
      </c>
      <c r="K566" s="2">
        <f t="shared" si="34"/>
        <v>0.16584766302864193</v>
      </c>
      <c r="L566" s="2" t="str">
        <f t="shared" si="35"/>
        <v>A</v>
      </c>
      <c r="M566" s="52"/>
    </row>
    <row r="567" spans="1:13" x14ac:dyDescent="0.3">
      <c r="A567" s="2" t="s">
        <v>733</v>
      </c>
      <c r="B567" s="2" t="s">
        <v>1270</v>
      </c>
      <c r="C567" s="83">
        <v>20430.771599999996</v>
      </c>
      <c r="F567" s="50" t="s">
        <v>733</v>
      </c>
      <c r="G567" s="2" t="s">
        <v>847</v>
      </c>
      <c r="H567" s="2">
        <v>2117.4834999999998</v>
      </c>
      <c r="I567" s="2">
        <f t="shared" si="32"/>
        <v>9832.5762000000013</v>
      </c>
      <c r="J567" s="51">
        <f t="shared" si="33"/>
        <v>0.21535388660400104</v>
      </c>
      <c r="K567" s="2">
        <f t="shared" si="34"/>
        <v>0.21535388660400104</v>
      </c>
      <c r="L567" s="2" t="str">
        <f t="shared" si="35"/>
        <v>A</v>
      </c>
      <c r="M567" s="52"/>
    </row>
    <row r="568" spans="1:13" x14ac:dyDescent="0.3">
      <c r="A568" s="2" t="s">
        <v>733</v>
      </c>
      <c r="B568" s="2" t="s">
        <v>1285</v>
      </c>
      <c r="C568" s="83">
        <v>20163.409200000002</v>
      </c>
      <c r="F568" s="50" t="s">
        <v>727</v>
      </c>
      <c r="G568" s="2" t="s">
        <v>1341</v>
      </c>
      <c r="H568" s="2">
        <v>2077.46</v>
      </c>
      <c r="I568" s="2">
        <f t="shared" si="32"/>
        <v>13271.402300000002</v>
      </c>
      <c r="J568" s="51">
        <f t="shared" si="33"/>
        <v>0.15653658543679291</v>
      </c>
      <c r="K568" s="2">
        <f t="shared" si="34"/>
        <v>0.15653658543679291</v>
      </c>
      <c r="L568" s="2" t="str">
        <f t="shared" si="35"/>
        <v>A</v>
      </c>
      <c r="M568" s="52"/>
    </row>
    <row r="569" spans="1:13" x14ac:dyDescent="0.3">
      <c r="A569" s="2" t="s">
        <v>733</v>
      </c>
      <c r="B569" s="2" t="s">
        <v>827</v>
      </c>
      <c r="C569" s="83">
        <v>20079.343620000003</v>
      </c>
      <c r="F569" s="50" t="s">
        <v>727</v>
      </c>
      <c r="G569" s="2" t="s">
        <v>858</v>
      </c>
      <c r="H569" s="2">
        <v>2072.9258400000003</v>
      </c>
      <c r="I569" s="2">
        <f t="shared" si="32"/>
        <v>11193.942300000001</v>
      </c>
      <c r="J569" s="51">
        <f t="shared" si="33"/>
        <v>0.18518282339189834</v>
      </c>
      <c r="K569" s="2">
        <f t="shared" si="34"/>
        <v>0.34171940882869123</v>
      </c>
      <c r="L569" s="2" t="str">
        <f t="shared" si="35"/>
        <v>A</v>
      </c>
      <c r="M569" s="52"/>
    </row>
    <row r="570" spans="1:13" x14ac:dyDescent="0.3">
      <c r="A570" s="2" t="s">
        <v>733</v>
      </c>
      <c r="B570" s="2" t="s">
        <v>1184</v>
      </c>
      <c r="C570" s="83">
        <v>19628.476999999999</v>
      </c>
      <c r="F570" s="50" t="s">
        <v>730</v>
      </c>
      <c r="G570" s="2" t="s">
        <v>1145</v>
      </c>
      <c r="H570" s="2">
        <v>2059.0056</v>
      </c>
      <c r="I570" s="2">
        <f t="shared" si="32"/>
        <v>5822.1213699999989</v>
      </c>
      <c r="J570" s="51">
        <f t="shared" si="33"/>
        <v>0.3536521259432282</v>
      </c>
      <c r="K570" s="2">
        <f t="shared" si="34"/>
        <v>0.3536521259432282</v>
      </c>
      <c r="L570" s="2" t="str">
        <f t="shared" si="35"/>
        <v>A</v>
      </c>
      <c r="M570" s="52"/>
    </row>
    <row r="571" spans="1:13" x14ac:dyDescent="0.3">
      <c r="A571" s="2" t="s">
        <v>733</v>
      </c>
      <c r="B571" s="2" t="s">
        <v>1024</v>
      </c>
      <c r="C571" s="83">
        <v>19066.045319999997</v>
      </c>
      <c r="F571" s="50" t="s">
        <v>728</v>
      </c>
      <c r="G571" s="2" t="s">
        <v>908</v>
      </c>
      <c r="H571" s="2">
        <v>1952.6356799999999</v>
      </c>
      <c r="I571" s="2">
        <f t="shared" si="32"/>
        <v>10796.39219</v>
      </c>
      <c r="J571" s="51">
        <f t="shared" si="33"/>
        <v>0.18086001746107372</v>
      </c>
      <c r="K571" s="2">
        <f t="shared" si="34"/>
        <v>0.18086001746107372</v>
      </c>
      <c r="L571" s="2" t="str">
        <f t="shared" si="35"/>
        <v>A</v>
      </c>
      <c r="M571" s="52"/>
    </row>
    <row r="572" spans="1:13" x14ac:dyDescent="0.3">
      <c r="A572" s="2" t="s">
        <v>733</v>
      </c>
      <c r="B572" s="2" t="s">
        <v>995</v>
      </c>
      <c r="C572" s="83">
        <v>17964.4038</v>
      </c>
      <c r="F572" s="50" t="s">
        <v>729</v>
      </c>
      <c r="G572" s="2" t="s">
        <v>1167</v>
      </c>
      <c r="H572" s="2">
        <v>1950.0031200000001</v>
      </c>
      <c r="I572" s="2">
        <f t="shared" si="32"/>
        <v>10623.07086</v>
      </c>
      <c r="J572" s="51">
        <f t="shared" si="33"/>
        <v>0.18356303423923506</v>
      </c>
      <c r="K572" s="2">
        <f t="shared" si="34"/>
        <v>0.18356303423923506</v>
      </c>
      <c r="L572" s="2" t="str">
        <f t="shared" si="35"/>
        <v>A</v>
      </c>
      <c r="M572" s="52"/>
    </row>
    <row r="573" spans="1:13" x14ac:dyDescent="0.3">
      <c r="A573" s="2" t="s">
        <v>733</v>
      </c>
      <c r="B573" s="2" t="s">
        <v>943</v>
      </c>
      <c r="C573" s="83">
        <v>17847.907199999998</v>
      </c>
      <c r="F573" s="50" t="s">
        <v>728</v>
      </c>
      <c r="G573" s="2" t="s">
        <v>1178</v>
      </c>
      <c r="H573" s="2">
        <v>1925.29872</v>
      </c>
      <c r="I573" s="2">
        <f t="shared" si="32"/>
        <v>8843.7565100000011</v>
      </c>
      <c r="J573" s="51">
        <f t="shared" si="33"/>
        <v>0.21770146179657765</v>
      </c>
      <c r="K573" s="2">
        <f t="shared" si="34"/>
        <v>0.21770146179657765</v>
      </c>
      <c r="L573" s="2" t="str">
        <f t="shared" si="35"/>
        <v>A</v>
      </c>
      <c r="M573" s="52"/>
    </row>
    <row r="574" spans="1:13" x14ac:dyDescent="0.3">
      <c r="A574" s="2" t="s">
        <v>733</v>
      </c>
      <c r="B574" s="2" t="s">
        <v>800</v>
      </c>
      <c r="C574" s="83">
        <v>16013.681599999998</v>
      </c>
      <c r="F574" s="50" t="s">
        <v>729</v>
      </c>
      <c r="G574" s="2" t="s">
        <v>1196</v>
      </c>
      <c r="H574" s="2">
        <v>1886.9915999999998</v>
      </c>
      <c r="I574" s="2">
        <f t="shared" si="32"/>
        <v>8673.0677400000004</v>
      </c>
      <c r="J574" s="51">
        <f t="shared" si="33"/>
        <v>0.21756910663769355</v>
      </c>
      <c r="K574" s="2">
        <f t="shared" si="34"/>
        <v>0.21756910663769355</v>
      </c>
      <c r="L574" s="2" t="str">
        <f t="shared" si="35"/>
        <v>A</v>
      </c>
      <c r="M574" s="52"/>
    </row>
    <row r="575" spans="1:13" x14ac:dyDescent="0.3">
      <c r="A575" s="2" t="s">
        <v>733</v>
      </c>
      <c r="B575" s="2" t="s">
        <v>744</v>
      </c>
      <c r="C575" s="83">
        <v>16006.14344</v>
      </c>
      <c r="F575" s="50" t="s">
        <v>732</v>
      </c>
      <c r="G575" s="2" t="s">
        <v>1283</v>
      </c>
      <c r="H575" s="2">
        <v>1846.8040799999999</v>
      </c>
      <c r="I575" s="2">
        <f t="shared" si="32"/>
        <v>11015.667390000001</v>
      </c>
      <c r="J575" s="51">
        <f t="shared" si="33"/>
        <v>0.16765249118510284</v>
      </c>
      <c r="K575" s="2">
        <f t="shared" si="34"/>
        <v>0.16765249118510284</v>
      </c>
      <c r="L575" s="2" t="str">
        <f t="shared" si="35"/>
        <v>A</v>
      </c>
      <c r="M575" s="52"/>
    </row>
    <row r="576" spans="1:13" x14ac:dyDescent="0.3">
      <c r="A576" s="2" t="s">
        <v>733</v>
      </c>
      <c r="B576" s="2" t="s">
        <v>1286</v>
      </c>
      <c r="C576" s="83">
        <v>15860.782080000001</v>
      </c>
      <c r="F576" s="50" t="s">
        <v>727</v>
      </c>
      <c r="G576" s="2" t="s">
        <v>1197</v>
      </c>
      <c r="H576" s="2">
        <v>1808.04592</v>
      </c>
      <c r="I576" s="2">
        <f t="shared" si="32"/>
        <v>9121.0164600000007</v>
      </c>
      <c r="J576" s="51">
        <f t="shared" si="33"/>
        <v>0.19822855576778553</v>
      </c>
      <c r="K576" s="2">
        <f t="shared" si="34"/>
        <v>0.19822855576778553</v>
      </c>
      <c r="L576" s="2" t="str">
        <f t="shared" si="35"/>
        <v>A</v>
      </c>
      <c r="M576" s="52"/>
    </row>
    <row r="577" spans="1:13" x14ac:dyDescent="0.3">
      <c r="A577" s="2" t="s">
        <v>733</v>
      </c>
      <c r="B577" s="2" t="s">
        <v>1279</v>
      </c>
      <c r="C577" s="83">
        <v>15530.929919999999</v>
      </c>
      <c r="F577" s="50" t="s">
        <v>732</v>
      </c>
      <c r="G577" s="2" t="s">
        <v>1314</v>
      </c>
      <c r="H577" s="2">
        <v>1801.4076000000002</v>
      </c>
      <c r="I577" s="2">
        <f t="shared" si="32"/>
        <v>9168.8633100000006</v>
      </c>
      <c r="J577" s="51">
        <f t="shared" si="33"/>
        <v>0.1964701118442129</v>
      </c>
      <c r="K577" s="2">
        <f t="shared" si="34"/>
        <v>0.1964701118442129</v>
      </c>
      <c r="L577" s="2" t="str">
        <f t="shared" si="35"/>
        <v>A</v>
      </c>
      <c r="M577" s="52"/>
    </row>
    <row r="578" spans="1:13" x14ac:dyDescent="0.3">
      <c r="A578" s="2" t="s">
        <v>733</v>
      </c>
      <c r="B578" s="2" t="s">
        <v>784</v>
      </c>
      <c r="C578" s="83">
        <v>14894.903999999999</v>
      </c>
      <c r="F578" s="50" t="s">
        <v>732</v>
      </c>
      <c r="G578" s="2" t="s">
        <v>945</v>
      </c>
      <c r="H578" s="2">
        <v>1774.8072</v>
      </c>
      <c r="I578" s="2">
        <f t="shared" si="32"/>
        <v>7367.4557100000002</v>
      </c>
      <c r="J578" s="51">
        <f t="shared" si="33"/>
        <v>0.24089825169780354</v>
      </c>
      <c r="K578" s="2">
        <f t="shared" si="34"/>
        <v>0.43736836354201647</v>
      </c>
      <c r="L578" s="2" t="str">
        <f t="shared" si="35"/>
        <v>A</v>
      </c>
      <c r="M578" s="52"/>
    </row>
    <row r="579" spans="1:13" x14ac:dyDescent="0.3">
      <c r="A579" s="2" t="s">
        <v>733</v>
      </c>
      <c r="B579" s="2" t="s">
        <v>1188</v>
      </c>
      <c r="C579" s="83">
        <v>14752.706080000002</v>
      </c>
      <c r="F579" s="50" t="s">
        <v>728</v>
      </c>
      <c r="G579" s="2" t="s">
        <v>760</v>
      </c>
      <c r="H579" s="2">
        <v>1756.6999999999998</v>
      </c>
      <c r="I579" s="2">
        <f t="shared" si="32"/>
        <v>6918.4577899999995</v>
      </c>
      <c r="J579" s="51">
        <f t="shared" si="33"/>
        <v>0.25391496968286048</v>
      </c>
      <c r="K579" s="2">
        <f t="shared" si="34"/>
        <v>0.25391496968286048</v>
      </c>
      <c r="L579" s="2" t="str">
        <f t="shared" si="35"/>
        <v>A</v>
      </c>
      <c r="M579" s="52"/>
    </row>
    <row r="580" spans="1:13" x14ac:dyDescent="0.3">
      <c r="A580" s="2" t="s">
        <v>733</v>
      </c>
      <c r="B580" s="2" t="s">
        <v>904</v>
      </c>
      <c r="C580" s="83">
        <v>14549.029120000001</v>
      </c>
      <c r="F580" s="50" t="s">
        <v>727</v>
      </c>
      <c r="G580" s="2" t="s">
        <v>1193</v>
      </c>
      <c r="H580" s="2">
        <v>1662.6945600000001</v>
      </c>
      <c r="I580" s="2">
        <f t="shared" ref="I580:I643" si="36">SUMIF(F580:F1208, F580, H580:H1208)</f>
        <v>7312.9705400000003</v>
      </c>
      <c r="J580" s="51">
        <f t="shared" ref="J580:J643" si="37">H580/I580</f>
        <v>0.2273624036778904</v>
      </c>
      <c r="K580" s="2">
        <f t="shared" si="34"/>
        <v>0.2273624036778904</v>
      </c>
      <c r="L580" s="2" t="str">
        <f t="shared" si="35"/>
        <v>A</v>
      </c>
      <c r="M580" s="52"/>
    </row>
    <row r="581" spans="1:13" x14ac:dyDescent="0.3">
      <c r="A581" s="2" t="s">
        <v>733</v>
      </c>
      <c r="B581" s="2" t="s">
        <v>1128</v>
      </c>
      <c r="C581" s="83">
        <v>14431.738420000001</v>
      </c>
      <c r="F581" s="50" t="s">
        <v>729</v>
      </c>
      <c r="G581" s="2" t="s">
        <v>842</v>
      </c>
      <c r="H581" s="2">
        <v>1660.3999999999999</v>
      </c>
      <c r="I581" s="2">
        <f t="shared" si="36"/>
        <v>6786.0761399999992</v>
      </c>
      <c r="J581" s="51">
        <f t="shared" si="37"/>
        <v>0.24467747867031744</v>
      </c>
      <c r="K581" s="2">
        <f t="shared" ref="K581:K632" si="38">IF(F581=F580, K580+J581, J581)</f>
        <v>0.24467747867031744</v>
      </c>
      <c r="L581" s="2" t="str">
        <f t="shared" ref="L581:L632" si="39">IF(K581&lt;=0.8,"A", IF(K581&lt;=0.95,"B","C"))</f>
        <v>A</v>
      </c>
      <c r="M581" s="52"/>
    </row>
    <row r="582" spans="1:13" x14ac:dyDescent="0.3">
      <c r="A582" s="2" t="s">
        <v>733</v>
      </c>
      <c r="B582" s="2" t="s">
        <v>1338</v>
      </c>
      <c r="C582" s="83">
        <v>13856.52411</v>
      </c>
      <c r="F582" s="50" t="s">
        <v>727</v>
      </c>
      <c r="G582" s="2" t="s">
        <v>821</v>
      </c>
      <c r="H582" s="2">
        <v>1654.8966000000003</v>
      </c>
      <c r="I582" s="2">
        <f t="shared" si="36"/>
        <v>5650.2759800000003</v>
      </c>
      <c r="J582" s="51">
        <f t="shared" si="37"/>
        <v>0.29288774669728612</v>
      </c>
      <c r="K582" s="2">
        <f t="shared" si="38"/>
        <v>0.29288774669728612</v>
      </c>
      <c r="L582" s="2" t="str">
        <f t="shared" si="39"/>
        <v>A</v>
      </c>
      <c r="M582" s="52"/>
    </row>
    <row r="583" spans="1:13" x14ac:dyDescent="0.3">
      <c r="A583" s="2" t="s">
        <v>733</v>
      </c>
      <c r="B583" s="2" t="s">
        <v>881</v>
      </c>
      <c r="C583" s="83">
        <v>13321.14</v>
      </c>
      <c r="F583" s="50" t="s">
        <v>732</v>
      </c>
      <c r="G583" s="2" t="s">
        <v>1039</v>
      </c>
      <c r="H583" s="2">
        <v>1641.7107199999998</v>
      </c>
      <c r="I583" s="2">
        <f t="shared" si="36"/>
        <v>5592.64851</v>
      </c>
      <c r="J583" s="51">
        <f t="shared" si="37"/>
        <v>0.29354798841095053</v>
      </c>
      <c r="K583" s="2">
        <f t="shared" si="38"/>
        <v>0.29354798841095053</v>
      </c>
      <c r="L583" s="2" t="str">
        <f t="shared" si="39"/>
        <v>A</v>
      </c>
      <c r="M583" s="52"/>
    </row>
    <row r="584" spans="1:13" x14ac:dyDescent="0.3">
      <c r="A584" s="2" t="s">
        <v>733</v>
      </c>
      <c r="B584" s="2" t="s">
        <v>1291</v>
      </c>
      <c r="C584" s="83">
        <v>13108.78584</v>
      </c>
      <c r="F584" s="50" t="s">
        <v>733</v>
      </c>
      <c r="G584" s="2" t="s">
        <v>1223</v>
      </c>
      <c r="H584" s="2">
        <v>1547.3500000000001</v>
      </c>
      <c r="I584" s="2">
        <f t="shared" si="36"/>
        <v>7715.0927000000011</v>
      </c>
      <c r="J584" s="51">
        <f t="shared" si="37"/>
        <v>0.20056142682511124</v>
      </c>
      <c r="K584" s="2">
        <f t="shared" si="38"/>
        <v>0.20056142682511124</v>
      </c>
      <c r="L584" s="2" t="str">
        <f t="shared" si="39"/>
        <v>A</v>
      </c>
      <c r="M584" s="52"/>
    </row>
    <row r="585" spans="1:13" x14ac:dyDescent="0.3">
      <c r="A585" s="2" t="s">
        <v>733</v>
      </c>
      <c r="B585" s="2" t="s">
        <v>1033</v>
      </c>
      <c r="C585" s="83">
        <v>12699.28</v>
      </c>
      <c r="F585" s="50" t="s">
        <v>729</v>
      </c>
      <c r="G585" s="2" t="s">
        <v>848</v>
      </c>
      <c r="H585" s="2">
        <v>1499.22</v>
      </c>
      <c r="I585" s="2">
        <f t="shared" si="36"/>
        <v>5125.6761400000005</v>
      </c>
      <c r="J585" s="51">
        <f t="shared" si="37"/>
        <v>0.2924921432901923</v>
      </c>
      <c r="K585" s="2">
        <f t="shared" si="38"/>
        <v>0.2924921432901923</v>
      </c>
      <c r="L585" s="2" t="str">
        <f t="shared" si="39"/>
        <v>A</v>
      </c>
      <c r="M585" s="52"/>
    </row>
    <row r="586" spans="1:13" x14ac:dyDescent="0.3">
      <c r="A586" s="2" t="s">
        <v>733</v>
      </c>
      <c r="B586" s="2" t="s">
        <v>1321</v>
      </c>
      <c r="C586" s="83">
        <v>12040.64352</v>
      </c>
      <c r="F586" s="50" t="s">
        <v>733</v>
      </c>
      <c r="G586" s="2" t="s">
        <v>873</v>
      </c>
      <c r="H586" s="2">
        <v>1446.9507000000001</v>
      </c>
      <c r="I586" s="2">
        <f t="shared" si="36"/>
        <v>6167.7427000000007</v>
      </c>
      <c r="J586" s="51">
        <f t="shared" si="37"/>
        <v>0.23459971830536963</v>
      </c>
      <c r="K586" s="2">
        <f t="shared" si="38"/>
        <v>0.23459971830536963</v>
      </c>
      <c r="L586" s="2" t="str">
        <f t="shared" si="39"/>
        <v>A</v>
      </c>
      <c r="M586" s="52"/>
    </row>
    <row r="587" spans="1:13" x14ac:dyDescent="0.3">
      <c r="A587" s="2" t="s">
        <v>733</v>
      </c>
      <c r="B587" s="2" t="s">
        <v>1227</v>
      </c>
      <c r="C587" s="83">
        <v>11859.695119999998</v>
      </c>
      <c r="F587" s="50" t="s">
        <v>728</v>
      </c>
      <c r="G587" s="2" t="s">
        <v>1088</v>
      </c>
      <c r="H587" s="2">
        <v>1122.0896000000002</v>
      </c>
      <c r="I587" s="2">
        <f t="shared" si="36"/>
        <v>5161.7577899999997</v>
      </c>
      <c r="J587" s="51">
        <f t="shared" si="37"/>
        <v>0.21738517103104915</v>
      </c>
      <c r="K587" s="2">
        <f t="shared" si="38"/>
        <v>0.21738517103104915</v>
      </c>
      <c r="L587" s="2" t="str">
        <f t="shared" si="39"/>
        <v>A</v>
      </c>
      <c r="M587" s="52"/>
    </row>
    <row r="588" spans="1:13" x14ac:dyDescent="0.3">
      <c r="A588" s="2" t="s">
        <v>733</v>
      </c>
      <c r="B588" s="2" t="s">
        <v>1046</v>
      </c>
      <c r="C588" s="83">
        <v>11283.400799999999</v>
      </c>
      <c r="F588" s="50" t="s">
        <v>729</v>
      </c>
      <c r="G588" s="2" t="s">
        <v>1075</v>
      </c>
      <c r="H588" s="2">
        <v>1115.1975999999997</v>
      </c>
      <c r="I588" s="2">
        <f t="shared" si="36"/>
        <v>3626.4561399999998</v>
      </c>
      <c r="J588" s="51">
        <f t="shared" si="37"/>
        <v>0.30751718949508644</v>
      </c>
      <c r="K588" s="2">
        <f t="shared" si="38"/>
        <v>0.30751718949508644</v>
      </c>
      <c r="L588" s="2" t="str">
        <f t="shared" si="39"/>
        <v>A</v>
      </c>
      <c r="M588" s="52"/>
    </row>
    <row r="589" spans="1:13" x14ac:dyDescent="0.3">
      <c r="A589" s="2" t="s">
        <v>733</v>
      </c>
      <c r="B589" s="2" t="s">
        <v>888</v>
      </c>
      <c r="C589" s="83">
        <v>11015.510400000003</v>
      </c>
      <c r="F589" s="50" t="s">
        <v>728</v>
      </c>
      <c r="G589" s="2" t="s">
        <v>1025</v>
      </c>
      <c r="H589" s="2">
        <v>1098.9470800000001</v>
      </c>
      <c r="I589" s="2">
        <f t="shared" si="36"/>
        <v>4039.6681900000003</v>
      </c>
      <c r="J589" s="51">
        <f t="shared" si="37"/>
        <v>0.27203894684231478</v>
      </c>
      <c r="K589" s="2">
        <f t="shared" si="38"/>
        <v>0.27203894684231478</v>
      </c>
      <c r="L589" s="2" t="str">
        <f t="shared" si="39"/>
        <v>A</v>
      </c>
      <c r="M589" s="52"/>
    </row>
    <row r="590" spans="1:13" x14ac:dyDescent="0.3">
      <c r="A590" s="2" t="s">
        <v>733</v>
      </c>
      <c r="B590" s="2" t="s">
        <v>756</v>
      </c>
      <c r="C590" s="83">
        <v>10936.992</v>
      </c>
      <c r="F590" s="50" t="s">
        <v>729</v>
      </c>
      <c r="G590" s="2" t="s">
        <v>1334</v>
      </c>
      <c r="H590" s="2">
        <v>1062.5902000000001</v>
      </c>
      <c r="I590" s="2">
        <f t="shared" si="36"/>
        <v>2511.2585399999998</v>
      </c>
      <c r="J590" s="51">
        <f t="shared" si="37"/>
        <v>0.42313054712399312</v>
      </c>
      <c r="K590" s="2">
        <f t="shared" si="38"/>
        <v>0.42313054712399312</v>
      </c>
      <c r="L590" s="2" t="str">
        <f t="shared" si="39"/>
        <v>A</v>
      </c>
      <c r="M590" s="52"/>
    </row>
    <row r="591" spans="1:13" x14ac:dyDescent="0.3">
      <c r="A591" s="2" t="s">
        <v>733</v>
      </c>
      <c r="B591" s="2" t="s">
        <v>1149</v>
      </c>
      <c r="C591" s="83">
        <v>10893.6232</v>
      </c>
      <c r="F591" s="50" t="s">
        <v>733</v>
      </c>
      <c r="G591" s="2" t="s">
        <v>1352</v>
      </c>
      <c r="H591" s="2">
        <v>1030.7574</v>
      </c>
      <c r="I591" s="2">
        <f t="shared" si="36"/>
        <v>4720.7920000000004</v>
      </c>
      <c r="J591" s="51">
        <f t="shared" si="37"/>
        <v>0.21834416767355982</v>
      </c>
      <c r="K591" s="2">
        <f t="shared" si="38"/>
        <v>0.21834416767355982</v>
      </c>
      <c r="L591" s="2" t="str">
        <f t="shared" si="39"/>
        <v>A</v>
      </c>
      <c r="M591" s="52"/>
    </row>
    <row r="592" spans="1:13" x14ac:dyDescent="0.3">
      <c r="A592" s="2" t="s">
        <v>733</v>
      </c>
      <c r="B592" s="2" t="s">
        <v>1355</v>
      </c>
      <c r="C592" s="83">
        <v>10693.88488</v>
      </c>
      <c r="F592" s="50" t="s">
        <v>733</v>
      </c>
      <c r="G592" s="2" t="s">
        <v>1250</v>
      </c>
      <c r="H592" s="2">
        <v>1010.3759200000001</v>
      </c>
      <c r="I592" s="2">
        <f t="shared" si="36"/>
        <v>3690.0346</v>
      </c>
      <c r="J592" s="51">
        <f t="shared" si="37"/>
        <v>0.27381204501442891</v>
      </c>
      <c r="K592" s="2">
        <f t="shared" si="38"/>
        <v>0.4921562126879887</v>
      </c>
      <c r="L592" s="2" t="str">
        <f t="shared" si="39"/>
        <v>A</v>
      </c>
      <c r="M592" s="52"/>
    </row>
    <row r="593" spans="1:13" x14ac:dyDescent="0.3">
      <c r="A593" s="2" t="s">
        <v>733</v>
      </c>
      <c r="B593" s="2" t="s">
        <v>804</v>
      </c>
      <c r="C593" s="83">
        <v>10647.727199999999</v>
      </c>
      <c r="F593" s="50" t="s">
        <v>731</v>
      </c>
      <c r="G593" s="2" t="s">
        <v>1209</v>
      </c>
      <c r="H593" s="2">
        <v>1009.2969000000002</v>
      </c>
      <c r="I593" s="2">
        <f t="shared" si="36"/>
        <v>2302.8560899999998</v>
      </c>
      <c r="J593" s="51">
        <f t="shared" si="37"/>
        <v>0.43828049194337637</v>
      </c>
      <c r="K593" s="2">
        <f t="shared" si="38"/>
        <v>0.43828049194337637</v>
      </c>
      <c r="L593" s="2" t="str">
        <f t="shared" si="39"/>
        <v>A</v>
      </c>
      <c r="M593" s="52"/>
    </row>
    <row r="594" spans="1:13" x14ac:dyDescent="0.3">
      <c r="A594" s="2" t="s">
        <v>733</v>
      </c>
      <c r="B594" s="2" t="s">
        <v>919</v>
      </c>
      <c r="C594" s="83">
        <v>10388.429999999998</v>
      </c>
      <c r="F594" s="50" t="s">
        <v>733</v>
      </c>
      <c r="G594" s="2" t="s">
        <v>1194</v>
      </c>
      <c r="H594" s="2">
        <v>930.17574000000002</v>
      </c>
      <c r="I594" s="2">
        <f t="shared" si="36"/>
        <v>2679.6586799999995</v>
      </c>
      <c r="J594" s="51">
        <f t="shared" si="37"/>
        <v>0.34712470918124549</v>
      </c>
      <c r="K594" s="2">
        <f t="shared" si="38"/>
        <v>0.34712470918124549</v>
      </c>
      <c r="L594" s="2" t="str">
        <f t="shared" si="39"/>
        <v>A</v>
      </c>
      <c r="M594" s="52"/>
    </row>
    <row r="595" spans="1:13" x14ac:dyDescent="0.3">
      <c r="A595" s="2" t="s">
        <v>733</v>
      </c>
      <c r="B595" s="2" t="s">
        <v>892</v>
      </c>
      <c r="C595" s="83">
        <v>10382.65884</v>
      </c>
      <c r="F595" s="50" t="s">
        <v>733</v>
      </c>
      <c r="G595" s="2" t="s">
        <v>955</v>
      </c>
      <c r="H595" s="2">
        <v>908.03700000000003</v>
      </c>
      <c r="I595" s="2">
        <f t="shared" si="36"/>
        <v>1749.4829400000001</v>
      </c>
      <c r="J595" s="51">
        <f t="shared" si="37"/>
        <v>0.51903164028567206</v>
      </c>
      <c r="K595" s="2">
        <f t="shared" si="38"/>
        <v>0.86615634946691755</v>
      </c>
      <c r="L595" s="2" t="str">
        <f t="shared" si="39"/>
        <v>B</v>
      </c>
      <c r="M595" s="52"/>
    </row>
    <row r="596" spans="1:13" x14ac:dyDescent="0.3">
      <c r="A596" s="2" t="s">
        <v>733</v>
      </c>
      <c r="B596" s="2" t="s">
        <v>1059</v>
      </c>
      <c r="C596" s="83">
        <v>9829.0483199999999</v>
      </c>
      <c r="F596" s="50" t="s">
        <v>729</v>
      </c>
      <c r="G596" s="2" t="s">
        <v>1045</v>
      </c>
      <c r="H596" s="2">
        <v>879.05840000000001</v>
      </c>
      <c r="I596" s="2">
        <f t="shared" si="36"/>
        <v>1448.6683399999999</v>
      </c>
      <c r="J596" s="51">
        <f t="shared" si="37"/>
        <v>0.60680445325394494</v>
      </c>
      <c r="K596" s="2">
        <f t="shared" si="38"/>
        <v>0.60680445325394494</v>
      </c>
      <c r="L596" s="2" t="str">
        <f t="shared" si="39"/>
        <v>A</v>
      </c>
      <c r="M596" s="52"/>
    </row>
    <row r="597" spans="1:13" x14ac:dyDescent="0.3">
      <c r="A597" s="2" t="s">
        <v>733</v>
      </c>
      <c r="B597" s="2" t="s">
        <v>1322</v>
      </c>
      <c r="C597" s="83">
        <v>9022.35</v>
      </c>
      <c r="F597" s="50" t="s">
        <v>727</v>
      </c>
      <c r="G597" s="2" t="s">
        <v>1252</v>
      </c>
      <c r="H597" s="2">
        <v>855.72881999999993</v>
      </c>
      <c r="I597" s="2">
        <f t="shared" si="36"/>
        <v>3995.3793800000003</v>
      </c>
      <c r="J597" s="51">
        <f t="shared" si="37"/>
        <v>0.21417961565392066</v>
      </c>
      <c r="K597" s="2">
        <f t="shared" si="38"/>
        <v>0.21417961565392066</v>
      </c>
      <c r="L597" s="2" t="str">
        <f t="shared" si="39"/>
        <v>A</v>
      </c>
      <c r="M597" s="52"/>
    </row>
    <row r="598" spans="1:13" x14ac:dyDescent="0.3">
      <c r="A598" s="2" t="s">
        <v>733</v>
      </c>
      <c r="B598" s="2" t="s">
        <v>1231</v>
      </c>
      <c r="C598" s="83">
        <v>8644.6696000000011</v>
      </c>
      <c r="F598" s="50" t="s">
        <v>727</v>
      </c>
      <c r="G598" s="2" t="s">
        <v>861</v>
      </c>
      <c r="H598" s="2">
        <v>853.32276999999988</v>
      </c>
      <c r="I598" s="2">
        <f t="shared" si="36"/>
        <v>3139.65056</v>
      </c>
      <c r="J598" s="51">
        <f t="shared" si="37"/>
        <v>0.27178909043941496</v>
      </c>
      <c r="K598" s="2">
        <f t="shared" si="38"/>
        <v>0.48596870609333565</v>
      </c>
      <c r="L598" s="2" t="str">
        <f t="shared" si="39"/>
        <v>A</v>
      </c>
      <c r="M598" s="52"/>
    </row>
    <row r="599" spans="1:13" x14ac:dyDescent="0.3">
      <c r="A599" s="2" t="s">
        <v>733</v>
      </c>
      <c r="B599" s="2" t="s">
        <v>759</v>
      </c>
      <c r="C599" s="83">
        <v>8596.2905599999995</v>
      </c>
      <c r="F599" s="50" t="s">
        <v>732</v>
      </c>
      <c r="G599" s="2" t="s">
        <v>1349</v>
      </c>
      <c r="H599" s="2">
        <v>846.34703999999988</v>
      </c>
      <c r="I599" s="2">
        <f t="shared" si="36"/>
        <v>3950.9377899999999</v>
      </c>
      <c r="J599" s="51">
        <f t="shared" si="37"/>
        <v>0.21421421570902535</v>
      </c>
      <c r="K599" s="2">
        <f t="shared" si="38"/>
        <v>0.21421421570902535</v>
      </c>
      <c r="L599" s="2" t="str">
        <f t="shared" si="39"/>
        <v>A</v>
      </c>
      <c r="M599" s="52"/>
    </row>
    <row r="600" spans="1:13" x14ac:dyDescent="0.3">
      <c r="A600" s="2" t="s">
        <v>733</v>
      </c>
      <c r="B600" s="2" t="s">
        <v>1326</v>
      </c>
      <c r="C600" s="83">
        <v>8366.02</v>
      </c>
      <c r="F600" s="50" t="s">
        <v>730</v>
      </c>
      <c r="G600" s="2" t="s">
        <v>1304</v>
      </c>
      <c r="H600" s="2">
        <v>841.00536</v>
      </c>
      <c r="I600" s="2">
        <f t="shared" si="36"/>
        <v>3763.1157699999999</v>
      </c>
      <c r="J600" s="51">
        <f t="shared" si="37"/>
        <v>0.22348644352230493</v>
      </c>
      <c r="K600" s="2">
        <f t="shared" si="38"/>
        <v>0.22348644352230493</v>
      </c>
      <c r="L600" s="2" t="str">
        <f t="shared" si="39"/>
        <v>A</v>
      </c>
      <c r="M600" s="52"/>
    </row>
    <row r="601" spans="1:13" x14ac:dyDescent="0.3">
      <c r="A601" s="2" t="s">
        <v>733</v>
      </c>
      <c r="B601" s="2" t="s">
        <v>1150</v>
      </c>
      <c r="C601" s="83">
        <v>7969.4615000000003</v>
      </c>
      <c r="F601" s="50" t="s">
        <v>728</v>
      </c>
      <c r="G601" s="2" t="s">
        <v>850</v>
      </c>
      <c r="H601" s="2">
        <v>765.99195000000009</v>
      </c>
      <c r="I601" s="2">
        <f t="shared" si="36"/>
        <v>2940.72111</v>
      </c>
      <c r="J601" s="51">
        <f t="shared" si="37"/>
        <v>0.26047759081785221</v>
      </c>
      <c r="K601" s="2">
        <f t="shared" si="38"/>
        <v>0.26047759081785221</v>
      </c>
      <c r="L601" s="2" t="str">
        <f t="shared" si="39"/>
        <v>A</v>
      </c>
      <c r="M601" s="52"/>
    </row>
    <row r="602" spans="1:13" x14ac:dyDescent="0.3">
      <c r="A602" s="2" t="s">
        <v>733</v>
      </c>
      <c r="B602" s="2" t="s">
        <v>948</v>
      </c>
      <c r="C602" s="83">
        <v>7854.6693599999999</v>
      </c>
      <c r="F602" s="50" t="s">
        <v>728</v>
      </c>
      <c r="G602" s="2" t="s">
        <v>977</v>
      </c>
      <c r="H602" s="2">
        <v>748.22303999999997</v>
      </c>
      <c r="I602" s="2">
        <f t="shared" si="36"/>
        <v>2174.7291599999999</v>
      </c>
      <c r="J602" s="51">
        <f t="shared" si="37"/>
        <v>0.34405343606097599</v>
      </c>
      <c r="K602" s="2">
        <f t="shared" si="38"/>
        <v>0.6045310268788282</v>
      </c>
      <c r="L602" s="2" t="str">
        <f t="shared" si="39"/>
        <v>A</v>
      </c>
      <c r="M602" s="52"/>
    </row>
    <row r="603" spans="1:13" x14ac:dyDescent="0.3">
      <c r="A603" s="2" t="s">
        <v>733</v>
      </c>
      <c r="B603" s="2" t="s">
        <v>916</v>
      </c>
      <c r="C603" s="83">
        <v>7689.4560000000001</v>
      </c>
      <c r="F603" s="50" t="s">
        <v>728</v>
      </c>
      <c r="G603" s="2" t="s">
        <v>1151</v>
      </c>
      <c r="H603" s="2">
        <v>741.43835999999999</v>
      </c>
      <c r="I603" s="2">
        <f t="shared" si="36"/>
        <v>1426.50612</v>
      </c>
      <c r="J603" s="51">
        <f t="shared" si="37"/>
        <v>0.51975827485408899</v>
      </c>
      <c r="K603" s="2">
        <f t="shared" si="38"/>
        <v>1.1242893017329172</v>
      </c>
      <c r="L603" s="2" t="str">
        <f t="shared" si="39"/>
        <v>C</v>
      </c>
      <c r="M603" s="52"/>
    </row>
    <row r="604" spans="1:13" x14ac:dyDescent="0.3">
      <c r="A604" s="2" t="s">
        <v>733</v>
      </c>
      <c r="B604" s="2" t="s">
        <v>748</v>
      </c>
      <c r="C604" s="83">
        <v>7578.84</v>
      </c>
      <c r="F604" s="50" t="s">
        <v>727</v>
      </c>
      <c r="G604" s="2" t="s">
        <v>1057</v>
      </c>
      <c r="H604" s="2">
        <v>703.2428000000001</v>
      </c>
      <c r="I604" s="2">
        <f t="shared" si="36"/>
        <v>2286.3277900000003</v>
      </c>
      <c r="J604" s="51">
        <f t="shared" si="37"/>
        <v>0.3075861663738077</v>
      </c>
      <c r="K604" s="2">
        <f t="shared" si="38"/>
        <v>0.3075861663738077</v>
      </c>
      <c r="L604" s="2" t="str">
        <f t="shared" si="39"/>
        <v>A</v>
      </c>
      <c r="M604" s="52"/>
    </row>
    <row r="605" spans="1:13" x14ac:dyDescent="0.3">
      <c r="A605" s="2" t="s">
        <v>733</v>
      </c>
      <c r="B605" s="2" t="s">
        <v>993</v>
      </c>
      <c r="C605" s="83">
        <v>7568.9632000000001</v>
      </c>
      <c r="F605" s="50" t="s">
        <v>728</v>
      </c>
      <c r="G605" s="2" t="s">
        <v>741</v>
      </c>
      <c r="H605" s="2">
        <v>685.06776000000002</v>
      </c>
      <c r="I605" s="2">
        <f t="shared" si="36"/>
        <v>685.06776000000002</v>
      </c>
      <c r="J605" s="51">
        <f t="shared" si="37"/>
        <v>1</v>
      </c>
      <c r="K605" s="2">
        <f t="shared" si="38"/>
        <v>1</v>
      </c>
      <c r="L605" s="2" t="str">
        <f t="shared" si="39"/>
        <v>C</v>
      </c>
      <c r="M605" s="52"/>
    </row>
    <row r="606" spans="1:13" x14ac:dyDescent="0.3">
      <c r="A606" s="2" t="s">
        <v>733</v>
      </c>
      <c r="B606" s="2" t="s">
        <v>1225</v>
      </c>
      <c r="C606" s="83">
        <v>7507.4514899999995</v>
      </c>
      <c r="F606" s="50" t="s">
        <v>730</v>
      </c>
      <c r="G606" s="2" t="s">
        <v>1016</v>
      </c>
      <c r="H606" s="2">
        <v>667.74</v>
      </c>
      <c r="I606" s="2">
        <f t="shared" si="36"/>
        <v>2922.1104099999998</v>
      </c>
      <c r="J606" s="51">
        <f t="shared" si="37"/>
        <v>0.22851292603964271</v>
      </c>
      <c r="K606" s="2">
        <f t="shared" si="38"/>
        <v>0.22851292603964271</v>
      </c>
      <c r="L606" s="2" t="str">
        <f t="shared" si="39"/>
        <v>A</v>
      </c>
      <c r="M606" s="52"/>
    </row>
    <row r="607" spans="1:13" x14ac:dyDescent="0.3">
      <c r="A607" s="2" t="s">
        <v>733</v>
      </c>
      <c r="B607" s="2" t="s">
        <v>1027</v>
      </c>
      <c r="C607" s="83">
        <v>7382.1450000000004</v>
      </c>
      <c r="F607" s="50" t="s">
        <v>727</v>
      </c>
      <c r="G607" s="2" t="s">
        <v>964</v>
      </c>
      <c r="H607" s="2">
        <v>667.15008</v>
      </c>
      <c r="I607" s="2">
        <f t="shared" si="36"/>
        <v>1583.0849900000001</v>
      </c>
      <c r="J607" s="51">
        <f t="shared" si="37"/>
        <v>0.42142404495920333</v>
      </c>
      <c r="K607" s="2">
        <f t="shared" si="38"/>
        <v>0.42142404495920333</v>
      </c>
      <c r="L607" s="2" t="str">
        <f t="shared" si="39"/>
        <v>A</v>
      </c>
      <c r="M607" s="52"/>
    </row>
    <row r="608" spans="1:13" x14ac:dyDescent="0.3">
      <c r="A608" s="2" t="s">
        <v>733</v>
      </c>
      <c r="B608" s="2" t="s">
        <v>1004</v>
      </c>
      <c r="C608" s="83">
        <v>7235.2134999999998</v>
      </c>
      <c r="F608" s="50" t="s">
        <v>732</v>
      </c>
      <c r="G608" s="2" t="s">
        <v>823</v>
      </c>
      <c r="H608" s="2">
        <v>624.43503999999996</v>
      </c>
      <c r="I608" s="2">
        <f t="shared" si="36"/>
        <v>3104.5907499999998</v>
      </c>
      <c r="J608" s="51">
        <f t="shared" si="37"/>
        <v>0.20113280309167963</v>
      </c>
      <c r="K608" s="2">
        <f t="shared" si="38"/>
        <v>0.20113280309167963</v>
      </c>
      <c r="L608" s="2" t="str">
        <f t="shared" si="39"/>
        <v>A</v>
      </c>
      <c r="M608" s="52"/>
    </row>
    <row r="609" spans="1:13" x14ac:dyDescent="0.3">
      <c r="A609" s="2" t="s">
        <v>733</v>
      </c>
      <c r="B609" s="2" t="s">
        <v>1066</v>
      </c>
      <c r="C609" s="83">
        <v>7105.3528000000006</v>
      </c>
      <c r="F609" s="50" t="s">
        <v>730</v>
      </c>
      <c r="G609" s="2" t="s">
        <v>1264</v>
      </c>
      <c r="H609" s="2">
        <v>618.19979999999987</v>
      </c>
      <c r="I609" s="2">
        <f t="shared" si="36"/>
        <v>2254.3704099999995</v>
      </c>
      <c r="J609" s="51">
        <f t="shared" si="37"/>
        <v>0.27422281505194168</v>
      </c>
      <c r="K609" s="2">
        <f t="shared" si="38"/>
        <v>0.27422281505194168</v>
      </c>
      <c r="L609" s="2" t="str">
        <f t="shared" si="39"/>
        <v>A</v>
      </c>
      <c r="M609" s="52"/>
    </row>
    <row r="610" spans="1:13" x14ac:dyDescent="0.3">
      <c r="A610" s="2" t="s">
        <v>733</v>
      </c>
      <c r="B610" s="2" t="s">
        <v>1310</v>
      </c>
      <c r="C610" s="83">
        <v>6732.4334000000008</v>
      </c>
      <c r="F610" s="50" t="s">
        <v>732</v>
      </c>
      <c r="G610" s="2" t="s">
        <v>981</v>
      </c>
      <c r="H610" s="2">
        <v>607.30668000000003</v>
      </c>
      <c r="I610" s="2">
        <f t="shared" si="36"/>
        <v>2480.15571</v>
      </c>
      <c r="J610" s="51">
        <f t="shared" si="37"/>
        <v>0.24486635155661257</v>
      </c>
      <c r="K610" s="2">
        <f t="shared" si="38"/>
        <v>0.24486635155661257</v>
      </c>
      <c r="L610" s="2" t="str">
        <f t="shared" si="39"/>
        <v>A</v>
      </c>
      <c r="M610" s="52"/>
    </row>
    <row r="611" spans="1:13" x14ac:dyDescent="0.3">
      <c r="A611" s="2" t="s">
        <v>733</v>
      </c>
      <c r="B611" s="2" t="s">
        <v>1011</v>
      </c>
      <c r="C611" s="83">
        <v>6066.54648</v>
      </c>
      <c r="F611" s="50" t="s">
        <v>732</v>
      </c>
      <c r="G611" s="2" t="s">
        <v>785</v>
      </c>
      <c r="H611" s="2">
        <v>599.53200000000004</v>
      </c>
      <c r="I611" s="2">
        <f t="shared" si="36"/>
        <v>1872.8490299999999</v>
      </c>
      <c r="J611" s="51">
        <f t="shared" si="37"/>
        <v>0.32011763382764497</v>
      </c>
      <c r="K611" s="2">
        <f t="shared" si="38"/>
        <v>0.56498398538425754</v>
      </c>
      <c r="L611" s="2" t="str">
        <f t="shared" si="39"/>
        <v>A</v>
      </c>
      <c r="M611" s="52"/>
    </row>
    <row r="612" spans="1:13" x14ac:dyDescent="0.3">
      <c r="A612" s="2" t="s">
        <v>733</v>
      </c>
      <c r="B612" s="2" t="s">
        <v>837</v>
      </c>
      <c r="C612" s="83">
        <v>5960.3340000000007</v>
      </c>
      <c r="F612" s="50" t="s">
        <v>731</v>
      </c>
      <c r="G612" s="2" t="s">
        <v>853</v>
      </c>
      <c r="H612" s="2">
        <v>592.92849000000001</v>
      </c>
      <c r="I612" s="2">
        <f t="shared" si="36"/>
        <v>1293.5591900000002</v>
      </c>
      <c r="J612" s="51">
        <f t="shared" si="37"/>
        <v>0.45836981761924628</v>
      </c>
      <c r="K612" s="2">
        <f t="shared" si="38"/>
        <v>0.45836981761924628</v>
      </c>
      <c r="L612" s="2" t="str">
        <f t="shared" si="39"/>
        <v>A</v>
      </c>
      <c r="M612" s="52"/>
    </row>
    <row r="613" spans="1:13" x14ac:dyDescent="0.3">
      <c r="A613" s="2" t="s">
        <v>733</v>
      </c>
      <c r="B613" s="2" t="s">
        <v>1067</v>
      </c>
      <c r="C613" s="83">
        <v>5610.0923999999995</v>
      </c>
      <c r="F613" s="50" t="s">
        <v>730</v>
      </c>
      <c r="G613" s="2" t="s">
        <v>997</v>
      </c>
      <c r="H613" s="2">
        <v>560.36831999999993</v>
      </c>
      <c r="I613" s="2">
        <f t="shared" si="36"/>
        <v>1636.1706099999999</v>
      </c>
      <c r="J613" s="51">
        <f t="shared" si="37"/>
        <v>0.34248770670682072</v>
      </c>
      <c r="K613" s="2">
        <f t="shared" si="38"/>
        <v>0.34248770670682072</v>
      </c>
      <c r="L613" s="2" t="str">
        <f t="shared" si="39"/>
        <v>A</v>
      </c>
      <c r="M613" s="52"/>
    </row>
    <row r="614" spans="1:13" x14ac:dyDescent="0.3">
      <c r="A614" s="2" t="s">
        <v>733</v>
      </c>
      <c r="B614" s="2" t="s">
        <v>961</v>
      </c>
      <c r="C614" s="83">
        <v>5533.6230000000005</v>
      </c>
      <c r="F614" s="50" t="s">
        <v>733</v>
      </c>
      <c r="G614" s="2" t="s">
        <v>843</v>
      </c>
      <c r="H614" s="2">
        <v>549.80010000000004</v>
      </c>
      <c r="I614" s="2">
        <f t="shared" si="36"/>
        <v>841.44594000000006</v>
      </c>
      <c r="J614" s="51">
        <f t="shared" si="37"/>
        <v>0.65339919519963452</v>
      </c>
      <c r="K614" s="2">
        <f t="shared" si="38"/>
        <v>0.65339919519963452</v>
      </c>
      <c r="L614" s="2" t="str">
        <f t="shared" si="39"/>
        <v>A</v>
      </c>
      <c r="M614" s="52"/>
    </row>
    <row r="615" spans="1:13" x14ac:dyDescent="0.3">
      <c r="A615" s="2" t="s">
        <v>733</v>
      </c>
      <c r="B615" s="2" t="s">
        <v>791</v>
      </c>
      <c r="C615" s="83">
        <v>4790.1068000000005</v>
      </c>
      <c r="F615" s="50" t="s">
        <v>732</v>
      </c>
      <c r="G615" s="2" t="s">
        <v>1265</v>
      </c>
      <c r="H615" s="2">
        <v>534.57695999999999</v>
      </c>
      <c r="I615" s="2">
        <f t="shared" si="36"/>
        <v>1273.3170299999999</v>
      </c>
      <c r="J615" s="51">
        <f t="shared" si="37"/>
        <v>0.41983021306170704</v>
      </c>
      <c r="K615" s="2">
        <f t="shared" si="38"/>
        <v>0.41983021306170704</v>
      </c>
      <c r="L615" s="2" t="str">
        <f t="shared" si="39"/>
        <v>A</v>
      </c>
      <c r="M615" s="52"/>
    </row>
    <row r="616" spans="1:13" x14ac:dyDescent="0.3">
      <c r="A616" s="2" t="s">
        <v>733</v>
      </c>
      <c r="B616" s="2" t="s">
        <v>1275</v>
      </c>
      <c r="C616" s="83">
        <v>4737.2198399999997</v>
      </c>
      <c r="F616" s="50" t="s">
        <v>732</v>
      </c>
      <c r="G616" s="2" t="s">
        <v>817</v>
      </c>
      <c r="H616" s="2">
        <v>524.81174999999996</v>
      </c>
      <c r="I616" s="2">
        <f t="shared" si="36"/>
        <v>738.74006999999995</v>
      </c>
      <c r="J616" s="51">
        <f t="shared" si="37"/>
        <v>0.71041462526866861</v>
      </c>
      <c r="K616" s="2">
        <f t="shared" si="38"/>
        <v>1.1302448383303756</v>
      </c>
      <c r="L616" s="2" t="str">
        <f t="shared" si="39"/>
        <v>C</v>
      </c>
      <c r="M616" s="52"/>
    </row>
    <row r="617" spans="1:13" x14ac:dyDescent="0.3">
      <c r="A617" s="2" t="s">
        <v>733</v>
      </c>
      <c r="B617" s="2" t="s">
        <v>1303</v>
      </c>
      <c r="C617" s="83">
        <v>4577.1480000000001</v>
      </c>
      <c r="F617" s="50" t="s">
        <v>730</v>
      </c>
      <c r="G617" s="2" t="s">
        <v>840</v>
      </c>
      <c r="H617" s="2">
        <v>518.65436999999997</v>
      </c>
      <c r="I617" s="2">
        <f t="shared" si="36"/>
        <v>1075.8022899999999</v>
      </c>
      <c r="J617" s="51">
        <f t="shared" si="37"/>
        <v>0.48210937532025522</v>
      </c>
      <c r="K617" s="2">
        <f t="shared" si="38"/>
        <v>0.48210937532025522</v>
      </c>
      <c r="L617" s="2" t="str">
        <f t="shared" si="39"/>
        <v>A</v>
      </c>
      <c r="M617" s="52"/>
    </row>
    <row r="618" spans="1:13" x14ac:dyDescent="0.3">
      <c r="A618" s="2" t="s">
        <v>733</v>
      </c>
      <c r="B618" s="2" t="s">
        <v>793</v>
      </c>
      <c r="C618" s="83">
        <v>4569.8508000000002</v>
      </c>
      <c r="F618" s="50" t="s">
        <v>727</v>
      </c>
      <c r="G618" s="2" t="s">
        <v>1307</v>
      </c>
      <c r="H618" s="2">
        <v>496.98660000000001</v>
      </c>
      <c r="I618" s="2">
        <f t="shared" si="36"/>
        <v>915.93490999999995</v>
      </c>
      <c r="J618" s="51">
        <f t="shared" si="37"/>
        <v>0.54260034700500726</v>
      </c>
      <c r="K618" s="2">
        <f t="shared" si="38"/>
        <v>0.54260034700500726</v>
      </c>
      <c r="L618" s="2" t="str">
        <f t="shared" si="39"/>
        <v>A</v>
      </c>
      <c r="M618" s="52"/>
    </row>
    <row r="619" spans="1:13" x14ac:dyDescent="0.3">
      <c r="A619" s="2" t="s">
        <v>733</v>
      </c>
      <c r="B619" s="2" t="s">
        <v>865</v>
      </c>
      <c r="C619" s="83">
        <v>4417.8334199999999</v>
      </c>
      <c r="F619" s="50" t="s">
        <v>731</v>
      </c>
      <c r="G619" s="2" t="s">
        <v>1122</v>
      </c>
      <c r="H619" s="2">
        <v>434.45248000000004</v>
      </c>
      <c r="I619" s="2">
        <f t="shared" si="36"/>
        <v>700.63069999999993</v>
      </c>
      <c r="J619" s="51">
        <f t="shared" si="37"/>
        <v>0.62008770098141586</v>
      </c>
      <c r="K619" s="2">
        <f t="shared" si="38"/>
        <v>0.62008770098141586</v>
      </c>
      <c r="L619" s="2" t="str">
        <f t="shared" si="39"/>
        <v>A</v>
      </c>
      <c r="M619" s="52"/>
    </row>
    <row r="620" spans="1:13" x14ac:dyDescent="0.3">
      <c r="A620" s="2" t="s">
        <v>733</v>
      </c>
      <c r="B620" s="2" t="s">
        <v>1092</v>
      </c>
      <c r="C620" s="83">
        <v>4071.8</v>
      </c>
      <c r="F620" s="50" t="s">
        <v>730</v>
      </c>
      <c r="G620" s="2" t="s">
        <v>1318</v>
      </c>
      <c r="H620" s="2">
        <v>370.86</v>
      </c>
      <c r="I620" s="2">
        <f t="shared" si="36"/>
        <v>557.14792</v>
      </c>
      <c r="J620" s="51">
        <f t="shared" si="37"/>
        <v>0.66564010505504534</v>
      </c>
      <c r="K620" s="2">
        <f t="shared" si="38"/>
        <v>0.66564010505504534</v>
      </c>
      <c r="L620" s="2" t="str">
        <f t="shared" si="39"/>
        <v>A</v>
      </c>
      <c r="M620" s="52"/>
    </row>
    <row r="621" spans="1:13" x14ac:dyDescent="0.3">
      <c r="A621" s="2" t="s">
        <v>733</v>
      </c>
      <c r="B621" s="2" t="s">
        <v>1072</v>
      </c>
      <c r="C621" s="83">
        <v>3021.5016000000001</v>
      </c>
      <c r="F621" s="50" t="s">
        <v>727</v>
      </c>
      <c r="G621" s="2" t="s">
        <v>911</v>
      </c>
      <c r="H621" s="2">
        <v>321.93290999999999</v>
      </c>
      <c r="I621" s="2">
        <f t="shared" si="36"/>
        <v>418.94830999999999</v>
      </c>
      <c r="J621" s="51">
        <f t="shared" si="37"/>
        <v>0.76843109833764456</v>
      </c>
      <c r="K621" s="2">
        <f t="shared" si="38"/>
        <v>0.76843109833764456</v>
      </c>
      <c r="L621" s="2" t="str">
        <f t="shared" si="39"/>
        <v>A</v>
      </c>
      <c r="M621" s="52"/>
    </row>
    <row r="622" spans="1:13" x14ac:dyDescent="0.3">
      <c r="A622" s="2" t="s">
        <v>733</v>
      </c>
      <c r="B622" s="2" t="s">
        <v>1199</v>
      </c>
      <c r="C622" s="83">
        <v>2719.8567000000003</v>
      </c>
      <c r="F622" s="50" t="s">
        <v>729</v>
      </c>
      <c r="G622" s="2" t="s">
        <v>736</v>
      </c>
      <c r="H622" s="2">
        <v>319.72248000000002</v>
      </c>
      <c r="I622" s="2">
        <f t="shared" si="36"/>
        <v>569.60994000000005</v>
      </c>
      <c r="J622" s="51">
        <f t="shared" si="37"/>
        <v>0.56130073853697149</v>
      </c>
      <c r="K622" s="2">
        <f t="shared" si="38"/>
        <v>0.56130073853697149</v>
      </c>
      <c r="L622" s="2" t="str">
        <f t="shared" si="39"/>
        <v>A</v>
      </c>
      <c r="M622" s="52"/>
    </row>
    <row r="623" spans="1:13" x14ac:dyDescent="0.3">
      <c r="A623" s="2" t="s">
        <v>733</v>
      </c>
      <c r="B623" s="2" t="s">
        <v>847</v>
      </c>
      <c r="C623" s="83">
        <v>2117.4834999999998</v>
      </c>
      <c r="F623" s="50" t="s">
        <v>733</v>
      </c>
      <c r="G623" s="2" t="s">
        <v>792</v>
      </c>
      <c r="H623" s="2">
        <v>272.98599999999999</v>
      </c>
      <c r="I623" s="2">
        <f t="shared" si="36"/>
        <v>291.64583999999996</v>
      </c>
      <c r="J623" s="51">
        <f t="shared" si="37"/>
        <v>0.93601883709364764</v>
      </c>
      <c r="K623" s="2">
        <f t="shared" si="38"/>
        <v>0.93601883709364764</v>
      </c>
      <c r="L623" s="2" t="str">
        <f t="shared" si="39"/>
        <v>B</v>
      </c>
      <c r="M623" s="52"/>
    </row>
    <row r="624" spans="1:13" x14ac:dyDescent="0.3">
      <c r="A624" s="2" t="s">
        <v>733</v>
      </c>
      <c r="B624" s="2" t="s">
        <v>1223</v>
      </c>
      <c r="C624" s="83">
        <v>1547.3500000000001</v>
      </c>
      <c r="F624" s="50" t="s">
        <v>731</v>
      </c>
      <c r="G624" s="2" t="s">
        <v>1363</v>
      </c>
      <c r="H624" s="2">
        <v>266.17821999999995</v>
      </c>
      <c r="I624" s="2">
        <f t="shared" si="36"/>
        <v>266.17821999999995</v>
      </c>
      <c r="J624" s="51">
        <f t="shared" si="37"/>
        <v>1</v>
      </c>
      <c r="K624" s="2">
        <f t="shared" si="38"/>
        <v>1</v>
      </c>
      <c r="L624" s="2" t="str">
        <f t="shared" si="39"/>
        <v>C</v>
      </c>
      <c r="M624" s="52"/>
    </row>
    <row r="625" spans="1:13" x14ac:dyDescent="0.3">
      <c r="A625" s="2" t="s">
        <v>733</v>
      </c>
      <c r="B625" s="2" t="s">
        <v>873</v>
      </c>
      <c r="C625" s="83">
        <v>1446.9507000000001</v>
      </c>
      <c r="F625" s="50" t="s">
        <v>729</v>
      </c>
      <c r="G625" s="2" t="s">
        <v>788</v>
      </c>
      <c r="H625" s="2">
        <v>215.19839999999996</v>
      </c>
      <c r="I625" s="2">
        <f t="shared" si="36"/>
        <v>249.88745999999998</v>
      </c>
      <c r="J625" s="51">
        <f t="shared" si="37"/>
        <v>0.86118126936021511</v>
      </c>
      <c r="K625" s="2">
        <f t="shared" si="38"/>
        <v>0.86118126936021511</v>
      </c>
      <c r="L625" s="2" t="str">
        <f t="shared" si="39"/>
        <v>B</v>
      </c>
      <c r="M625" s="52"/>
    </row>
    <row r="626" spans="1:13" x14ac:dyDescent="0.3">
      <c r="A626" s="2" t="s">
        <v>733</v>
      </c>
      <c r="B626" s="2" t="s">
        <v>1352</v>
      </c>
      <c r="C626" s="83">
        <v>1030.7574</v>
      </c>
      <c r="F626" s="50" t="s">
        <v>732</v>
      </c>
      <c r="G626" s="2" t="s">
        <v>830</v>
      </c>
      <c r="H626" s="2">
        <v>147.00756000000001</v>
      </c>
      <c r="I626" s="2">
        <f t="shared" si="36"/>
        <v>213.92832000000001</v>
      </c>
      <c r="J626" s="51">
        <f t="shared" si="37"/>
        <v>0.68718138860717459</v>
      </c>
      <c r="K626" s="2">
        <f t="shared" si="38"/>
        <v>0.68718138860717459</v>
      </c>
      <c r="L626" s="2" t="str">
        <f t="shared" si="39"/>
        <v>A</v>
      </c>
      <c r="M626" s="52"/>
    </row>
    <row r="627" spans="1:13" x14ac:dyDescent="0.3">
      <c r="A627" s="2" t="s">
        <v>733</v>
      </c>
      <c r="B627" s="2" t="s">
        <v>1250</v>
      </c>
      <c r="C627" s="83">
        <v>1010.3759200000001</v>
      </c>
      <c r="F627" s="50" t="s">
        <v>730</v>
      </c>
      <c r="G627" s="2" t="s">
        <v>1226</v>
      </c>
      <c r="H627" s="2">
        <v>110.14919999999999</v>
      </c>
      <c r="I627" s="2">
        <f t="shared" si="36"/>
        <v>186.28791999999999</v>
      </c>
      <c r="J627" s="51">
        <f t="shared" si="37"/>
        <v>0.59128471669016436</v>
      </c>
      <c r="K627" s="2">
        <f t="shared" si="38"/>
        <v>0.59128471669016436</v>
      </c>
      <c r="L627" s="2" t="str">
        <f t="shared" si="39"/>
        <v>A</v>
      </c>
      <c r="M627" s="52"/>
    </row>
    <row r="628" spans="1:13" x14ac:dyDescent="0.3">
      <c r="A628" s="2" t="s">
        <v>733</v>
      </c>
      <c r="B628" s="2" t="s">
        <v>1194</v>
      </c>
      <c r="C628" s="83">
        <v>930.17574000000002</v>
      </c>
      <c r="F628" s="50" t="s">
        <v>727</v>
      </c>
      <c r="G628" s="2" t="s">
        <v>906</v>
      </c>
      <c r="H628" s="2">
        <v>97.0154</v>
      </c>
      <c r="I628" s="2">
        <f t="shared" si="36"/>
        <v>97.0154</v>
      </c>
      <c r="J628" s="51">
        <f t="shared" si="37"/>
        <v>1</v>
      </c>
      <c r="K628" s="2">
        <f t="shared" si="38"/>
        <v>1</v>
      </c>
      <c r="L628" s="2" t="str">
        <f t="shared" si="39"/>
        <v>C</v>
      </c>
      <c r="M628" s="52"/>
    </row>
    <row r="629" spans="1:13" x14ac:dyDescent="0.3">
      <c r="A629" s="2" t="s">
        <v>733</v>
      </c>
      <c r="B629" s="2" t="s">
        <v>955</v>
      </c>
      <c r="C629" s="83">
        <v>908.03700000000003</v>
      </c>
      <c r="F629" s="50" t="s">
        <v>730</v>
      </c>
      <c r="G629" s="2" t="s">
        <v>1020</v>
      </c>
      <c r="H629" s="2">
        <v>76.138720000000006</v>
      </c>
      <c r="I629" s="2">
        <f t="shared" si="36"/>
        <v>76.138720000000006</v>
      </c>
      <c r="J629" s="51">
        <f t="shared" si="37"/>
        <v>1</v>
      </c>
      <c r="K629" s="2">
        <f t="shared" si="38"/>
        <v>1</v>
      </c>
      <c r="L629" s="2" t="str">
        <f t="shared" si="39"/>
        <v>C</v>
      </c>
      <c r="M629" s="52"/>
    </row>
    <row r="630" spans="1:13" x14ac:dyDescent="0.3">
      <c r="A630" s="2" t="s">
        <v>733</v>
      </c>
      <c r="B630" s="2" t="s">
        <v>843</v>
      </c>
      <c r="C630" s="83">
        <v>549.80010000000004</v>
      </c>
      <c r="F630" s="50" t="s">
        <v>732</v>
      </c>
      <c r="G630" s="2" t="s">
        <v>1032</v>
      </c>
      <c r="H630" s="2">
        <v>66.920760000000001</v>
      </c>
      <c r="I630" s="2">
        <f t="shared" si="36"/>
        <v>66.920760000000001</v>
      </c>
      <c r="J630" s="51">
        <f t="shared" si="37"/>
        <v>1</v>
      </c>
      <c r="K630" s="2">
        <f t="shared" si="38"/>
        <v>1</v>
      </c>
      <c r="L630" s="2" t="str">
        <f t="shared" si="39"/>
        <v>C</v>
      </c>
      <c r="M630" s="52"/>
    </row>
    <row r="631" spans="1:13" x14ac:dyDescent="0.3">
      <c r="A631" s="2" t="s">
        <v>733</v>
      </c>
      <c r="B631" s="2" t="s">
        <v>792</v>
      </c>
      <c r="C631" s="83">
        <v>272.98599999999999</v>
      </c>
      <c r="F631" s="50" t="s">
        <v>729</v>
      </c>
      <c r="G631" s="2" t="s">
        <v>846</v>
      </c>
      <c r="H631" s="2">
        <v>34.689059999999998</v>
      </c>
      <c r="I631" s="2">
        <f t="shared" si="36"/>
        <v>34.689059999999998</v>
      </c>
      <c r="J631" s="51">
        <f t="shared" si="37"/>
        <v>1</v>
      </c>
      <c r="K631" s="2">
        <f t="shared" si="38"/>
        <v>1</v>
      </c>
      <c r="L631" s="2" t="str">
        <f t="shared" si="39"/>
        <v>C</v>
      </c>
      <c r="M631" s="52"/>
    </row>
    <row r="632" spans="1:13" x14ac:dyDescent="0.3">
      <c r="A632" s="2" t="s">
        <v>733</v>
      </c>
      <c r="B632" s="2" t="s">
        <v>914</v>
      </c>
      <c r="C632" s="83">
        <v>18.659839999999999</v>
      </c>
      <c r="F632" s="50" t="s">
        <v>733</v>
      </c>
      <c r="G632" s="2" t="s">
        <v>914</v>
      </c>
      <c r="H632" s="2">
        <v>18.659839999999999</v>
      </c>
      <c r="I632" s="2">
        <f t="shared" si="36"/>
        <v>18.659839999999999</v>
      </c>
      <c r="J632" s="51">
        <f t="shared" si="37"/>
        <v>1</v>
      </c>
      <c r="K632" s="2">
        <f t="shared" si="38"/>
        <v>1</v>
      </c>
      <c r="L632" s="2" t="str">
        <f t="shared" si="39"/>
        <v>C</v>
      </c>
      <c r="M632" s="52"/>
    </row>
    <row r="633" spans="1:13" x14ac:dyDescent="0.3">
      <c r="A633"/>
      <c r="B633"/>
      <c r="C633"/>
      <c r="D633"/>
      <c r="F633" s="50"/>
      <c r="M633" s="52"/>
    </row>
    <row r="634" spans="1:13" x14ac:dyDescent="0.3">
      <c r="A634"/>
      <c r="B634"/>
      <c r="C634"/>
      <c r="D634"/>
      <c r="F634" s="50"/>
      <c r="M634" s="52"/>
    </row>
    <row r="635" spans="1:13" x14ac:dyDescent="0.3">
      <c r="A635"/>
      <c r="B635"/>
      <c r="C635"/>
      <c r="D635"/>
      <c r="F635" s="50"/>
      <c r="M635" s="52"/>
    </row>
    <row r="636" spans="1:13" x14ac:dyDescent="0.3">
      <c r="A636"/>
      <c r="B636"/>
      <c r="C636"/>
      <c r="D636"/>
      <c r="F636" s="50"/>
      <c r="M636" s="52"/>
    </row>
    <row r="637" spans="1:13" x14ac:dyDescent="0.3">
      <c r="A637"/>
      <c r="B637"/>
      <c r="C637"/>
      <c r="D637"/>
      <c r="F637" s="50"/>
      <c r="M637" s="52"/>
    </row>
    <row r="638" spans="1:13" x14ac:dyDescent="0.3">
      <c r="A638"/>
      <c r="B638"/>
      <c r="C638"/>
      <c r="D638"/>
      <c r="F638" s="53"/>
      <c r="G638" s="54"/>
      <c r="H638" s="54"/>
      <c r="I638" s="54"/>
      <c r="J638" s="54"/>
      <c r="K638" s="54"/>
      <c r="L638" s="54"/>
      <c r="M638" s="55"/>
    </row>
    <row r="639" spans="1:13" x14ac:dyDescent="0.3">
      <c r="A639"/>
      <c r="B639"/>
      <c r="C639"/>
      <c r="D639"/>
    </row>
    <row r="640" spans="1:13" x14ac:dyDescent="0.3">
      <c r="A640"/>
      <c r="B640"/>
      <c r="C640"/>
      <c r="D640"/>
    </row>
  </sheetData>
  <sortState xmlns:xlrd2="http://schemas.microsoft.com/office/spreadsheetml/2017/richdata2" ref="F4:L632">
    <sortCondition descending="1" ref="H6:H632"/>
  </sortState>
  <pageMargins left="0.7" right="0.7" top="0.75" bottom="0.75" header="0.3" footer="0.3"/>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73EB6-F352-424E-85AB-A104B3FC23B5}">
  <sheetPr>
    <outlinePr summaryBelow="0"/>
  </sheetPr>
  <dimension ref="B1:H12"/>
  <sheetViews>
    <sheetView showGridLines="0" topLeftCell="A7" workbookViewId="0">
      <selection activeCell="H6" sqref="H6"/>
    </sheetView>
  </sheetViews>
  <sheetFormatPr defaultRowHeight="14.4" outlineLevelRow="1" outlineLevelCol="1" x14ac:dyDescent="0.3"/>
  <cols>
    <col min="3" max="3" width="19.109375" bestFit="1" customWidth="1"/>
    <col min="4" max="7" width="22" customWidth="1" outlineLevel="1"/>
  </cols>
  <sheetData>
    <row r="1" spans="2:8" ht="15" thickBot="1" x14ac:dyDescent="0.35"/>
    <row r="2" spans="2:8" ht="15.6" x14ac:dyDescent="0.3">
      <c r="B2" s="70" t="s">
        <v>1468</v>
      </c>
      <c r="C2" s="70"/>
      <c r="D2" s="73"/>
      <c r="E2" s="73"/>
      <c r="F2" s="73"/>
      <c r="G2" s="73"/>
    </row>
    <row r="3" spans="2:8" ht="15.6" collapsed="1" x14ac:dyDescent="0.3">
      <c r="B3" s="69"/>
      <c r="C3" s="69"/>
      <c r="D3" s="74" t="s">
        <v>1470</v>
      </c>
      <c r="E3" s="74" t="s">
        <v>1464</v>
      </c>
      <c r="F3" s="74" t="s">
        <v>1466</v>
      </c>
      <c r="G3" s="74" t="s">
        <v>1467</v>
      </c>
    </row>
    <row r="4" spans="2:8" hidden="1" outlineLevel="1" x14ac:dyDescent="0.3">
      <c r="B4" s="71"/>
      <c r="C4" s="71"/>
      <c r="E4" s="76" t="s">
        <v>1465</v>
      </c>
      <c r="F4" s="76" t="s">
        <v>1465</v>
      </c>
      <c r="G4" s="76" t="s">
        <v>1465</v>
      </c>
    </row>
    <row r="5" spans="2:8" x14ac:dyDescent="0.3">
      <c r="B5" s="72" t="s">
        <v>1469</v>
      </c>
      <c r="C5" s="72"/>
      <c r="D5" s="77"/>
      <c r="E5" s="77"/>
      <c r="F5" s="77"/>
      <c r="G5" s="77"/>
      <c r="H5" s="2"/>
    </row>
    <row r="6" spans="2:8" outlineLevel="1" x14ac:dyDescent="0.3">
      <c r="B6" s="71"/>
      <c r="C6" s="71" t="s">
        <v>1461</v>
      </c>
      <c r="D6" s="36">
        <v>0.1</v>
      </c>
      <c r="E6" s="78">
        <v>0.1</v>
      </c>
      <c r="F6" s="78">
        <v>0.25</v>
      </c>
      <c r="G6" s="78">
        <v>0.05</v>
      </c>
      <c r="H6" s="2"/>
    </row>
    <row r="7" spans="2:8" outlineLevel="1" x14ac:dyDescent="0.3">
      <c r="B7" s="71"/>
      <c r="C7" s="71" t="s">
        <v>1462</v>
      </c>
      <c r="D7" s="36">
        <v>0.05</v>
      </c>
      <c r="E7" s="78">
        <v>0.05</v>
      </c>
      <c r="F7" s="78">
        <v>0.15</v>
      </c>
      <c r="G7" s="78">
        <v>0.02</v>
      </c>
      <c r="H7" s="2"/>
    </row>
    <row r="8" spans="2:8" outlineLevel="1" x14ac:dyDescent="0.3">
      <c r="B8" s="71"/>
      <c r="C8" s="71" t="s">
        <v>1463</v>
      </c>
      <c r="D8" s="36">
        <v>0.1</v>
      </c>
      <c r="E8" s="78">
        <v>0.08</v>
      </c>
      <c r="F8" s="78">
        <v>0</v>
      </c>
      <c r="G8" s="78">
        <v>0.15</v>
      </c>
      <c r="H8" s="2"/>
    </row>
    <row r="9" spans="2:8" ht="15" thickBot="1" x14ac:dyDescent="0.35">
      <c r="B9" s="75"/>
      <c r="C9" s="75"/>
      <c r="D9" s="79"/>
      <c r="E9" s="79"/>
      <c r="F9" s="79"/>
      <c r="G9" s="79"/>
      <c r="H9" s="2"/>
    </row>
    <row r="10" spans="2:8" x14ac:dyDescent="0.3">
      <c r="B10" t="s">
        <v>1471</v>
      </c>
    </row>
    <row r="11" spans="2:8" x14ac:dyDescent="0.3">
      <c r="B11" t="s">
        <v>1472</v>
      </c>
    </row>
    <row r="12" spans="2:8" x14ac:dyDescent="0.3">
      <c r="B12" t="s">
        <v>1473</v>
      </c>
    </row>
  </sheetData>
  <pageMargins left="0.7" right="0.7" top="0.75" bottom="0.75" header="0.3" footer="0.3"/>
  <pictur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14CCC-2FEF-4611-93E1-687AE09F1958}">
  <sheetPr>
    <tabColor rgb="FF92D050"/>
  </sheetPr>
  <dimension ref="A1:E11"/>
  <sheetViews>
    <sheetView workbookViewId="0">
      <selection activeCell="A8" sqref="A8"/>
    </sheetView>
  </sheetViews>
  <sheetFormatPr defaultRowHeight="14.4" x14ac:dyDescent="0.3"/>
  <cols>
    <col min="1" max="1" width="24.44140625" bestFit="1" customWidth="1"/>
    <col min="2" max="2" width="16.21875" customWidth="1"/>
    <col min="3" max="3" width="15.21875" bestFit="1" customWidth="1"/>
    <col min="4" max="4" width="11.6640625" bestFit="1" customWidth="1"/>
    <col min="5" max="5" width="13.44140625" bestFit="1" customWidth="1"/>
  </cols>
  <sheetData>
    <row r="1" spans="1:5" x14ac:dyDescent="0.3">
      <c r="A1" s="2"/>
      <c r="B1" s="2"/>
    </row>
    <row r="2" spans="1:5" ht="16.2" thickBot="1" x14ac:dyDescent="0.35">
      <c r="A2" s="59" t="s">
        <v>1455</v>
      </c>
      <c r="B2" s="2"/>
    </row>
    <row r="3" spans="1:5" x14ac:dyDescent="0.3">
      <c r="A3" s="61" t="s">
        <v>1451</v>
      </c>
      <c r="B3" s="62" t="s">
        <v>1454</v>
      </c>
    </row>
    <row r="4" spans="1:5" x14ac:dyDescent="0.3">
      <c r="A4" s="63" t="s">
        <v>1452</v>
      </c>
      <c r="B4" s="64">
        <v>0.1</v>
      </c>
    </row>
    <row r="5" spans="1:5" x14ac:dyDescent="0.3">
      <c r="A5" s="63" t="s">
        <v>1460</v>
      </c>
      <c r="B5" s="64">
        <v>0.05</v>
      </c>
    </row>
    <row r="6" spans="1:5" x14ac:dyDescent="0.3">
      <c r="A6" s="65" t="s">
        <v>1453</v>
      </c>
      <c r="B6" s="66">
        <v>0.1</v>
      </c>
    </row>
    <row r="7" spans="1:5" ht="15" thickBot="1" x14ac:dyDescent="0.35">
      <c r="A7" s="67"/>
      <c r="B7" s="68"/>
    </row>
    <row r="8" spans="1:5" x14ac:dyDescent="0.3">
      <c r="A8" s="2"/>
      <c r="B8" s="2"/>
    </row>
    <row r="9" spans="1:5" ht="15.6" x14ac:dyDescent="0.3">
      <c r="A9" s="59" t="s">
        <v>1456</v>
      </c>
    </row>
    <row r="10" spans="1:5" x14ac:dyDescent="0.3">
      <c r="A10" s="2" t="s">
        <v>1457</v>
      </c>
      <c r="B10" s="12" t="s">
        <v>1458</v>
      </c>
      <c r="C10" s="12" t="s">
        <v>1459</v>
      </c>
    </row>
    <row r="11" spans="1:5" x14ac:dyDescent="0.3">
      <c r="A11" s="60"/>
      <c r="B11" s="12"/>
      <c r="C11" s="12"/>
      <c r="D11" s="12"/>
      <c r="E11" s="12"/>
    </row>
  </sheetData>
  <scenarios current="0">
    <scenario name="Original" locked="1" count="3" user="Hp" comment="Created by Hp on 1/27/2026">
      <inputCells r="B4" val="0.1" numFmtId="9"/>
      <inputCells r="B5" val="0.05" numFmtId="9"/>
      <inputCells r="B6" val="0.08" numFmtId="9"/>
    </scenario>
    <scenario name="Worst Case - High Inflation" locked="1" count="3" user="Hp" comment="Created by Hp on 1/27/2026">
      <inputCells r="B4" val="0.25" numFmtId="9"/>
      <inputCells r="B5" val="0.15" numFmtId="9"/>
      <inputCells r="B6" val="0" numFmtId="9"/>
    </scenario>
    <scenario name="Best Case" locked="1" count="3" user="Hp" comment="Created by Hp on 1/27/2026">
      <inputCells r="B4" val="0.05" numFmtId="9"/>
      <inputCells r="B5" val="0.02" numFmtId="9"/>
      <inputCells r="B6" val="0.15" numFmtId="9"/>
    </scenario>
  </scenarios>
  <pageMargins left="0.7" right="0.7" top="0.75" bottom="0.75" header="0.3" footer="0.3"/>
  <pictur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A3F90-F5F4-4767-AFAF-156A466B3188}">
  <dimension ref="A1:J807"/>
  <sheetViews>
    <sheetView topLeftCell="A314" workbookViewId="0">
      <selection activeCell="K11" sqref="K11"/>
    </sheetView>
  </sheetViews>
  <sheetFormatPr defaultRowHeight="14.4" x14ac:dyDescent="0.3"/>
  <cols>
    <col min="1" max="1" width="12.5546875" style="2" bestFit="1" customWidth="1"/>
    <col min="2" max="2" width="13.21875" style="37" bestFit="1" customWidth="1"/>
    <col min="3" max="3" width="11.21875" style="2" bestFit="1" customWidth="1"/>
    <col min="4" max="4" width="23.109375" style="2" bestFit="1" customWidth="1"/>
    <col min="5" max="5" width="12.109375" style="2" bestFit="1" customWidth="1"/>
    <col min="6" max="8" width="12" style="2" bestFit="1" customWidth="1"/>
    <col min="9" max="16384" width="8.88671875" style="2"/>
  </cols>
  <sheetData>
    <row r="1" spans="1:10" ht="1.8" customHeight="1" x14ac:dyDescent="0.3"/>
    <row r="2" spans="1:10" hidden="1" x14ac:dyDescent="0.3"/>
    <row r="3" spans="1:10" hidden="1" x14ac:dyDescent="0.3"/>
    <row r="4" spans="1:10" ht="15.6" x14ac:dyDescent="0.3">
      <c r="A4" s="56" t="s">
        <v>1446</v>
      </c>
      <c r="D4" s="92"/>
      <c r="E4" s="93"/>
    </row>
    <row r="5" spans="1:10" x14ac:dyDescent="0.3">
      <c r="A5" s="13" t="s">
        <v>1372</v>
      </c>
      <c r="B5" s="2" t="s">
        <v>1412</v>
      </c>
      <c r="C5"/>
      <c r="D5"/>
      <c r="E5"/>
      <c r="F5"/>
      <c r="H5"/>
      <c r="I5"/>
      <c r="J5"/>
    </row>
    <row r="6" spans="1:10" x14ac:dyDescent="0.3">
      <c r="A6" s="38" t="s">
        <v>1414</v>
      </c>
      <c r="B6" s="83">
        <v>3675917.0340700001</v>
      </c>
      <c r="C6"/>
      <c r="D6"/>
      <c r="E6"/>
      <c r="F6"/>
      <c r="H6"/>
      <c r="I6"/>
      <c r="J6"/>
    </row>
    <row r="7" spans="1:10" x14ac:dyDescent="0.3">
      <c r="A7" s="15" t="s">
        <v>1417</v>
      </c>
      <c r="B7" s="83">
        <v>151883.44939999995</v>
      </c>
      <c r="C7"/>
      <c r="D7"/>
      <c r="E7"/>
      <c r="F7"/>
      <c r="H7"/>
      <c r="I7"/>
      <c r="J7"/>
    </row>
    <row r="8" spans="1:10" x14ac:dyDescent="0.3">
      <c r="A8" s="15" t="s">
        <v>1418</v>
      </c>
      <c r="B8" s="83">
        <v>433788.64049000002</v>
      </c>
      <c r="C8"/>
      <c r="D8"/>
      <c r="E8"/>
      <c r="F8"/>
      <c r="H8"/>
      <c r="I8"/>
      <c r="J8"/>
    </row>
    <row r="9" spans="1:10" x14ac:dyDescent="0.3">
      <c r="A9" s="15" t="s">
        <v>1419</v>
      </c>
      <c r="B9" s="83">
        <v>215576.67437999998</v>
      </c>
      <c r="C9"/>
      <c r="D9"/>
      <c r="E9"/>
      <c r="F9"/>
      <c r="H9"/>
      <c r="I9"/>
      <c r="J9"/>
    </row>
    <row r="10" spans="1:10" x14ac:dyDescent="0.3">
      <c r="A10" s="15" t="s">
        <v>1420</v>
      </c>
      <c r="B10" s="83">
        <v>371604.58273999998</v>
      </c>
      <c r="C10"/>
      <c r="D10"/>
      <c r="E10"/>
      <c r="F10"/>
      <c r="H10"/>
      <c r="I10"/>
      <c r="J10"/>
    </row>
    <row r="11" spans="1:10" x14ac:dyDescent="0.3">
      <c r="A11" s="15" t="s">
        <v>1421</v>
      </c>
      <c r="B11" s="83">
        <v>470192.17181999999</v>
      </c>
      <c r="C11"/>
      <c r="D11"/>
      <c r="E11"/>
      <c r="F11"/>
      <c r="H11"/>
      <c r="I11"/>
      <c r="J11"/>
    </row>
    <row r="12" spans="1:10" x14ac:dyDescent="0.3">
      <c r="A12" s="15" t="s">
        <v>1422</v>
      </c>
      <c r="B12" s="83">
        <v>236474.06157000002</v>
      </c>
      <c r="C12"/>
      <c r="D12"/>
      <c r="E12"/>
      <c r="F12"/>
      <c r="H12"/>
      <c r="I12"/>
      <c r="J12"/>
    </row>
    <row r="13" spans="1:10" x14ac:dyDescent="0.3">
      <c r="A13" s="15" t="s">
        <v>1423</v>
      </c>
      <c r="B13" s="83">
        <v>560860.55604000005</v>
      </c>
      <c r="C13"/>
      <c r="D13"/>
      <c r="E13"/>
      <c r="F13"/>
      <c r="H13"/>
      <c r="I13"/>
      <c r="J13"/>
    </row>
    <row r="14" spans="1:10" x14ac:dyDescent="0.3">
      <c r="A14" s="15" t="s">
        <v>1424</v>
      </c>
      <c r="B14" s="83">
        <v>339044.67039000004</v>
      </c>
      <c r="C14"/>
      <c r="D14"/>
      <c r="E14"/>
      <c r="F14"/>
      <c r="H14"/>
      <c r="I14"/>
      <c r="J14"/>
    </row>
    <row r="15" spans="1:10" x14ac:dyDescent="0.3">
      <c r="A15" s="15" t="s">
        <v>1425</v>
      </c>
      <c r="B15" s="83">
        <v>141266.51418999999</v>
      </c>
      <c r="C15"/>
      <c r="D15"/>
      <c r="E15"/>
      <c r="F15"/>
      <c r="H15"/>
      <c r="I15"/>
      <c r="J15"/>
    </row>
    <row r="16" spans="1:10" x14ac:dyDescent="0.3">
      <c r="A16" s="15" t="s">
        <v>1426</v>
      </c>
      <c r="B16" s="83">
        <v>246114.84045000002</v>
      </c>
      <c r="C16"/>
      <c r="D16"/>
      <c r="E16"/>
      <c r="F16"/>
      <c r="H16"/>
      <c r="I16"/>
      <c r="J16"/>
    </row>
    <row r="17" spans="1:10" x14ac:dyDescent="0.3">
      <c r="A17" s="15" t="s">
        <v>1427</v>
      </c>
      <c r="B17" s="83">
        <v>127009.5058</v>
      </c>
      <c r="C17"/>
      <c r="D17"/>
      <c r="E17"/>
      <c r="F17"/>
      <c r="H17"/>
      <c r="I17"/>
      <c r="J17"/>
    </row>
    <row r="18" spans="1:10" x14ac:dyDescent="0.3">
      <c r="A18" s="15" t="s">
        <v>1428</v>
      </c>
      <c r="B18" s="83">
        <v>382101.36680000002</v>
      </c>
      <c r="C18"/>
      <c r="D18"/>
      <c r="E18"/>
      <c r="F18"/>
      <c r="H18"/>
      <c r="I18"/>
      <c r="J18"/>
    </row>
    <row r="19" spans="1:10" x14ac:dyDescent="0.3">
      <c r="A19" s="38" t="s">
        <v>1415</v>
      </c>
      <c r="B19" s="83">
        <v>4468631.1171000004</v>
      </c>
      <c r="C19"/>
      <c r="D19"/>
      <c r="E19"/>
      <c r="F19"/>
      <c r="H19"/>
      <c r="I19"/>
      <c r="J19"/>
    </row>
    <row r="20" spans="1:10" x14ac:dyDescent="0.3">
      <c r="A20" s="15" t="s">
        <v>1417</v>
      </c>
      <c r="B20" s="83">
        <v>299100.37307999999</v>
      </c>
      <c r="C20"/>
      <c r="D20"/>
      <c r="E20"/>
      <c r="F20"/>
      <c r="H20"/>
      <c r="I20"/>
      <c r="J20"/>
    </row>
    <row r="21" spans="1:10" x14ac:dyDescent="0.3">
      <c r="A21" s="15" t="s">
        <v>1418</v>
      </c>
      <c r="B21" s="83">
        <v>307793.71461999998</v>
      </c>
      <c r="C21"/>
      <c r="D21"/>
      <c r="E21"/>
      <c r="F21"/>
      <c r="H21"/>
      <c r="I21"/>
      <c r="J21"/>
    </row>
    <row r="22" spans="1:10" x14ac:dyDescent="0.3">
      <c r="A22" s="15" t="s">
        <v>1419</v>
      </c>
      <c r="B22" s="83">
        <v>374300.10981000005</v>
      </c>
      <c r="C22"/>
      <c r="D22"/>
      <c r="E22"/>
      <c r="F22"/>
      <c r="H22"/>
      <c r="I22"/>
      <c r="J22"/>
    </row>
    <row r="23" spans="1:10" x14ac:dyDescent="0.3">
      <c r="A23" s="15" t="s">
        <v>1420</v>
      </c>
      <c r="B23" s="83">
        <v>239506.82714000004</v>
      </c>
    </row>
    <row r="24" spans="1:10" x14ac:dyDescent="0.3">
      <c r="A24" s="15" t="s">
        <v>1421</v>
      </c>
      <c r="B24" s="83">
        <v>416985.76567000011</v>
      </c>
    </row>
    <row r="25" spans="1:10" x14ac:dyDescent="0.3">
      <c r="A25" s="15" t="s">
        <v>1422</v>
      </c>
      <c r="B25" s="83">
        <v>634490.72337999998</v>
      </c>
    </row>
    <row r="26" spans="1:10" x14ac:dyDescent="0.3">
      <c r="A26" s="15" t="s">
        <v>1423</v>
      </c>
      <c r="B26" s="83">
        <v>275628.61962999997</v>
      </c>
    </row>
    <row r="27" spans="1:10" x14ac:dyDescent="0.3">
      <c r="A27" s="15" t="s">
        <v>1424</v>
      </c>
      <c r="B27" s="83">
        <v>384156.19037999993</v>
      </c>
    </row>
    <row r="28" spans="1:10" x14ac:dyDescent="0.3">
      <c r="A28" s="15" t="s">
        <v>1425</v>
      </c>
      <c r="B28" s="83">
        <v>347613.18767000007</v>
      </c>
    </row>
    <row r="29" spans="1:10" x14ac:dyDescent="0.3">
      <c r="A29" s="15" t="s">
        <v>1426</v>
      </c>
      <c r="B29" s="83">
        <v>417732.48301000008</v>
      </c>
    </row>
    <row r="30" spans="1:10" x14ac:dyDescent="0.3">
      <c r="A30" s="15" t="s">
        <v>1427</v>
      </c>
      <c r="B30" s="83">
        <v>416944.18554999994</v>
      </c>
    </row>
    <row r="31" spans="1:10" x14ac:dyDescent="0.3">
      <c r="A31" s="15" t="s">
        <v>1428</v>
      </c>
      <c r="B31" s="83">
        <v>354378.93716000003</v>
      </c>
    </row>
    <row r="32" spans="1:10" x14ac:dyDescent="0.3">
      <c r="A32" s="38" t="s">
        <v>1416</v>
      </c>
      <c r="B32" s="83">
        <v>2774460.4740300002</v>
      </c>
    </row>
    <row r="33" spans="1:2" x14ac:dyDescent="0.3">
      <c r="A33" s="15" t="s">
        <v>1417</v>
      </c>
      <c r="B33" s="83">
        <v>223498.20032000003</v>
      </c>
    </row>
    <row r="34" spans="1:2" x14ac:dyDescent="0.3">
      <c r="A34" s="15" t="s">
        <v>1418</v>
      </c>
      <c r="B34" s="83">
        <v>221608.49786999999</v>
      </c>
    </row>
    <row r="35" spans="1:2" x14ac:dyDescent="0.3">
      <c r="A35" s="15" t="s">
        <v>1419</v>
      </c>
      <c r="B35" s="83">
        <v>209425.98854000005</v>
      </c>
    </row>
    <row r="36" spans="1:2" x14ac:dyDescent="0.3">
      <c r="A36" s="15" t="s">
        <v>1420</v>
      </c>
      <c r="B36" s="83">
        <v>336135.16749999998</v>
      </c>
    </row>
    <row r="37" spans="1:2" x14ac:dyDescent="0.3">
      <c r="A37" s="15" t="s">
        <v>1421</v>
      </c>
      <c r="B37" s="83">
        <v>375723.96026000002</v>
      </c>
    </row>
    <row r="38" spans="1:2" x14ac:dyDescent="0.3">
      <c r="A38" s="15" t="s">
        <v>1422</v>
      </c>
      <c r="B38" s="83">
        <v>382009.37596000009</v>
      </c>
    </row>
    <row r="39" spans="1:2" x14ac:dyDescent="0.3">
      <c r="A39" s="15" t="s">
        <v>1423</v>
      </c>
      <c r="B39" s="83">
        <v>486970.83348000003</v>
      </c>
    </row>
    <row r="40" spans="1:2" x14ac:dyDescent="0.3">
      <c r="A40" s="15" t="s">
        <v>1424</v>
      </c>
      <c r="B40" s="83">
        <v>366808.72249999997</v>
      </c>
    </row>
    <row r="41" spans="1:2" x14ac:dyDescent="0.3">
      <c r="A41" s="15" t="s">
        <v>1425</v>
      </c>
      <c r="B41" s="83">
        <v>172279.72760000001</v>
      </c>
    </row>
    <row r="42" spans="1:2" x14ac:dyDescent="0.3">
      <c r="A42" s="38" t="s">
        <v>1373</v>
      </c>
      <c r="B42" s="83">
        <v>10919008.6252</v>
      </c>
    </row>
    <row r="43" spans="1:2" x14ac:dyDescent="0.3">
      <c r="A43"/>
      <c r="B43"/>
    </row>
    <row r="44" spans="1:2" x14ac:dyDescent="0.3">
      <c r="A44"/>
      <c r="B44"/>
    </row>
    <row r="45" spans="1:2" x14ac:dyDescent="0.3">
      <c r="A45"/>
      <c r="B45"/>
    </row>
    <row r="46" spans="1:2" x14ac:dyDescent="0.3">
      <c r="A46"/>
      <c r="B46"/>
    </row>
    <row r="47" spans="1:2" x14ac:dyDescent="0.3">
      <c r="A47"/>
      <c r="B47"/>
    </row>
    <row r="48" spans="1:2" x14ac:dyDescent="0.3">
      <c r="A48"/>
      <c r="B48"/>
    </row>
    <row r="49" spans="1:7" x14ac:dyDescent="0.3">
      <c r="A49"/>
      <c r="B49"/>
    </row>
    <row r="50" spans="1:7" x14ac:dyDescent="0.3">
      <c r="A50"/>
      <c r="B50"/>
    </row>
    <row r="51" spans="1:7" x14ac:dyDescent="0.3">
      <c r="A51"/>
      <c r="B51"/>
    </row>
    <row r="52" spans="1:7" x14ac:dyDescent="0.3">
      <c r="A52"/>
      <c r="B52"/>
    </row>
    <row r="53" spans="1:7" x14ac:dyDescent="0.3">
      <c r="A53"/>
      <c r="B53"/>
    </row>
    <row r="54" spans="1:7" ht="23.4" customHeight="1" x14ac:dyDescent="0.3">
      <c r="A54"/>
      <c r="B54"/>
    </row>
    <row r="55" spans="1:7" x14ac:dyDescent="0.3">
      <c r="A55"/>
      <c r="B55"/>
    </row>
    <row r="56" spans="1:7" x14ac:dyDescent="0.3">
      <c r="A56" s="2" t="s">
        <v>1429</v>
      </c>
      <c r="B56" s="2" t="s">
        <v>1412</v>
      </c>
      <c r="D56" s="12" t="s">
        <v>1430</v>
      </c>
      <c r="E56" s="12" t="s">
        <v>1431</v>
      </c>
    </row>
    <row r="57" spans="1:7" x14ac:dyDescent="0.3">
      <c r="A57" s="83">
        <v>631</v>
      </c>
      <c r="B57" s="83">
        <v>10919008.625199998</v>
      </c>
      <c r="D57" s="2">
        <f>GETPIVOTDATA("Count of OrderID",$A$56)</f>
        <v>631</v>
      </c>
      <c r="E57" s="2">
        <f>GETPIVOTDATA("Sum of GrossRevenue",$A$63)</f>
        <v>10919008.625199998</v>
      </c>
    </row>
    <row r="58" spans="1:7" x14ac:dyDescent="0.3">
      <c r="B58" s="2"/>
      <c r="G58" s="39"/>
    </row>
    <row r="59" spans="1:7" x14ac:dyDescent="0.3">
      <c r="A59"/>
      <c r="B59"/>
      <c r="C59"/>
    </row>
    <row r="60" spans="1:7" x14ac:dyDescent="0.3">
      <c r="A60"/>
      <c r="B60"/>
      <c r="C60"/>
      <c r="D60" s="12" t="s">
        <v>1432</v>
      </c>
      <c r="E60" s="39">
        <f>E57/D57</f>
        <v>17304.29259144215</v>
      </c>
    </row>
    <row r="61" spans="1:7" x14ac:dyDescent="0.3">
      <c r="A61"/>
      <c r="B61"/>
      <c r="C61"/>
    </row>
    <row r="62" spans="1:7" x14ac:dyDescent="0.3">
      <c r="A62"/>
      <c r="B62"/>
      <c r="C62"/>
    </row>
    <row r="63" spans="1:7" x14ac:dyDescent="0.3">
      <c r="A63" s="2" t="s">
        <v>1433</v>
      </c>
      <c r="B63" s="2" t="s">
        <v>1412</v>
      </c>
      <c r="D63" s="12" t="s">
        <v>1434</v>
      </c>
      <c r="E63" s="12" t="s">
        <v>1431</v>
      </c>
    </row>
    <row r="64" spans="1:7" x14ac:dyDescent="0.3">
      <c r="A64" s="83">
        <v>3422813.415200002</v>
      </c>
      <c r="B64" s="83">
        <v>10919008.625199998</v>
      </c>
      <c r="D64" s="2">
        <f>GETPIVOTDATA("Sum of GrossProfit",$A$63)</f>
        <v>3422813.415200002</v>
      </c>
      <c r="E64" s="2">
        <f>GETPIVOTDATA("Sum of GrossRevenue",$A$63)</f>
        <v>10919008.625199998</v>
      </c>
    </row>
    <row r="65" spans="1:8" x14ac:dyDescent="0.3">
      <c r="A65"/>
      <c r="B65"/>
      <c r="C65"/>
    </row>
    <row r="66" spans="1:8" x14ac:dyDescent="0.3">
      <c r="A66"/>
      <c r="B66"/>
      <c r="C66"/>
      <c r="D66" s="12" t="s">
        <v>1435</v>
      </c>
      <c r="E66" s="37">
        <f>D64/E64</f>
        <v>0.31347291065422234</v>
      </c>
    </row>
    <row r="67" spans="1:8" x14ac:dyDescent="0.3">
      <c r="A67"/>
      <c r="B67"/>
      <c r="C67"/>
    </row>
    <row r="68" spans="1:8" x14ac:dyDescent="0.3">
      <c r="A68"/>
      <c r="B68"/>
      <c r="C68"/>
    </row>
    <row r="69" spans="1:8" x14ac:dyDescent="0.3">
      <c r="B69" s="2"/>
      <c r="C69"/>
    </row>
    <row r="70" spans="1:8" x14ac:dyDescent="0.3">
      <c r="A70" s="2" t="s">
        <v>1437</v>
      </c>
      <c r="B70" s="2"/>
      <c r="C70"/>
    </row>
    <row r="71" spans="1:8" x14ac:dyDescent="0.3">
      <c r="A71" s="36">
        <v>0.27258320126782887</v>
      </c>
      <c r="B71" s="2"/>
      <c r="C71"/>
    </row>
    <row r="72" spans="1:8" x14ac:dyDescent="0.3">
      <c r="B72" s="2"/>
      <c r="C72"/>
    </row>
    <row r="73" spans="1:8" x14ac:dyDescent="0.3">
      <c r="A73"/>
      <c r="B73"/>
    </row>
    <row r="74" spans="1:8" x14ac:dyDescent="0.3">
      <c r="A74" s="80" t="s">
        <v>1474</v>
      </c>
      <c r="B74" s="84"/>
    </row>
    <row r="75" spans="1:8" x14ac:dyDescent="0.3">
      <c r="A75" s="13" t="s">
        <v>1433</v>
      </c>
      <c r="B75" s="13" t="s">
        <v>1411</v>
      </c>
    </row>
    <row r="76" spans="1:8" x14ac:dyDescent="0.3">
      <c r="A76" s="13" t="s">
        <v>1372</v>
      </c>
      <c r="B76" s="2" t="s">
        <v>711</v>
      </c>
      <c r="C76" s="2" t="s">
        <v>710</v>
      </c>
      <c r="D76" s="2" t="s">
        <v>709</v>
      </c>
      <c r="E76" s="2" t="s">
        <v>1440</v>
      </c>
      <c r="F76" s="2" t="s">
        <v>708</v>
      </c>
      <c r="G76" s="2" t="s">
        <v>707</v>
      </c>
      <c r="H76" s="2" t="s">
        <v>1373</v>
      </c>
    </row>
    <row r="77" spans="1:8" x14ac:dyDescent="0.3">
      <c r="A77" s="14" t="s">
        <v>646</v>
      </c>
      <c r="B77" s="83">
        <v>178727.35369999998</v>
      </c>
      <c r="C77" s="83">
        <v>202729.86447</v>
      </c>
      <c r="D77" s="83">
        <v>164839.30455999999</v>
      </c>
      <c r="E77" s="83">
        <v>16237.344229999999</v>
      </c>
      <c r="F77" s="83">
        <v>145453.94626999996</v>
      </c>
      <c r="G77" s="83">
        <v>141171.08466999998</v>
      </c>
      <c r="H77" s="83">
        <v>849158.89789999998</v>
      </c>
    </row>
    <row r="78" spans="1:8" x14ac:dyDescent="0.3">
      <c r="A78" s="14" t="s">
        <v>648</v>
      </c>
      <c r="B78" s="83">
        <v>258674.92591000002</v>
      </c>
      <c r="C78" s="83">
        <v>175736.86191999997</v>
      </c>
      <c r="D78" s="83">
        <v>96609.647519999999</v>
      </c>
      <c r="E78" s="83">
        <v>777.95999999999913</v>
      </c>
      <c r="F78" s="83">
        <v>261943.84436999995</v>
      </c>
      <c r="G78" s="83">
        <v>69035.709220000004</v>
      </c>
      <c r="H78" s="83">
        <v>862778.9489399998</v>
      </c>
    </row>
    <row r="79" spans="1:8" x14ac:dyDescent="0.3">
      <c r="A79" s="14" t="s">
        <v>647</v>
      </c>
      <c r="B79" s="83">
        <v>246072.37136999995</v>
      </c>
      <c r="C79" s="83">
        <v>151146.74599000002</v>
      </c>
      <c r="D79" s="83">
        <v>132709.51272999996</v>
      </c>
      <c r="E79" s="83">
        <v>4017.1204799999987</v>
      </c>
      <c r="F79" s="83">
        <v>149042.38968999998</v>
      </c>
      <c r="G79" s="83">
        <v>158051.77209000001</v>
      </c>
      <c r="H79" s="83">
        <v>841039.91234999988</v>
      </c>
    </row>
    <row r="80" spans="1:8" x14ac:dyDescent="0.3">
      <c r="A80" s="14" t="s">
        <v>649</v>
      </c>
      <c r="B80" s="83">
        <v>292716.95204</v>
      </c>
      <c r="C80" s="83">
        <v>105550.85220000002</v>
      </c>
      <c r="D80" s="83">
        <v>118458.01025000001</v>
      </c>
      <c r="E80" s="83">
        <v>1263.5064600000001</v>
      </c>
      <c r="F80" s="83">
        <v>200067.16276999997</v>
      </c>
      <c r="G80" s="83">
        <v>151779.17228999996</v>
      </c>
      <c r="H80" s="83">
        <v>869835.65601000004</v>
      </c>
    </row>
    <row r="81" spans="1:8" x14ac:dyDescent="0.3">
      <c r="A81" s="14" t="s">
        <v>1373</v>
      </c>
      <c r="B81" s="83">
        <v>976191.60301999992</v>
      </c>
      <c r="C81" s="83">
        <v>635164.32458000001</v>
      </c>
      <c r="D81" s="83">
        <v>512616.47505999991</v>
      </c>
      <c r="E81" s="83">
        <v>22295.931169999996</v>
      </c>
      <c r="F81" s="83">
        <v>756507.34309999982</v>
      </c>
      <c r="G81" s="83">
        <v>520037.73826999991</v>
      </c>
      <c r="H81" s="83">
        <v>3422813.4151999997</v>
      </c>
    </row>
    <row r="82" spans="1:8" x14ac:dyDescent="0.3">
      <c r="B82" s="2"/>
    </row>
    <row r="83" spans="1:8" x14ac:dyDescent="0.3">
      <c r="A83"/>
      <c r="B83"/>
      <c r="C83"/>
    </row>
    <row r="84" spans="1:8" x14ac:dyDescent="0.3">
      <c r="A84"/>
      <c r="B84"/>
      <c r="C84"/>
    </row>
    <row r="85" spans="1:8" x14ac:dyDescent="0.3">
      <c r="A85"/>
      <c r="B85"/>
      <c r="C85"/>
    </row>
    <row r="86" spans="1:8" x14ac:dyDescent="0.3">
      <c r="A86"/>
      <c r="B86"/>
      <c r="C86"/>
    </row>
    <row r="87" spans="1:8" x14ac:dyDescent="0.3">
      <c r="A87" s="80" t="s">
        <v>1475</v>
      </c>
      <c r="B87"/>
      <c r="C87"/>
    </row>
    <row r="88" spans="1:8" x14ac:dyDescent="0.3">
      <c r="B88" s="2"/>
    </row>
    <row r="89" spans="1:8" x14ac:dyDescent="0.3">
      <c r="A89" s="13" t="s">
        <v>1372</v>
      </c>
      <c r="B89" s="2" t="s">
        <v>1412</v>
      </c>
    </row>
    <row r="90" spans="1:8" x14ac:dyDescent="0.3">
      <c r="A90" s="14" t="s">
        <v>1010</v>
      </c>
      <c r="B90" s="10">
        <v>79548.755999999994</v>
      </c>
    </row>
    <row r="91" spans="1:8" x14ac:dyDescent="0.3">
      <c r="A91" s="14" t="s">
        <v>1345</v>
      </c>
      <c r="B91" s="10">
        <v>82141.339799999987</v>
      </c>
    </row>
    <row r="92" spans="1:8" x14ac:dyDescent="0.3">
      <c r="A92" s="14" t="s">
        <v>1096</v>
      </c>
      <c r="B92" s="10">
        <v>82514.711519999997</v>
      </c>
    </row>
    <row r="93" spans="1:8" x14ac:dyDescent="0.3">
      <c r="A93" s="14" t="s">
        <v>1198</v>
      </c>
      <c r="B93" s="10">
        <v>84136.119600000005</v>
      </c>
    </row>
    <row r="94" spans="1:8" x14ac:dyDescent="0.3">
      <c r="A94" s="14" t="s">
        <v>899</v>
      </c>
      <c r="B94" s="10">
        <v>85637.740319999997</v>
      </c>
    </row>
    <row r="95" spans="1:8" x14ac:dyDescent="0.3">
      <c r="A95" s="14" t="s">
        <v>874</v>
      </c>
      <c r="B95" s="10">
        <v>87404.929919999995</v>
      </c>
    </row>
    <row r="96" spans="1:8" x14ac:dyDescent="0.3">
      <c r="A96" s="14" t="s">
        <v>909</v>
      </c>
      <c r="B96" s="10">
        <v>92715.25</v>
      </c>
    </row>
    <row r="97" spans="1:6" x14ac:dyDescent="0.3">
      <c r="A97" s="14" t="s">
        <v>1155</v>
      </c>
      <c r="B97" s="10">
        <v>102122.94203999999</v>
      </c>
    </row>
    <row r="98" spans="1:6" x14ac:dyDescent="0.3">
      <c r="A98" s="14" t="s">
        <v>781</v>
      </c>
      <c r="B98" s="83">
        <v>109244</v>
      </c>
    </row>
    <row r="99" spans="1:6" x14ac:dyDescent="0.3">
      <c r="A99" s="14" t="s">
        <v>971</v>
      </c>
      <c r="B99" s="10">
        <v>139277.83032000001</v>
      </c>
    </row>
    <row r="100" spans="1:6" x14ac:dyDescent="0.3">
      <c r="A100" s="14" t="s">
        <v>1373</v>
      </c>
      <c r="B100" s="83">
        <v>944743.61951999995</v>
      </c>
    </row>
    <row r="101" spans="1:6" x14ac:dyDescent="0.3">
      <c r="A101"/>
      <c r="B101"/>
    </row>
    <row r="102" spans="1:6" x14ac:dyDescent="0.3">
      <c r="A102"/>
      <c r="B102"/>
    </row>
    <row r="103" spans="1:6" x14ac:dyDescent="0.3">
      <c r="A103"/>
      <c r="B103"/>
    </row>
    <row r="104" spans="1:6" x14ac:dyDescent="0.3">
      <c r="A104"/>
      <c r="B104"/>
    </row>
    <row r="105" spans="1:6" x14ac:dyDescent="0.3">
      <c r="A105"/>
      <c r="B105"/>
    </row>
    <row r="106" spans="1:6" ht="15.6" x14ac:dyDescent="0.3">
      <c r="A106" s="85" t="s">
        <v>1492</v>
      </c>
      <c r="B106" s="56"/>
    </row>
    <row r="107" spans="1:6" x14ac:dyDescent="0.3">
      <c r="A107" s="13" t="s">
        <v>3</v>
      </c>
      <c r="B107" s="13" t="s">
        <v>8</v>
      </c>
      <c r="C107" s="2" t="s">
        <v>1493</v>
      </c>
      <c r="D107" s="2" t="s">
        <v>1495</v>
      </c>
      <c r="E107" s="91" t="s">
        <v>1497</v>
      </c>
    </row>
    <row r="108" spans="1:6" x14ac:dyDescent="0.3">
      <c r="A108" s="2" t="s">
        <v>646</v>
      </c>
      <c r="B108" s="2" t="s">
        <v>720</v>
      </c>
      <c r="C108" s="83">
        <v>16</v>
      </c>
      <c r="D108" s="10">
        <v>3</v>
      </c>
      <c r="E108" s="37">
        <f>GETPIVOTDATA("Sum of High Discount Flag",$A$107,"Region","Africa","Salesperson","A. Patel")/GETPIVOTDATA("Total Orders",$A$107,"Region","Africa","Salesperson","A. Patel")</f>
        <v>0.1875</v>
      </c>
    </row>
    <row r="109" spans="1:6" x14ac:dyDescent="0.3">
      <c r="B109" s="2" t="s">
        <v>717</v>
      </c>
      <c r="C109" s="83">
        <v>8</v>
      </c>
      <c r="D109" s="10">
        <v>0</v>
      </c>
      <c r="E109" s="37">
        <f>GETPIVOTDATA("Sum of High Discount Flag",$A$107,"Region","Africa","Salesperson","B. Chen")/GETPIVOTDATA("Total Orders",$A$107,"Region","Africa","Salesperson","B. Chen")</f>
        <v>0</v>
      </c>
    </row>
    <row r="110" spans="1:6" x14ac:dyDescent="0.3">
      <c r="B110" s="2" t="s">
        <v>712</v>
      </c>
      <c r="C110" s="83">
        <v>8</v>
      </c>
      <c r="D110" s="10">
        <v>2</v>
      </c>
      <c r="E110" s="37">
        <f>GETPIVOTDATA("Sum of High Discount Flag",$A$107,"Region","Africa","Salesperson","C. Otieno")/GETPIVOTDATA("Total Orders",$A$107,"Region","Africa","Salesperson","C. Otieno")</f>
        <v>0.25</v>
      </c>
    </row>
    <row r="111" spans="1:6" x14ac:dyDescent="0.3">
      <c r="B111" s="2" t="s">
        <v>726</v>
      </c>
      <c r="C111" s="83">
        <v>10</v>
      </c>
      <c r="D111" s="10">
        <v>2</v>
      </c>
      <c r="E111" s="37">
        <f>GETPIVOTDATA("Sum of High Discount Flag",$A$107,"Region","Africa","Salesperson","D. Smith")/GETPIVOTDATA("Total Orders",$A$107,"Region","Africa","Salesperson","D. Smith")</f>
        <v>0.2</v>
      </c>
    </row>
    <row r="112" spans="1:6" x14ac:dyDescent="0.3">
      <c r="B112" s="2" t="s">
        <v>718</v>
      </c>
      <c r="C112" s="83">
        <v>5</v>
      </c>
      <c r="D112" s="10">
        <v>1</v>
      </c>
      <c r="E112" s="37">
        <f>GETPIVOTDATA("Sum of High Discount Flag",$A$107,"Region","Africa","Salesperson","E. Garcia")/GETPIVOTDATA("Total Orders",$A$107,"Region","Africa","Salesperson","E. Garcia")</f>
        <v>0.2</v>
      </c>
      <c r="F112" t="s">
        <v>1496</v>
      </c>
    </row>
    <row r="113" spans="1:5" x14ac:dyDescent="0.3">
      <c r="B113" s="2" t="s">
        <v>721</v>
      </c>
      <c r="C113" s="83">
        <v>13</v>
      </c>
      <c r="D113" s="10">
        <v>0</v>
      </c>
      <c r="E113" s="37">
        <f>GETPIVOTDATA("Sum of High Discount Flag",$A$107,"Region","Africa","Salesperson","F. Müller")/GETPIVOTDATA("Total Orders",$A$107,"Region","Africa","Salesperson","F. Müller")</f>
        <v>0</v>
      </c>
    </row>
    <row r="114" spans="1:5" x14ac:dyDescent="0.3">
      <c r="B114" s="2" t="s">
        <v>715</v>
      </c>
      <c r="C114" s="83">
        <v>3</v>
      </c>
      <c r="D114" s="10">
        <v>0</v>
      </c>
      <c r="E114" s="37">
        <f>GETPIVOTDATA("Sum of High Discount Flag",$A$107,"Region","Africa","Salesperson","G. Dubois")/GETPIVOTDATA("Total Orders",$A$107,"Region","Africa","Salesperson","G. Dubois")</f>
        <v>0</v>
      </c>
    </row>
    <row r="115" spans="1:5" x14ac:dyDescent="0.3">
      <c r="B115" s="2" t="s">
        <v>722</v>
      </c>
      <c r="C115" s="83">
        <v>7</v>
      </c>
      <c r="D115" s="10">
        <v>1</v>
      </c>
      <c r="E115" s="37">
        <f>GETPIVOTDATA("Sum of High Discount Flag",$A$107,"Region","Africa","Salesperson","H. Kim")/GETPIVOTDATA("Total Orders",$A$107,"Region","Africa","Salesperson","H. Kim")</f>
        <v>0.14285714285714285</v>
      </c>
    </row>
    <row r="116" spans="1:5" x14ac:dyDescent="0.3">
      <c r="B116" s="2" t="s">
        <v>714</v>
      </c>
      <c r="C116" s="83">
        <v>8</v>
      </c>
      <c r="D116" s="10">
        <v>2</v>
      </c>
      <c r="E116" s="37">
        <f>GETPIVOTDATA("Sum of High Discount Flag",$A$107,"Region","Africa","Salesperson","I. Johnson")/GETPIVOTDATA("Total Orders",$A$107,"Region","Africa","Salesperson","I. Johnson")</f>
        <v>0.25</v>
      </c>
    </row>
    <row r="117" spans="1:5" x14ac:dyDescent="0.3">
      <c r="B117" s="2" t="s">
        <v>713</v>
      </c>
      <c r="C117" s="83">
        <v>12</v>
      </c>
      <c r="D117" s="10">
        <v>3</v>
      </c>
      <c r="E117" s="37">
        <f>GETPIVOTDATA("Sum of High Discount Flag",$A$107,"Region","Africa","Salesperson","J. Njeri")/GETPIVOTDATA("Total Orders",$A$107,"Region","Africa","Salesperson","J. Njeri")</f>
        <v>0.25</v>
      </c>
    </row>
    <row r="118" spans="1:5" x14ac:dyDescent="0.3">
      <c r="B118" s="2" t="s">
        <v>723</v>
      </c>
      <c r="C118" s="83">
        <v>14</v>
      </c>
      <c r="D118" s="10">
        <v>0</v>
      </c>
      <c r="E118" s="37">
        <f>GETPIVOTDATA("Sum of High Discount Flag",$A$107,"Region","Africa","Salesperson","K. Singh")/GETPIVOTDATA("Total Orders",$A$107,"Region","Africa","Salesperson","K. Singh")</f>
        <v>0</v>
      </c>
    </row>
    <row r="119" spans="1:5" x14ac:dyDescent="0.3">
      <c r="B119" s="2" t="s">
        <v>716</v>
      </c>
      <c r="C119" s="83">
        <v>10</v>
      </c>
      <c r="D119" s="10">
        <v>2</v>
      </c>
      <c r="E119" s="37">
        <f>GETPIVOTDATA("Sum of High Discount Flag",$A$107,"Region","Africa","Salesperson","L. Okafor")/GETPIVOTDATA("Total Orders",$A$107,"Region","Africa","Salesperson","L. Okafor")</f>
        <v>0.2</v>
      </c>
    </row>
    <row r="120" spans="1:5" x14ac:dyDescent="0.3">
      <c r="B120" s="2" t="s">
        <v>724</v>
      </c>
      <c r="C120" s="83">
        <v>16</v>
      </c>
      <c r="D120" s="10">
        <v>5</v>
      </c>
      <c r="E120" s="37">
        <f>GETPIVOTDATA("Sum of High Discount Flag",$A$107,"Region","Africa","Salesperson","M. Rossi")/GETPIVOTDATA("Total Orders",$A$107,"Region","Africa","Salesperson","M. Rossi")</f>
        <v>0.3125</v>
      </c>
    </row>
    <row r="121" spans="1:5" x14ac:dyDescent="0.3">
      <c r="B121" s="2" t="s">
        <v>725</v>
      </c>
      <c r="C121" s="83">
        <v>4</v>
      </c>
      <c r="D121" s="10">
        <v>0</v>
      </c>
      <c r="E121" s="37">
        <f>GETPIVOTDATA("Sum of High Discount Flag",$A$107,"Region","Africa","Salesperson","N. Brown")/GETPIVOTDATA("Total Orders",$A$107,"Region","Africa","Salesperson","N. Brown")</f>
        <v>0</v>
      </c>
    </row>
    <row r="122" spans="1:5" x14ac:dyDescent="0.3">
      <c r="B122" s="2" t="s">
        <v>719</v>
      </c>
      <c r="C122" s="83">
        <v>9</v>
      </c>
      <c r="D122" s="10">
        <v>0</v>
      </c>
      <c r="E122" s="37">
        <f>GETPIVOTDATA("Sum of High Discount Flag",$A$107,"Region","Africa","Salesperson","O. Wang")/GETPIVOTDATA("Total Orders",$A$107,"Region","Africa","Salesperson","O. Wang")</f>
        <v>0</v>
      </c>
    </row>
    <row r="123" spans="1:5" x14ac:dyDescent="0.3">
      <c r="B123" s="2" t="s">
        <v>1438</v>
      </c>
      <c r="C123" s="83">
        <v>2</v>
      </c>
      <c r="D123" s="10">
        <v>1</v>
      </c>
      <c r="E123" s="37">
        <f>GETPIVOTDATA("Sum of High Discount Flag",$A$107,"Region","Africa","Salesperson","Unassigned")/GETPIVOTDATA("Total Orders",$A$107,"Region","Africa","Salesperson","Unassigned")</f>
        <v>0.5</v>
      </c>
    </row>
    <row r="124" spans="1:5" x14ac:dyDescent="0.3">
      <c r="A124" s="2" t="s">
        <v>648</v>
      </c>
      <c r="B124" s="2" t="s">
        <v>720</v>
      </c>
      <c r="C124" s="83">
        <v>10</v>
      </c>
      <c r="D124" s="10">
        <v>5</v>
      </c>
      <c r="E124" s="37">
        <f>GETPIVOTDATA("Sum of High Discount Flag",$A$107,"Region","Americas","Salesperson","A. Patel")/GETPIVOTDATA("Total Orders",$A$107,"Region","Americas","Salesperson","A. Patel")</f>
        <v>0.5</v>
      </c>
    </row>
    <row r="125" spans="1:5" x14ac:dyDescent="0.3">
      <c r="B125" s="2" t="s">
        <v>717</v>
      </c>
      <c r="C125" s="83">
        <v>8</v>
      </c>
      <c r="D125" s="10">
        <v>1</v>
      </c>
      <c r="E125" s="37">
        <f>GETPIVOTDATA("Sum of High Discount Flag",$A$107,"Region","Americas","Salesperson","B. Chen")/GETPIVOTDATA("Total Orders",$A$107,"Region","Americas","Salesperson","B. Chen")</f>
        <v>0.125</v>
      </c>
    </row>
    <row r="126" spans="1:5" x14ac:dyDescent="0.3">
      <c r="B126" s="2" t="s">
        <v>712</v>
      </c>
      <c r="C126" s="83">
        <v>14</v>
      </c>
      <c r="D126" s="10">
        <v>2</v>
      </c>
      <c r="E126" s="37">
        <f>GETPIVOTDATA("Sum of High Discount Flag",$A$107,"Region","Americas","Salesperson","C. Otieno")/GETPIVOTDATA("Total Orders",$A$107,"Region","Americas","Salesperson","C. Otieno")</f>
        <v>0.14285714285714285</v>
      </c>
    </row>
    <row r="127" spans="1:5" x14ac:dyDescent="0.3">
      <c r="B127" s="2" t="s">
        <v>726</v>
      </c>
      <c r="C127" s="83">
        <v>8</v>
      </c>
      <c r="D127" s="10">
        <v>4</v>
      </c>
      <c r="E127" s="37">
        <f>GETPIVOTDATA("Sum of High Discount Flag",$A$107,"Region","Americas","Salesperson","D. Smith")/GETPIVOTDATA("Total Orders",$A$107,"Region","Americas","Salesperson","D. Smith")</f>
        <v>0.5</v>
      </c>
    </row>
    <row r="128" spans="1:5" x14ac:dyDescent="0.3">
      <c r="B128" s="2" t="s">
        <v>718</v>
      </c>
      <c r="C128" s="83">
        <v>5</v>
      </c>
      <c r="D128" s="10">
        <v>0</v>
      </c>
      <c r="E128" s="37">
        <f>GETPIVOTDATA("Sum of High Discount Flag",$A$107,"Region","Americas","Salesperson","E. Garcia")/GETPIVOTDATA("Total Orders",$A$107,"Region","Americas","Salesperson","E. Garcia")</f>
        <v>0</v>
      </c>
    </row>
    <row r="129" spans="1:5" x14ac:dyDescent="0.3">
      <c r="B129" s="2" t="s">
        <v>721</v>
      </c>
      <c r="C129" s="83">
        <v>15</v>
      </c>
      <c r="D129" s="10">
        <v>1</v>
      </c>
      <c r="E129" s="37">
        <f>GETPIVOTDATA("Sum of High Discount Flag",$A$107,"Region","Americas","Salesperson","F. Müller")/GETPIVOTDATA("Total Orders",$A$107,"Region","Americas","Salesperson","F. Müller")</f>
        <v>6.6666666666666666E-2</v>
      </c>
    </row>
    <row r="130" spans="1:5" x14ac:dyDescent="0.3">
      <c r="B130" s="2" t="s">
        <v>715</v>
      </c>
      <c r="C130" s="83">
        <v>8</v>
      </c>
      <c r="D130" s="10">
        <v>1</v>
      </c>
      <c r="E130" s="37">
        <f>GETPIVOTDATA("Sum of High Discount Flag",$A$107,"Region","Americas","Salesperson","G. Dubois")/GETPIVOTDATA("Total Orders",$A$107,"Region","Americas","Salesperson","G. Dubois")</f>
        <v>0.125</v>
      </c>
    </row>
    <row r="131" spans="1:5" x14ac:dyDescent="0.3">
      <c r="B131" s="2" t="s">
        <v>722</v>
      </c>
      <c r="C131" s="83">
        <v>9</v>
      </c>
      <c r="D131" s="10">
        <v>0</v>
      </c>
      <c r="E131" s="37">
        <f>GETPIVOTDATA("Sum of High Discount Flag",$A$107,"Region","Americas","Salesperson","H. Kim")/GETPIVOTDATA("Total Orders",$A$107,"Region","Americas","Salesperson","H. Kim")</f>
        <v>0</v>
      </c>
    </row>
    <row r="132" spans="1:5" x14ac:dyDescent="0.3">
      <c r="B132" s="2" t="s">
        <v>714</v>
      </c>
      <c r="C132" s="83">
        <v>14</v>
      </c>
      <c r="D132" s="10">
        <v>5</v>
      </c>
      <c r="E132" s="37">
        <f>GETPIVOTDATA("Sum of High Discount Flag",$A$107,"Region","Americas","Salesperson","I. Johnson")/GETPIVOTDATA("Total Orders",$A$107,"Region","Americas","Salesperson","I. Johnson")</f>
        <v>0.35714285714285715</v>
      </c>
    </row>
    <row r="133" spans="1:5" x14ac:dyDescent="0.3">
      <c r="B133" s="2" t="s">
        <v>713</v>
      </c>
      <c r="C133" s="83">
        <v>10</v>
      </c>
      <c r="D133" s="10">
        <v>0</v>
      </c>
      <c r="E133" s="37">
        <f>GETPIVOTDATA("Sum of High Discount Flag",$A$107,"Region","Americas","Salesperson","J. Njeri")/GETPIVOTDATA("Total Orders",$A$107,"Region","Americas","Salesperson","J. Njeri")</f>
        <v>0</v>
      </c>
    </row>
    <row r="134" spans="1:5" x14ac:dyDescent="0.3">
      <c r="B134" s="2" t="s">
        <v>723</v>
      </c>
      <c r="C134" s="83">
        <v>10</v>
      </c>
      <c r="D134" s="10">
        <v>1</v>
      </c>
      <c r="E134" s="37">
        <f>GETPIVOTDATA("Sum of High Discount Flag",$A$107,"Region","Americas","Salesperson","K. Singh")/GETPIVOTDATA("Total Orders",$A$107,"Region","Americas","Salesperson","K. Singh")</f>
        <v>0.1</v>
      </c>
    </row>
    <row r="135" spans="1:5" x14ac:dyDescent="0.3">
      <c r="B135" s="2" t="s">
        <v>716</v>
      </c>
      <c r="C135" s="83">
        <v>12</v>
      </c>
      <c r="D135" s="10">
        <v>3</v>
      </c>
      <c r="E135" s="37">
        <f>GETPIVOTDATA("Sum of High Discount Flag",$A$107,"Region","Americas","Salesperson","L. Okafor")/GETPIVOTDATA("Total Orders",$A$107,"Region","Americas","Salesperson","L. Okafor")</f>
        <v>0.25</v>
      </c>
    </row>
    <row r="136" spans="1:5" x14ac:dyDescent="0.3">
      <c r="B136" s="2" t="s">
        <v>724</v>
      </c>
      <c r="C136" s="83">
        <v>12</v>
      </c>
      <c r="D136" s="10">
        <v>2</v>
      </c>
      <c r="E136" s="37">
        <f>GETPIVOTDATA("Sum of High Discount Flag",$A$107,"Region","Americas","Salesperson","M. Rossi")/GETPIVOTDATA("Total Orders",$A$107,"Region","Americas","Salesperson","M. Rossi")</f>
        <v>0.16666666666666666</v>
      </c>
    </row>
    <row r="137" spans="1:5" x14ac:dyDescent="0.3">
      <c r="B137" s="2" t="s">
        <v>725</v>
      </c>
      <c r="C137" s="83">
        <v>7</v>
      </c>
      <c r="D137" s="10">
        <v>1</v>
      </c>
      <c r="E137" s="37">
        <f>GETPIVOTDATA("Sum of High Discount Flag",$A$107,"Region","Americas","Salesperson","N. Brown")/GETPIVOTDATA("Total Orders",$A$107,"Region","Americas","Salesperson","N. Brown")</f>
        <v>0.14285714285714285</v>
      </c>
    </row>
    <row r="138" spans="1:5" x14ac:dyDescent="0.3">
      <c r="B138" s="2" t="s">
        <v>719</v>
      </c>
      <c r="C138" s="83">
        <v>12</v>
      </c>
      <c r="D138" s="10">
        <v>0</v>
      </c>
      <c r="E138" s="37">
        <f>GETPIVOTDATA("Sum of High Discount Flag",$A$107,"Region","Americas","Salesperson","O. Wang")/GETPIVOTDATA("Total Orders",$A$107,"Region","Americas","Salesperson","O. Wang")</f>
        <v>0</v>
      </c>
    </row>
    <row r="139" spans="1:5" x14ac:dyDescent="0.3">
      <c r="B139" s="2" t="s">
        <v>1438</v>
      </c>
      <c r="C139" s="83">
        <v>3</v>
      </c>
      <c r="D139" s="10">
        <v>1</v>
      </c>
      <c r="E139" s="37">
        <f>GETPIVOTDATA("Sum of High Discount Flag",$A$107,"Region","Americas","Salesperson","Unassigned")/GETPIVOTDATA("Total Orders",$A$107,"Region","Americas","Salesperson","Unassigned")</f>
        <v>0.33333333333333331</v>
      </c>
    </row>
    <row r="140" spans="1:5" x14ac:dyDescent="0.3">
      <c r="A140" s="2" t="s">
        <v>647</v>
      </c>
      <c r="B140" s="2" t="s">
        <v>720</v>
      </c>
      <c r="C140" s="83">
        <v>10</v>
      </c>
      <c r="D140" s="10">
        <v>0</v>
      </c>
      <c r="E140" s="37">
        <f>GETPIVOTDATA("Sum of High Discount Flag",$A$107,"Region","Asia","Salesperson","A. Patel")/GETPIVOTDATA("Total Orders",$A$107,"Region","Asia","Salesperson","A. Patel")</f>
        <v>0</v>
      </c>
    </row>
    <row r="141" spans="1:5" x14ac:dyDescent="0.3">
      <c r="B141" s="2" t="s">
        <v>717</v>
      </c>
      <c r="C141" s="83">
        <v>16</v>
      </c>
      <c r="D141" s="10">
        <v>1</v>
      </c>
      <c r="E141" s="37">
        <f>GETPIVOTDATA("Sum of High Discount Flag",$A$107,"Region","Asia","Salesperson","B. Chen")/GETPIVOTDATA("Total Orders",$A$107,"Region","Asia","Salesperson","B. Chen")</f>
        <v>6.25E-2</v>
      </c>
    </row>
    <row r="142" spans="1:5" x14ac:dyDescent="0.3">
      <c r="B142" s="2" t="s">
        <v>712</v>
      </c>
      <c r="C142" s="83">
        <v>10</v>
      </c>
      <c r="D142" s="10">
        <v>3</v>
      </c>
      <c r="E142" s="37">
        <f>GETPIVOTDATA("Sum of High Discount Flag",$A$107,"Region","Asia","Salesperson","C. Otieno")/GETPIVOTDATA("Total Orders",$A$107,"Region","Asia","Salesperson","C. Otieno")</f>
        <v>0.3</v>
      </c>
    </row>
    <row r="143" spans="1:5" x14ac:dyDescent="0.3">
      <c r="B143" s="2" t="s">
        <v>726</v>
      </c>
      <c r="C143" s="83">
        <v>9</v>
      </c>
      <c r="D143" s="10">
        <v>1</v>
      </c>
      <c r="E143" s="37">
        <f>GETPIVOTDATA("Sum of High Discount Flag",$A$107,"Region","Asia","Salesperson","D. Smith")/GETPIVOTDATA("Total Orders",$A$107,"Region","Asia","Salesperson","D. Smith")</f>
        <v>0.1111111111111111</v>
      </c>
    </row>
    <row r="144" spans="1:5" x14ac:dyDescent="0.3">
      <c r="B144" s="2" t="s">
        <v>718</v>
      </c>
      <c r="C144" s="83">
        <v>8</v>
      </c>
      <c r="D144" s="10">
        <v>0</v>
      </c>
      <c r="E144" s="37">
        <f>GETPIVOTDATA("Sum of High Discount Flag",$A$107,"Region","Asia","Salesperson","E. Garcia")/GETPIVOTDATA("Total Orders",$A$107,"Region","Asia","Salesperson","E. Garcia")</f>
        <v>0</v>
      </c>
    </row>
    <row r="145" spans="1:5" x14ac:dyDescent="0.3">
      <c r="B145" s="2" t="s">
        <v>721</v>
      </c>
      <c r="C145" s="83">
        <v>12</v>
      </c>
      <c r="D145" s="10">
        <v>3</v>
      </c>
      <c r="E145" s="37">
        <f>GETPIVOTDATA("Sum of High Discount Flag",$A$107,"Region","Asia","Salesperson","F. Müller")/GETPIVOTDATA("Total Orders",$A$107,"Region","Asia","Salesperson","F. Müller")</f>
        <v>0.25</v>
      </c>
    </row>
    <row r="146" spans="1:5" x14ac:dyDescent="0.3">
      <c r="B146" s="2" t="s">
        <v>715</v>
      </c>
      <c r="C146" s="83">
        <v>11</v>
      </c>
      <c r="D146" s="10">
        <v>1</v>
      </c>
      <c r="E146" s="37">
        <f>GETPIVOTDATA("Sum of High Discount Flag",$A$107,"Region","Asia","Salesperson","G. Dubois")/GETPIVOTDATA("Total Orders",$A$107,"Region","Asia","Salesperson","G. Dubois")</f>
        <v>9.0909090909090912E-2</v>
      </c>
    </row>
    <row r="147" spans="1:5" x14ac:dyDescent="0.3">
      <c r="B147" s="2" t="s">
        <v>722</v>
      </c>
      <c r="C147" s="83">
        <v>16</v>
      </c>
      <c r="D147" s="10">
        <v>2</v>
      </c>
      <c r="E147" s="37">
        <f>GETPIVOTDATA("Sum of High Discount Flag",$A$107,"Region","Asia","Salesperson","H. Kim")/GETPIVOTDATA("Total Orders",$A$107,"Region","Asia","Salesperson","H. Kim")</f>
        <v>0.125</v>
      </c>
    </row>
    <row r="148" spans="1:5" x14ac:dyDescent="0.3">
      <c r="B148" s="2" t="s">
        <v>714</v>
      </c>
      <c r="C148" s="83">
        <v>8</v>
      </c>
      <c r="D148" s="10">
        <v>1</v>
      </c>
      <c r="E148" s="37">
        <f>GETPIVOTDATA("Sum of High Discount Flag",$A$107,"Region","Asia","Salesperson","I. Johnson")/GETPIVOTDATA("Total Orders",$A$107,"Region","Asia","Salesperson","I. Johnson")</f>
        <v>0.125</v>
      </c>
    </row>
    <row r="149" spans="1:5" x14ac:dyDescent="0.3">
      <c r="B149" s="2" t="s">
        <v>713</v>
      </c>
      <c r="C149" s="83">
        <v>19</v>
      </c>
      <c r="D149" s="10">
        <v>2</v>
      </c>
      <c r="E149" s="37">
        <f>GETPIVOTDATA("Sum of High Discount Flag",$A$107,"Region","Asia","Salesperson","J. Njeri")/GETPIVOTDATA("Total Orders",$A$107,"Region","Asia","Salesperson","J. Njeri")</f>
        <v>0.10526315789473684</v>
      </c>
    </row>
    <row r="150" spans="1:5" x14ac:dyDescent="0.3">
      <c r="B150" s="2" t="s">
        <v>723</v>
      </c>
      <c r="C150" s="83">
        <v>7</v>
      </c>
      <c r="D150" s="10">
        <v>1</v>
      </c>
      <c r="E150" s="37">
        <f>GETPIVOTDATA("Sum of High Discount Flag",$A$107,"Region","Asia","Salesperson","K. Singh")/GETPIVOTDATA("Total Orders",$A$107,"Region","Asia","Salesperson","K. Singh")</f>
        <v>0.14285714285714285</v>
      </c>
    </row>
    <row r="151" spans="1:5" x14ac:dyDescent="0.3">
      <c r="B151" s="2" t="s">
        <v>716</v>
      </c>
      <c r="C151" s="83">
        <v>14</v>
      </c>
      <c r="D151" s="10">
        <v>3</v>
      </c>
      <c r="E151" s="37">
        <f>GETPIVOTDATA("Sum of High Discount Flag",$A$107,"Region","Asia","Salesperson","L. Okafor")/GETPIVOTDATA("Total Orders",$A$107,"Region","Asia","Salesperson","L. Okafor")</f>
        <v>0.21428571428571427</v>
      </c>
    </row>
    <row r="152" spans="1:5" x14ac:dyDescent="0.3">
      <c r="B152" s="2" t="s">
        <v>724</v>
      </c>
      <c r="C152" s="83">
        <v>10</v>
      </c>
      <c r="D152" s="10">
        <v>0</v>
      </c>
      <c r="E152" s="37">
        <f>GETPIVOTDATA("Sum of High Discount Flag",$A$107,"Region","Asia","Salesperson","M. Rossi")/GETPIVOTDATA("Total Orders",$A$107,"Region","Asia","Salesperson","M. Rossi")</f>
        <v>0</v>
      </c>
    </row>
    <row r="153" spans="1:5" x14ac:dyDescent="0.3">
      <c r="B153" s="2" t="s">
        <v>725</v>
      </c>
      <c r="C153" s="83">
        <v>10</v>
      </c>
      <c r="D153" s="10">
        <v>1</v>
      </c>
      <c r="E153" s="37">
        <f>GETPIVOTDATA("Sum of High Discount Flag",$A$107,"Region","Asia","Salesperson","N. Brown")/GETPIVOTDATA("Total Orders",$A$107,"Region","Asia","Salesperson","N. Brown")</f>
        <v>0.1</v>
      </c>
    </row>
    <row r="154" spans="1:5" x14ac:dyDescent="0.3">
      <c r="B154" s="2" t="s">
        <v>719</v>
      </c>
      <c r="C154" s="83">
        <v>8</v>
      </c>
      <c r="D154" s="10">
        <v>4</v>
      </c>
      <c r="E154" s="37">
        <f>GETPIVOTDATA("Sum of High Discount Flag",$A$107,"Region","Asia","Salesperson","O. Wang")/GETPIVOTDATA("Total Orders",$A$107,"Region","Asia","Salesperson","O. Wang")</f>
        <v>0.5</v>
      </c>
    </row>
    <row r="155" spans="1:5" x14ac:dyDescent="0.3">
      <c r="B155" s="2" t="s">
        <v>1438</v>
      </c>
      <c r="C155" s="83">
        <v>2</v>
      </c>
      <c r="D155" s="10">
        <v>0</v>
      </c>
      <c r="E155" s="37">
        <f>GETPIVOTDATA("Sum of High Discount Flag",$A$107,"Region","Asia","Salesperson","Unassigned")/GETPIVOTDATA("Total Orders",$A$107,"Region","Asia","Salesperson","Unassigned")</f>
        <v>0</v>
      </c>
    </row>
    <row r="156" spans="1:5" x14ac:dyDescent="0.3">
      <c r="A156" s="2" t="s">
        <v>649</v>
      </c>
      <c r="B156" s="2" t="s">
        <v>720</v>
      </c>
      <c r="C156" s="83">
        <v>10</v>
      </c>
      <c r="D156" s="10">
        <v>1</v>
      </c>
      <c r="E156" s="37">
        <f>GETPIVOTDATA("Sum of High Discount Flag",$A$107,"Region","Europe","Salesperson","A. Patel")/GETPIVOTDATA("Total Orders",$A$107,"Region","Europe","Salesperson","A. Patel")</f>
        <v>0.1</v>
      </c>
    </row>
    <row r="157" spans="1:5" x14ac:dyDescent="0.3">
      <c r="B157" s="2" t="s">
        <v>717</v>
      </c>
      <c r="C157" s="83">
        <v>15</v>
      </c>
      <c r="D157" s="10">
        <v>2</v>
      </c>
      <c r="E157" s="37">
        <f>GETPIVOTDATA("Sum of High Discount Flag",$A$107,"Region","Europe","Salesperson","B. Chen")/GETPIVOTDATA("Total Orders",$A$107,"Region","Europe","Salesperson","B. Chen")</f>
        <v>0.13333333333333333</v>
      </c>
    </row>
    <row r="158" spans="1:5" x14ac:dyDescent="0.3">
      <c r="B158" s="2" t="s">
        <v>712</v>
      </c>
      <c r="C158" s="83">
        <v>5</v>
      </c>
      <c r="D158" s="10">
        <v>1</v>
      </c>
      <c r="E158" s="37">
        <f>GETPIVOTDATA("Sum of High Discount Flag",$A$107,"Region","Europe","Salesperson","C. Otieno")/GETPIVOTDATA("Total Orders",$A$107,"Region","Europe","Salesperson","C. Otieno")</f>
        <v>0.2</v>
      </c>
    </row>
    <row r="159" spans="1:5" x14ac:dyDescent="0.3">
      <c r="B159" s="2" t="s">
        <v>726</v>
      </c>
      <c r="C159" s="83">
        <v>11</v>
      </c>
      <c r="D159" s="10">
        <v>1</v>
      </c>
      <c r="E159" s="37">
        <f>GETPIVOTDATA("Sum of High Discount Flag",$A$107,"Region","Europe","Salesperson","D. Smith")/GETPIVOTDATA("Total Orders",$A$107,"Region","Europe","Salesperson","D. Smith")</f>
        <v>9.0909090909090912E-2</v>
      </c>
    </row>
    <row r="160" spans="1:5" x14ac:dyDescent="0.3">
      <c r="B160" s="2" t="s">
        <v>718</v>
      </c>
      <c r="C160" s="83">
        <v>16</v>
      </c>
      <c r="D160" s="10">
        <v>2</v>
      </c>
      <c r="E160" s="37">
        <f>GETPIVOTDATA("Sum of High Discount Flag",$A$107,"Region","Europe","Salesperson","E. Garcia")/GETPIVOTDATA("Total Orders",$A$107,"Region","Europe","Salesperson","E. Garcia")</f>
        <v>0.125</v>
      </c>
    </row>
    <row r="161" spans="1:5" x14ac:dyDescent="0.3">
      <c r="B161" s="2" t="s">
        <v>721</v>
      </c>
      <c r="C161" s="83">
        <v>11</v>
      </c>
      <c r="D161" s="10">
        <v>0</v>
      </c>
      <c r="E161" s="37">
        <f>GETPIVOTDATA("Sum of High Discount Flag",$A$107,"Region","Europe","Salesperson","F. Müller")/GETPIVOTDATA("Total Orders",$A$107,"Region","Europe","Salesperson","F. Müller")</f>
        <v>0</v>
      </c>
    </row>
    <row r="162" spans="1:5" x14ac:dyDescent="0.3">
      <c r="B162" s="2" t="s">
        <v>715</v>
      </c>
      <c r="C162" s="83">
        <v>8</v>
      </c>
      <c r="D162" s="10">
        <v>1</v>
      </c>
      <c r="E162" s="37">
        <f>GETPIVOTDATA("Sum of High Discount Flag",$A$107,"Region","Europe","Salesperson","G. Dubois")/GETPIVOTDATA("Total Orders",$A$107,"Region","Europe","Salesperson","G. Dubois")</f>
        <v>0.125</v>
      </c>
    </row>
    <row r="163" spans="1:5" x14ac:dyDescent="0.3">
      <c r="B163" s="2" t="s">
        <v>722</v>
      </c>
      <c r="C163" s="83">
        <v>13</v>
      </c>
      <c r="D163" s="10">
        <v>1</v>
      </c>
      <c r="E163" s="37">
        <f>GETPIVOTDATA("Sum of High Discount Flag",$A$107,"Region","Europe","Salesperson","H. Kim")/GETPIVOTDATA("Total Orders",$A$107,"Region","Europe","Salesperson","H. Kim")</f>
        <v>7.6923076923076927E-2</v>
      </c>
    </row>
    <row r="164" spans="1:5" x14ac:dyDescent="0.3">
      <c r="B164" s="2" t="s">
        <v>714</v>
      </c>
      <c r="C164" s="83">
        <v>8</v>
      </c>
      <c r="D164" s="10">
        <v>1</v>
      </c>
      <c r="E164" s="37">
        <f>GETPIVOTDATA("Sum of High Discount Flag",$A$107,"Region","Europe","Salesperson","I. Johnson")/GETPIVOTDATA("Total Orders",$A$107,"Region","Europe","Salesperson","I. Johnson")</f>
        <v>0.125</v>
      </c>
    </row>
    <row r="165" spans="1:5" x14ac:dyDescent="0.3">
      <c r="B165" s="2" t="s">
        <v>713</v>
      </c>
      <c r="C165" s="83">
        <v>9</v>
      </c>
      <c r="D165" s="10">
        <v>1</v>
      </c>
      <c r="E165" s="37">
        <f>GETPIVOTDATA("Sum of High Discount Flag",$A$107,"Region","Europe","Salesperson","J. Njeri")/GETPIVOTDATA("Total Orders",$A$107,"Region","Europe","Salesperson","J. Njeri")</f>
        <v>0.1111111111111111</v>
      </c>
    </row>
    <row r="166" spans="1:5" x14ac:dyDescent="0.3">
      <c r="B166" s="2" t="s">
        <v>723</v>
      </c>
      <c r="C166" s="83">
        <v>13</v>
      </c>
      <c r="D166" s="10">
        <v>2</v>
      </c>
      <c r="E166" s="37">
        <f>GETPIVOTDATA("Sum of High Discount Flag",$A$107,"Region","Europe","Salesperson","K. Singh")/GETPIVOTDATA("Total Orders",$A$107,"Region","Europe","Salesperson","K. Singh")</f>
        <v>0.15384615384615385</v>
      </c>
    </row>
    <row r="167" spans="1:5" x14ac:dyDescent="0.3">
      <c r="B167" s="2" t="s">
        <v>716</v>
      </c>
      <c r="C167" s="83">
        <v>10</v>
      </c>
      <c r="D167" s="10">
        <v>0</v>
      </c>
      <c r="E167" s="37">
        <f>GETPIVOTDATA("Sum of High Discount Flag",$A$107,"Region","Europe","Salesperson","L. Okafor")/GETPIVOTDATA("Total Orders",$A$107,"Region","Europe","Salesperson","L. Okafor")</f>
        <v>0</v>
      </c>
    </row>
    <row r="168" spans="1:5" x14ac:dyDescent="0.3">
      <c r="B168" s="2" t="s">
        <v>724</v>
      </c>
      <c r="C168" s="83">
        <v>10</v>
      </c>
      <c r="D168" s="10">
        <v>1</v>
      </c>
      <c r="E168" s="37">
        <f>GETPIVOTDATA("Sum of High Discount Flag",$A$107,"Region","Europe","Salesperson","M. Rossi")/GETPIVOTDATA("Total Orders",$A$107,"Region","Europe","Salesperson","M. Rossi")</f>
        <v>0.1</v>
      </c>
    </row>
    <row r="169" spans="1:5" x14ac:dyDescent="0.3">
      <c r="B169" s="2" t="s">
        <v>725</v>
      </c>
      <c r="C169" s="83">
        <v>11</v>
      </c>
      <c r="D169" s="10">
        <v>3</v>
      </c>
      <c r="E169" s="37">
        <f>GETPIVOTDATA("Sum of High Discount Flag",$A$107,"Region","Europe","Salesperson","N. Brown")/GETPIVOTDATA("Total Orders",$A$107,"Region","Europe","Salesperson","N. Brown")</f>
        <v>0.27272727272727271</v>
      </c>
    </row>
    <row r="170" spans="1:5" x14ac:dyDescent="0.3">
      <c r="B170" s="2" t="s">
        <v>719</v>
      </c>
      <c r="C170" s="83">
        <v>8</v>
      </c>
      <c r="D170" s="10">
        <v>0</v>
      </c>
      <c r="E170" s="37">
        <f>GETPIVOTDATA("Sum of High Discount Flag",$A$107,"Region","Europe","Salesperson","O. Wang")/GETPIVOTDATA("Total Orders",$A$107,"Region","Europe","Salesperson","O. Wang")</f>
        <v>0</v>
      </c>
    </row>
    <row r="171" spans="1:5" x14ac:dyDescent="0.3">
      <c r="B171" s="2" t="s">
        <v>1438</v>
      </c>
      <c r="C171" s="83">
        <v>1</v>
      </c>
      <c r="D171" s="10">
        <v>0</v>
      </c>
      <c r="E171" s="37">
        <f>GETPIVOTDATA("Sum of High Discount Flag",$A$107,"Region","Europe","Salesperson","Unassigned")/GETPIVOTDATA("Total Orders",$A$107,"Region","Europe","Salesperson","Unassigned")</f>
        <v>0</v>
      </c>
    </row>
    <row r="172" spans="1:5" x14ac:dyDescent="0.3">
      <c r="A172" s="2" t="s">
        <v>1373</v>
      </c>
      <c r="B172" s="2"/>
      <c r="C172" s="83">
        <v>631</v>
      </c>
      <c r="D172" s="10">
        <v>89</v>
      </c>
    </row>
    <row r="173" spans="1:5" x14ac:dyDescent="0.3">
      <c r="A173"/>
      <c r="B173"/>
      <c r="C173"/>
      <c r="D173"/>
    </row>
    <row r="174" spans="1:5" x14ac:dyDescent="0.3">
      <c r="A174"/>
      <c r="B174"/>
      <c r="C174"/>
      <c r="D174"/>
    </row>
    <row r="175" spans="1:5" x14ac:dyDescent="0.3">
      <c r="A175"/>
      <c r="B175"/>
      <c r="C175"/>
      <c r="D175"/>
    </row>
    <row r="176" spans="1:5" x14ac:dyDescent="0.3">
      <c r="A176"/>
      <c r="B176"/>
      <c r="C176"/>
      <c r="D176"/>
    </row>
    <row r="177" spans="1:2" x14ac:dyDescent="0.3">
      <c r="B177" s="2"/>
    </row>
    <row r="178" spans="1:2" x14ac:dyDescent="0.3">
      <c r="B178" s="2"/>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row r="736" spans="1:1" x14ac:dyDescent="0.3">
      <c r="A736"/>
    </row>
    <row r="737" spans="1:1" x14ac:dyDescent="0.3">
      <c r="A737"/>
    </row>
    <row r="738" spans="1:1" x14ac:dyDescent="0.3">
      <c r="A738"/>
    </row>
    <row r="739" spans="1:1" x14ac:dyDescent="0.3">
      <c r="A739"/>
    </row>
    <row r="740" spans="1:1" x14ac:dyDescent="0.3">
      <c r="A740"/>
    </row>
    <row r="741" spans="1:1" x14ac:dyDescent="0.3">
      <c r="A741"/>
    </row>
    <row r="742" spans="1:1" x14ac:dyDescent="0.3">
      <c r="A742"/>
    </row>
    <row r="743" spans="1:1" x14ac:dyDescent="0.3">
      <c r="A743"/>
    </row>
    <row r="744" spans="1:1" x14ac:dyDescent="0.3">
      <c r="A744"/>
    </row>
    <row r="745" spans="1:1" x14ac:dyDescent="0.3">
      <c r="A745"/>
    </row>
    <row r="746" spans="1:1" x14ac:dyDescent="0.3">
      <c r="A746"/>
    </row>
    <row r="747" spans="1:1" x14ac:dyDescent="0.3">
      <c r="A747"/>
    </row>
    <row r="748" spans="1:1" x14ac:dyDescent="0.3">
      <c r="A748"/>
    </row>
    <row r="749" spans="1:1" x14ac:dyDescent="0.3">
      <c r="A749"/>
    </row>
    <row r="750" spans="1:1" x14ac:dyDescent="0.3">
      <c r="A750"/>
    </row>
    <row r="751" spans="1:1" x14ac:dyDescent="0.3">
      <c r="A751"/>
    </row>
    <row r="752" spans="1:1" x14ac:dyDescent="0.3">
      <c r="A752"/>
    </row>
    <row r="753" spans="1:1" x14ac:dyDescent="0.3">
      <c r="A753"/>
    </row>
    <row r="754" spans="1:1" x14ac:dyDescent="0.3">
      <c r="A754"/>
    </row>
    <row r="755" spans="1:1" x14ac:dyDescent="0.3">
      <c r="A755"/>
    </row>
    <row r="756" spans="1:1" x14ac:dyDescent="0.3">
      <c r="A756"/>
    </row>
    <row r="757" spans="1:1" x14ac:dyDescent="0.3">
      <c r="A757"/>
    </row>
    <row r="758" spans="1:1" x14ac:dyDescent="0.3">
      <c r="A758"/>
    </row>
    <row r="759" spans="1:1" x14ac:dyDescent="0.3">
      <c r="A759"/>
    </row>
    <row r="760" spans="1:1" x14ac:dyDescent="0.3">
      <c r="A760"/>
    </row>
    <row r="761" spans="1:1" x14ac:dyDescent="0.3">
      <c r="A761"/>
    </row>
    <row r="762" spans="1:1" x14ac:dyDescent="0.3">
      <c r="A762"/>
    </row>
    <row r="763" spans="1:1" x14ac:dyDescent="0.3">
      <c r="A763"/>
    </row>
    <row r="764" spans="1:1" x14ac:dyDescent="0.3">
      <c r="A764"/>
    </row>
    <row r="765" spans="1:1" x14ac:dyDescent="0.3">
      <c r="A765"/>
    </row>
    <row r="766" spans="1:1" x14ac:dyDescent="0.3">
      <c r="A766"/>
    </row>
    <row r="767" spans="1:1" x14ac:dyDescent="0.3">
      <c r="A767"/>
    </row>
    <row r="768" spans="1:1" x14ac:dyDescent="0.3">
      <c r="A768"/>
    </row>
    <row r="769" spans="1:1" x14ac:dyDescent="0.3">
      <c r="A769"/>
    </row>
    <row r="770" spans="1:1" x14ac:dyDescent="0.3">
      <c r="A770"/>
    </row>
    <row r="771" spans="1:1" x14ac:dyDescent="0.3">
      <c r="A771"/>
    </row>
    <row r="772" spans="1:1" x14ac:dyDescent="0.3">
      <c r="A772"/>
    </row>
    <row r="773" spans="1:1" x14ac:dyDescent="0.3">
      <c r="A773"/>
    </row>
    <row r="774" spans="1:1" x14ac:dyDescent="0.3">
      <c r="A774"/>
    </row>
    <row r="775" spans="1:1" x14ac:dyDescent="0.3">
      <c r="A775"/>
    </row>
    <row r="776" spans="1:1" x14ac:dyDescent="0.3">
      <c r="A776"/>
    </row>
    <row r="777" spans="1:1" x14ac:dyDescent="0.3">
      <c r="A777"/>
    </row>
    <row r="778" spans="1:1" x14ac:dyDescent="0.3">
      <c r="A778"/>
    </row>
    <row r="779" spans="1:1" x14ac:dyDescent="0.3">
      <c r="A779"/>
    </row>
    <row r="780" spans="1:1" x14ac:dyDescent="0.3">
      <c r="A780"/>
    </row>
    <row r="781" spans="1:1" x14ac:dyDescent="0.3">
      <c r="A781"/>
    </row>
    <row r="782" spans="1:1" x14ac:dyDescent="0.3">
      <c r="A782"/>
    </row>
    <row r="783" spans="1:1" x14ac:dyDescent="0.3">
      <c r="A783"/>
    </row>
    <row r="784" spans="1:1" x14ac:dyDescent="0.3">
      <c r="A784"/>
    </row>
    <row r="785" spans="1:1" x14ac:dyDescent="0.3">
      <c r="A785"/>
    </row>
    <row r="786" spans="1:1" x14ac:dyDescent="0.3">
      <c r="A786"/>
    </row>
    <row r="787" spans="1:1" x14ac:dyDescent="0.3">
      <c r="A787"/>
    </row>
    <row r="788" spans="1:1" x14ac:dyDescent="0.3">
      <c r="A788"/>
    </row>
    <row r="789" spans="1:1" x14ac:dyDescent="0.3">
      <c r="A789"/>
    </row>
    <row r="790" spans="1:1" x14ac:dyDescent="0.3">
      <c r="A790"/>
    </row>
    <row r="791" spans="1:1" x14ac:dyDescent="0.3">
      <c r="A791"/>
    </row>
    <row r="792" spans="1:1" x14ac:dyDescent="0.3">
      <c r="A792"/>
    </row>
    <row r="793" spans="1:1" x14ac:dyDescent="0.3">
      <c r="A793"/>
    </row>
    <row r="794" spans="1:1" x14ac:dyDescent="0.3">
      <c r="A794"/>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sheetData>
  <conditionalFormatting sqref="E108:E172">
    <cfRule type="cellIs" dxfId="0" priority="1" operator="greaterThan">
      <formula>0.2</formula>
    </cfRule>
  </conditionalFormatting>
  <pageMargins left="0.7" right="0.7" top="0.75" bottom="0.75" header="0.3" footer="0.3"/>
  <drawing r:id="rId8"/>
  <picture r:id="rId9"/>
  <extLst>
    <ext xmlns:x14="http://schemas.microsoft.com/office/spreadsheetml/2009/9/main" uri="{A8765BA9-456A-4dab-B4F3-ACF838C121DE}">
      <x14:slicerList>
        <x14:slicer r:id="rId10"/>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3483-1F2D-4FFB-AA97-3074E4D529D4}">
  <sheetPr>
    <tabColor rgb="FFEBA8FE"/>
  </sheetPr>
  <dimension ref="F26:J28"/>
  <sheetViews>
    <sheetView showGridLines="0" showRowColHeaders="0" tabSelected="1" topLeftCell="B1" workbookViewId="0">
      <selection activeCell="Q12" sqref="Q12"/>
    </sheetView>
  </sheetViews>
  <sheetFormatPr defaultRowHeight="14.4" x14ac:dyDescent="0.3"/>
  <cols>
    <col min="6" max="6" width="14.6640625" bestFit="1" customWidth="1"/>
    <col min="8" max="8" width="11.109375" bestFit="1" customWidth="1"/>
  </cols>
  <sheetData>
    <row r="26" spans="6:10" x14ac:dyDescent="0.3">
      <c r="F26" s="42">
        <f>GETPIVOTDATA("GrossRevenue",'Pivot 1'!$D$2)</f>
        <v>10919008.6252</v>
      </c>
      <c r="H26" s="41">
        <f>Pivot!E60</f>
        <v>17304.29259144215</v>
      </c>
      <c r="J26" s="40">
        <f>Pivot!E66</f>
        <v>0.31347291065422234</v>
      </c>
    </row>
    <row r="28" spans="6:10" x14ac:dyDescent="0.3">
      <c r="F28" s="41">
        <f>GETPIVOTDATA("Sum of GrossProfit",Pivot!$A$63)</f>
        <v>3422813.415200002</v>
      </c>
      <c r="H28" s="43">
        <f>GETPIVOTDATA("OnTime",Pivot!$A$70)</f>
        <v>0.27258320126782887</v>
      </c>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Raw Data</vt:lpstr>
      <vt:lpstr>staging</vt:lpstr>
      <vt:lpstr>Pivot 1</vt:lpstr>
      <vt:lpstr>Pivot 2</vt:lpstr>
      <vt:lpstr>Cohort Analysis</vt:lpstr>
      <vt:lpstr>ABC analysis</vt:lpstr>
      <vt:lpstr>Scenario Summary</vt:lpstr>
      <vt:lpstr>What-If Analysis</vt:lpstr>
      <vt:lpstr>Pivot</vt:lpstr>
      <vt:lpstr>Dashboard</vt:lpstr>
      <vt:lpstr>Global_Discount_Cap</vt:lpstr>
      <vt:lpstr>Label</vt:lpstr>
      <vt:lpstr>Quantity_Uplift</vt:lpstr>
      <vt:lpstr>Unit_Cost_Inflation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Ruth Ambogo</cp:lastModifiedBy>
  <cp:lastPrinted>2026-01-31T16:20:29Z</cp:lastPrinted>
  <dcterms:created xsi:type="dcterms:W3CDTF">2025-09-28T10:49:35Z</dcterms:created>
  <dcterms:modified xsi:type="dcterms:W3CDTF">2026-01-31T18:21:11Z</dcterms:modified>
</cp:coreProperties>
</file>